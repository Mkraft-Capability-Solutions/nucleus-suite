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0.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23.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20.xml.rels" ContentType="application/vnd.openxmlformats-package.relationships+xml"/>
  <Override PartName="/xl/worksheets/_rels/sheet32.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2.xml.rels" ContentType="application/vnd.openxmlformats-package.relationships+xml"/>
  <Override PartName="/xl/worksheets/_rels/sheet22.xml.rels" ContentType="application/vnd.openxmlformats-package.relationships+xml"/>
  <Override PartName="/xl/worksheets/_rels/sheet13.xml.rels" ContentType="application/vnd.openxmlformats-package.relationship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xml" ContentType="application/vnd.openxmlformats-officedocument.spreadsheetml.worksheet+xml"/>
  <Override PartName="/xl/worksheets/sheet63.xml" ContentType="application/vnd.openxmlformats-officedocument.spreadsheetml.worksheet+xml"/>
  <Override PartName="/xl/worksheets/sheet3.xml" ContentType="application/vnd.openxmlformats-officedocument.spreadsheetml.worksheet+xml"/>
  <Override PartName="/xl/worksheets/sheet6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57.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71.xml" ContentType="application/vnd.openxmlformats-officedocument.spreadsheetml.worksheet+xml"/>
  <Override PartName="/xl/worksheets/sheet29.xml" ContentType="application/vnd.openxmlformats-officedocument.spreadsheetml.worksheet+xml"/>
  <Override PartName="/xl/worksheets/sheet69.xml" ContentType="application/vnd.openxmlformats-officedocument.spreadsheetml.worksheet+xml"/>
  <Override PartName="/xl/worksheets/sheet32.xml" ContentType="application/vnd.openxmlformats-officedocument.spreadsheetml.worksheet+xml"/>
  <Override PartName="/xl/worksheets/sheet70.xml" ContentType="application/vnd.openxmlformats-officedocument.spreadsheetml.worksheet+xml"/>
  <Override PartName="/xl/worksheets/sheet28.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65.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66.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5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4.xml" ContentType="application/vnd.openxmlformats-officedocument.drawing+xml"/>
  <Override PartName="/xl/drawings/drawing13.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9.xml" ContentType="application/vnd.openxmlformats-officedocument.drawing+xml"/>
  <Override PartName="/xl/drawings/drawing2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cenario_Map" sheetId="2" state="visible" r:id="rId4"/>
    <sheet name="02_Legal_Entities" sheetId="3" state="visible" r:id="rId5"/>
    <sheet name="03_Locations" sheetId="4" state="visible" r:id="rId6"/>
    <sheet name="04_Org_Units" sheetId="5" state="visible" r:id="rId7"/>
    <sheet name="05_Designations" sheetId="6" state="visible" r:id="rId8"/>
    <sheet name="06_Worker_Classes" sheetId="7" state="visible" r:id="rId9"/>
    <sheet name="07_Shifts" sheetId="8" state="visible" r:id="rId10"/>
    <sheet name="08_Attendance_Rules" sheetId="9" state="visible" r:id="rId11"/>
    <sheet name="09_Holiday_Calendar" sheetId="10" state="visible" r:id="rId12"/>
    <sheet name="10_Sanctioned_Manpower" sheetId="11" state="visible" r:id="rId13"/>
    <sheet name="11_Positions" sheetId="12" state="visible" r:id="rId14"/>
    <sheet name="12_Employees" sheetId="13" state="visible" r:id="rId15"/>
    <sheet name="13_Salary_Structure" sheetId="14" state="visible" r:id="rId16"/>
    <sheet name="14_Leave_Types" sheetId="15" state="visible" r:id="rId17"/>
    <sheet name="15_Leave_Accrual_Policy" sheetId="16" state="visible" r:id="rId18"/>
    <sheet name="16_Leave_Proration" sheetId="17" state="visible" r:id="rId19"/>
    <sheet name="17_Leave_Ledger" sheetId="18" state="visible" r:id="rId20"/>
    <sheet name="18_Leave_Requests" sheetId="19" state="visible" r:id="rId21"/>
    <sheet name="19_CompOff_Ledger" sheetId="20" state="visible" r:id="rId22"/>
    <sheet name="20_Punch_Events" sheetId="21" state="visible" r:id="rId23"/>
    <sheet name="21_Expected_Attendance" sheetId="22" state="visible" r:id="rId24"/>
    <sheet name="22_Gate_Pass" sheetId="23" state="visible" r:id="rId25"/>
    <sheet name="23_Overtime_Register" sheetId="24" state="visible" r:id="rId26"/>
    <sheet name="24_Loans" sheetId="25" state="visible" r:id="rId27"/>
    <sheet name="25_Loan_Guarantors" sheetId="26" state="visible" r:id="rId28"/>
    <sheet name="26_Payroll_Runs" sheetId="27" state="visible" r:id="rId29"/>
    <sheet name="27_Exit_Clearance" sheetId="28" state="visible" r:id="rId30"/>
    <sheet name="28_Statutory_Calendar" sheetId="29" state="visible" r:id="rId31"/>
    <sheet name="29_Statutory_Forms" sheetId="30" state="visible" r:id="rId32"/>
    <sheet name="30_Recognition_Referral" sheetId="31" state="visible" r:id="rId33"/>
    <sheet name="31_Announcements" sheetId="32" state="visible" r:id="rId34"/>
    <sheet name="32_Letter_Templates" sheetId="33" state="visible" r:id="rId35"/>
    <sheet name="33_Assets" sheetId="34" state="visible" r:id="rId36"/>
    <sheet name="34_Induction_Learning" sheetId="35" state="visible" r:id="rId37"/>
    <sheet name="35_GL_Mapping" sheetId="36" state="visible" r:id="rId38"/>
    <sheet name="36_ERP_Inbound_Master" sheetId="37" state="visible" r:id="rId39"/>
    <sheet name="37_Requisitions" sheetId="38" state="visible" r:id="rId40"/>
    <sheet name="38_Employment_Categories" sheetId="39" state="visible" r:id="rId41"/>
    <sheet name="39_Leave_Schemes" sheetId="40" state="visible" r:id="rId42"/>
    <sheet name="40_Leave_Rules_Matrix" sheetId="41" state="visible" r:id="rId43"/>
    <sheet name="41_Grace_Late_Policy" sheetId="42" state="visible" r:id="rId44"/>
    <sheet name="42_Night_Extension_Rule" sheetId="43" state="visible" r:id="rId45"/>
    <sheet name="43_Roles_and_Data_Scope" sheetId="44" state="visible" r:id="rId46"/>
    <sheet name="44_Demo_Users" sheetId="45" state="visible" r:id="rId47"/>
    <sheet name="45_Vendors_Contractors" sheetId="46" state="visible" r:id="rId48"/>
    <sheet name="46_Contractor_Invoices" sheetId="47" state="visible" r:id="rId49"/>
    <sheet name="47_Pay_Components" sheetId="48" state="visible" r:id="rId50"/>
    <sheet name="48_PT_Slabs" sheetId="49" state="visible" r:id="rId51"/>
    <sheet name="49_Break_Register" sheetId="50" state="visible" r:id="rId52"/>
    <sheet name="50_Attendance_Regularisation" sheetId="51" state="visible" r:id="rId53"/>
    <sheet name="51_Attendance_Exceptions" sheetId="52" state="visible" r:id="rId54"/>
    <sheet name="52_Shift_Roster" sheetId="53" state="visible" r:id="rId55"/>
    <sheet name="53_Leave_Balance_AsOn" sheetId="54" state="visible" r:id="rId56"/>
    <sheet name="54_Year_End_Leave_Preview" sheetId="55" state="visible" r:id="rId57"/>
    <sheet name="55_Payroll_Register" sheetId="56" state="visible" r:id="rId58"/>
    <sheet name="56_GL_Journal" sheetId="57" state="visible" r:id="rId59"/>
    <sheet name="57_Bank_File" sheetId="58" state="visible" r:id="rId60"/>
    <sheet name="58_FnF_Settlement" sheetId="59" state="visible" r:id="rId61"/>
    <sheet name="59_Candidates_and_Offers" sheetId="60" state="visible" r:id="rId62"/>
    <sheet name="60_Confirmations" sheetId="61" state="visible" r:id="rId63"/>
    <sheet name="61_Preboarding_Chain" sheetId="62" state="visible" r:id="rId64"/>
    <sheet name="62_Documents" sheetId="63" state="visible" r:id="rId65"/>
    <sheet name="63_Helpdesk_Tickets" sheetId="64" state="visible" r:id="rId66"/>
    <sheet name="64_Approval_Workflows" sheetId="65" state="visible" r:id="rId67"/>
    <sheet name="65_Enum_Seed_Values" sheetId="66" state="visible" r:id="rId68"/>
    <sheet name="66_Picklist_Seed_Values" sheetId="67" state="visible" r:id="rId69"/>
    <sheet name="67_Reports_Register" sheetId="68" state="visible" r:id="rId70"/>
    <sheet name="68_Acceptance_Test_Data" sheetId="69" state="visible" r:id="rId71"/>
    <sheet name="69_Coverage_Matrix" sheetId="70" state="visible" r:id="rId72"/>
    <sheet name="70_Change_Log_v1_1" sheetId="71" state="visible" r:id="rId73"/>
  </sheets>
  <definedNames>
    <definedName function="false" hidden="true" localSheetId="1" name="_xlnm._FilterDatabase" vbProcedure="false">01_Scenario_Map!$A$1:$F$28</definedName>
    <definedName function="false" hidden="true" localSheetId="2" name="_xlnm._FilterDatabase" vbProcedure="false">02_Legal_Entities!$A$1:$I$3</definedName>
    <definedName function="false" hidden="true" localSheetId="3" name="_xlnm._FilterDatabase" vbProcedure="false">03_Locations!$A$1:$M$6</definedName>
    <definedName function="false" hidden="true" localSheetId="4" name="_xlnm._FilterDatabase" vbProcedure="false">04_Org_Units!$A$1:$G$16</definedName>
    <definedName function="false" hidden="true" localSheetId="5" name="_xlnm._FilterDatabase" vbProcedure="false">05_Designations!$A$1:$G$21</definedName>
    <definedName function="false" hidden="true" localSheetId="6" name="_xlnm._FilterDatabase" vbProcedure="false">06_Worker_Classes!$A$1:$J$10</definedName>
    <definedName function="false" hidden="true" localSheetId="7" name="_xlnm._FilterDatabase" vbProcedure="false">07_Shifts!$A$1:$K$7</definedName>
    <definedName function="false" hidden="true" localSheetId="8" name="_xlnm._FilterDatabase" vbProcedure="false">08_Attendance_Rules!$A$1:$I$5</definedName>
    <definedName function="false" hidden="true" localSheetId="9" name="_xlnm._FilterDatabase" vbProcedure="false">09_Holiday_Calendar!$A$1:$D$14</definedName>
    <definedName function="false" hidden="true" localSheetId="10" name="_xlnm._FilterDatabase" vbProcedure="false">10_Sanctioned_Manpower!$A$1:$J$11</definedName>
    <definedName function="false" hidden="true" localSheetId="11" name="_xlnm._FilterDatabase" vbProcedure="false">11_Positions!$A$1:$K$11</definedName>
    <definedName function="false" hidden="true" localSheetId="12" name="_xlnm._FilterDatabase" vbProcedure="false">12_Employees!$A$1:$U$69</definedName>
    <definedName function="false" hidden="true" localSheetId="13" name="_xlnm._FilterDatabase" vbProcedure="false">13_Salary_Structure!$A$1:$Q$69</definedName>
    <definedName function="false" hidden="true" localSheetId="14" name="_xlnm._FilterDatabase" vbProcedure="false">14_Leave_Types!$A$1:$K$8</definedName>
    <definedName function="false" hidden="true" localSheetId="15" name="_xlnm._FilterDatabase" vbProcedure="false">15_Leave_Accrual_Policy!$A$1:$J$11</definedName>
    <definedName function="false" hidden="true" localSheetId="16" name="_xlnm._FilterDatabase" vbProcedure="false">16_Leave_Proration!$A$1:$G$8</definedName>
    <definedName function="false" hidden="true" localSheetId="17" name="_xlnm._FilterDatabase" vbProcedure="false">17_Leave_Ledger!$A$1:$K$31</definedName>
    <definedName function="false" hidden="true" localSheetId="18" name="_xlnm._FilterDatabase" vbProcedure="false">18_Leave_Requests!$A$1:$N$8</definedName>
    <definedName function="false" hidden="true" localSheetId="19" name="_xlnm._FilterDatabase" vbProcedure="false">19_CompOff_Ledger!$A$1:$K$7</definedName>
    <definedName function="false" hidden="true" localSheetId="20" name="_xlnm._FilterDatabase" vbProcedure="false">20_Punch_Events!$A$1:$K$371</definedName>
    <definedName function="false" hidden="true" localSheetId="21" name="_xlnm._FilterDatabase" vbProcedure="false">21_Expected_Attendance!$A$1:$AB$211</definedName>
    <definedName function="false" hidden="true" localSheetId="22" name="_xlnm._FilterDatabase" vbProcedure="false">22_Gate_Pass!$A$1:$N$6</definedName>
    <definedName function="false" hidden="true" localSheetId="23" name="_xlnm._FilterDatabase" vbProcedure="false">23_Overtime_Register!$A$1:$M$8</definedName>
    <definedName function="false" hidden="true" localSheetId="24" name="_xlnm._FilterDatabase" vbProcedure="false">24_Loans!$A$1:$R$8</definedName>
    <definedName function="false" hidden="true" localSheetId="25" name="_xlnm._FilterDatabase" vbProcedure="false">25_Loan_Guarantors!$A$1:$H$10</definedName>
    <definedName function="false" hidden="true" localSheetId="26" name="_xlnm._FilterDatabase" vbProcedure="false">26_Payroll_Runs!$A$1:$L$7</definedName>
    <definedName function="false" hidden="true" localSheetId="27" name="_xlnm._FilterDatabase" vbProcedure="false">27_Exit_Clearance!$A$1:$L$13</definedName>
    <definedName function="false" hidden="true" localSheetId="28" name="_xlnm._FilterDatabase" vbProcedure="false">28_Statutory_Calendar!$A$1:$K$13</definedName>
    <definedName function="false" hidden="true" localSheetId="29" name="_xlnm._FilterDatabase" vbProcedure="false">29_Statutory_Forms!$A$1:$K$9</definedName>
    <definedName function="false" hidden="true" localSheetId="30" name="_xlnm._FilterDatabase" vbProcedure="false">30_Recognition_Referral!$A$1:$L$8</definedName>
    <definedName function="false" hidden="true" localSheetId="31" name="_xlnm._FilterDatabase" vbProcedure="false">31_Announcements!$A$1:$K$9</definedName>
    <definedName function="false" hidden="true" localSheetId="32" name="_xlnm._FilterDatabase" vbProcedure="false">32_Letter_Templates!$A$1:$K$13</definedName>
    <definedName function="false" hidden="true" localSheetId="33" name="_xlnm._FilterDatabase" vbProcedure="false">33_Assets!$A$1:$L$10</definedName>
    <definedName function="false" hidden="true" localSheetId="34" name="_xlnm._FilterDatabase" vbProcedure="false">34_Induction_Learning!$A$1:$K$11</definedName>
    <definedName function="false" hidden="true" localSheetId="35" name="_xlnm._FilterDatabase" vbProcedure="false">35_GL_Mapping!$A$1:$I$24</definedName>
    <definedName function="false" hidden="true" localSheetId="36" name="_xlnm._FilterDatabase" vbProcedure="false">36_ERP_Inbound_Master!$A$1:$J$9</definedName>
    <definedName function="false" hidden="true" localSheetId="37" name="_xlnm._FilterDatabase" vbProcedure="false">37_Requisitions!$A$1:$M$8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<sst xmlns="http://schemas.openxmlformats.org/spreadsheetml/2006/main" count="17017" uniqueCount="4953">
  <si>
    <t xml:space="preserve">Nucleus HRMS — Demo Dataset v1.0</t>
  </si>
  <si>
    <t xml:space="preserve">Version</t>
  </si>
  <si>
    <t xml:space="preserve">v1.1, 15 September 2026. Extends v1.0 with 33 sheets and corrects four data defects. Read 70_Change_Log_v1_1 first, then 69_Coverage_Matrix. Load order for the added sheets is in the change log note. Every formula from v1.0 is unchanged and recalculates identically.</t>
  </si>
  <si>
    <t xml:space="preserve">Purpose</t>
  </si>
  <si>
    <t xml:space="preserve">Reference data for populating a Nucleus demo tenant. Every record is engineered so that one or more of the 26 client demo points can be shown live, end to end.</t>
  </si>
  <si>
    <t xml:space="preserve">Demo client</t>
  </si>
  <si>
    <t xml:space="preserve">Vindhya Precision Industries Pvt Ltd — a fictional multi-state manufacturer. Two legal entities, five sites, four states, 68 workers across nine worker classes.</t>
  </si>
  <si>
    <t xml:space="preserve">Demo period</t>
  </si>
  <si>
    <t xml:space="preserve">Attendance and transactions are dated 01–15 September 2026. Payroll cycle is September 2026. Set the demo tenant clock to 15 September 2026 so open items sit in the right state.</t>
  </si>
  <si>
    <t xml:space="preserve">HOW TO USE THIS FILE</t>
  </si>
  <si>
    <t xml:space="preserve">1</t>
  </si>
  <si>
    <t xml:space="preserve">Load sheets in the numbered order. 02–19 are master and configuration data and must exist before any transaction sheet will import.</t>
  </si>
  <si>
    <t xml:space="preserve">2</t>
  </si>
  <si>
    <t xml:space="preserve">Enter the data exactly as given. The values are not arbitrary — thresholds, times, dates and amounts are chosen so the expected results in sheet 21 are reproduced by the product.</t>
  </si>
  <si>
    <t xml:space="preserve">3</t>
  </si>
  <si>
    <t xml:space="preserve">After loading, run the attendance computation for 01–15 September and reconcile against sheet 21 (21_Expected_Attendance). Any row where the product disagrees with the expected status is a defect to fix before the demo, not a data error.</t>
  </si>
  <si>
    <t xml:space="preserve">4</t>
  </si>
  <si>
    <t xml:space="preserve">Sheet 01_Scenario_Map is the demo script. It names, for each of the 26 client points, the exact records to open on screen and what the client should see.</t>
  </si>
  <si>
    <t xml:space="preserve">LEGEND — how to read the sheets</t>
  </si>
  <si>
    <t xml:space="preserve">Codes ending in a number</t>
  </si>
  <si>
    <t xml:space="preserve">Primary keys. Use these exact values; every other sheet references them.</t>
  </si>
  <si>
    <t xml:space="preserve">Demo_Point column</t>
  </si>
  <si>
    <t xml:space="preserve">Names the client requirement that the row exists to prove. Blank means the row is background data providing realistic volume.</t>
  </si>
  <si>
    <t xml:space="preserve">Grey banded rows</t>
  </si>
  <si>
    <t xml:space="preserve">Alternate-row shading only. No meaning.</t>
  </si>
  <si>
    <t xml:space="preserve">Amber cells</t>
  </si>
  <si>
    <t xml:space="preserve">A value that must be entered exactly as given, because a computed result depends on it.</t>
  </si>
  <si>
    <t xml:space="preserve">Blank cells</t>
  </si>
  <si>
    <t xml:space="preserve">Deliberately empty — either not applicable to that worker class, or a field the product is expected to derive.</t>
  </si>
  <si>
    <t xml:space="preserve">Formulas</t>
  </si>
  <si>
    <t xml:space="preserve">Sheets 13, 21 and 24 carry formulas that derive values from the configuration sheets. They are there so the dataset checks itself — if you change a threshold in 08, the expected status in 21 updates.</t>
  </si>
  <si>
    <t xml:space="preserve">WHAT IS DELIBERATELY NOT HERE</t>
  </si>
  <si>
    <t xml:space="preserve">Bank account numbers</t>
  </si>
  <si>
    <t xml:space="preserve">Only last four digits are given. Use the product's own test account generator.</t>
  </si>
  <si>
    <t xml:space="preserve">Aadhaar, PAN, UAN</t>
  </si>
  <si>
    <t xml:space="preserve">Format-valid dummy values only, flagged as such. Never demo with real identifiers.</t>
  </si>
  <si>
    <t xml:space="preserve">Photographs and documents</t>
  </si>
  <si>
    <t xml:space="preserve">Attach any placeholder; none are supplied.</t>
  </si>
  <si>
    <t xml:space="preserve">COVERAGE</t>
  </si>
  <si>
    <t xml:space="preserve">All 26 demo points are covered. See 01_Scenario_Map for the record-level mapping.</t>
  </si>
  <si>
    <t xml:space="preserve">Demo point</t>
  </si>
  <si>
    <t xml:space="preserve">Requirement</t>
  </si>
  <si>
    <t xml:space="preserve">Client status</t>
  </si>
  <si>
    <t xml:space="preserve">Sheets to load</t>
  </si>
  <si>
    <t xml:space="preserve">Records to open</t>
  </si>
  <si>
    <t xml:space="preserve">What the client should see</t>
  </si>
  <si>
    <t xml:space="preserve">Also load (added in v1.1)</t>
  </si>
  <si>
    <t xml:space="preserve">Multi-punch day, 19h20m across midnight, separate dinner-break report, OT 7h20m</t>
  </si>
  <si>
    <t xml:space="preserve">WIP</t>
  </si>
  <si>
    <t xml:space="preserve">20_Punch_Events, 21_Expected_Attendance</t>
  </si>
  <si>
    <t xml:space="preserve">E1018 Ravi Kulkarni, 08 Sep 2026</t>
  </si>
  <si>
    <t xml:space="preserve">Two segments (08:00–20:30, 21:15–03:20). Gross 19h20m, dinner break 45m listed separately, OT 7h20m against the 12h shift. Attendance date stays 08 Sep, not split across two days.</t>
  </si>
  <si>
    <t xml:space="preserve">49_Break_Register, 43_Roles_and_Data_Scope, 44_Demo_Users, 52_Shift_Roster</t>
  </si>
  <si>
    <t xml:space="preserve">Team history for a date range, from the team calendar</t>
  </si>
  <si>
    <t xml:space="preserve">21_Expected_Attendance</t>
  </si>
  <si>
    <t xml:space="preserve">Manager E1017 Nikhil Iyer, 01–15 Sep</t>
  </si>
  <si>
    <t xml:space="preserve">Filter by manager and date range; export the per-day attendance, OT, late and gate-pass columns.</t>
  </si>
  <si>
    <t xml:space="preserve">Contractual employees have no rest days and are paid daily wages</t>
  </si>
  <si>
    <t xml:space="preserve">06_Worker_Classes, 12_Employees, 21_Expected_Attendance</t>
  </si>
  <si>
    <t xml:space="preserve">WC-CONT; E1032 Shivanna Muniyappa, 06 and 13 Sep</t>
  </si>
  <si>
    <t xml:space="preserve">Sundays appear as Working, not Weekly Off. Wage type Daily on the employee record.</t>
  </si>
  <si>
    <t xml:space="preserve">38_Employment_Categories, 47_Pay_Components, 55_Payroll_Register</t>
  </si>
  <si>
    <t xml:space="preserve">Third-party group: employees have rest days, helpers do not</t>
  </si>
  <si>
    <t xml:space="preserve">E1034 Imran Shaikh (WC-3PE) vs E1036 Lakshmi Rao (WC-3PH), 06 Sep</t>
  </si>
  <si>
    <t xml:space="preserve">Same vendor VN-01, same site, same shift. Sunday is Weekly Off for one and Working for the other.</t>
  </si>
  <si>
    <t xml:space="preserve">38_Employment_Categories, 45_Vendors_Contractors, 46_Contractor_Invoices</t>
  </si>
  <si>
    <t xml:space="preserve">Overtime only on rest days or holidays for some employees</t>
  </si>
  <si>
    <t xml:space="preserve">06_Worker_Classes, 21_Expected_Attendance</t>
  </si>
  <si>
    <t xml:space="preserve">E1034 Imran Shaikh, 04 Sep vs 06 Sep</t>
  </si>
  <si>
    <t xml:space="preserve">Weekday OT computes to zero despite a 12h+ span. Rest-day working pays the whole span as OT.</t>
  </si>
  <si>
    <t xml:space="preserve">38_Employment_Categories, 55_Payroll_Register</t>
  </si>
  <si>
    <t xml:space="preserve">Early return from leave — mark present, re-credit balance, three-level approval</t>
  </si>
  <si>
    <t xml:space="preserve">Done</t>
  </si>
  <si>
    <t xml:space="preserve">18_Leave_Requests, 17_Leave_Ledger</t>
  </si>
  <si>
    <t xml:space="preserve">LV-2026-0774, E1043 Neha Mishra</t>
  </si>
  <si>
    <t xml:space="preserve">Applied 10 days, returned after 6. Ledger shows the original debit and a reversal credit of the unused days. Approval trail shows Supervisor, then HOD, then HR Head, with an HR edit logged.</t>
  </si>
  <si>
    <t xml:space="preserve">50_Attendance_Regularisation, 53_Leave_Balance_AsOn, 64_Approval_Workflows</t>
  </si>
  <si>
    <t xml:space="preserve">Comp-off lapses 60 days from the credit date</t>
  </si>
  <si>
    <t xml:space="preserve">19_CompOff_Ledger</t>
  </si>
  <si>
    <t xml:space="preserve">CO-2026-0231 (E1028) and CO-2026-0288 (E1028)</t>
  </si>
  <si>
    <t xml:space="preserve">Two credits on separate clocks. The July credit lapses 10 Sep; the 06 Sep credit runs to 05 Nov. Show that a single balance-level expiry cannot express this.</t>
  </si>
  <si>
    <t xml:space="preserve">53_Leave_Balance_AsOn — the ledger now reconciles to the comp-off register</t>
  </si>
  <si>
    <t xml:space="preserve">Auto leave credit — bands, accrual, joiner proration, caps, encashment, trainees</t>
  </si>
  <si>
    <t xml:space="preserve">14_Leave_Types, 15_Leave_Accrual_Policy, 16_Leave_Proration, 17_Leave_Ledger</t>
  </si>
  <si>
    <t xml:space="preserve">E1004 (AGM band, 18 EL), E1019 (standard, 1.5 EL/month), E1067 Ankita Bhargava (6 months on 16 Sep, 9 EL), E1060 (April joiner, 4 CL/SL), E1030/E1031 (GET/DET)</t>
  </si>
  <si>
    <t xml:space="preserve">Walk the ladder from policy to individual balance. Then attempt a CL+EL combined application and show it blocked by the exclusion rule, and an 11th EL day in one month blocked by the monthly cap.</t>
  </si>
  <si>
    <t xml:space="preserve">39_Leave_Schemes, 40_Leave_Rules_Matrix, 53_Leave_Balance_AsOn, 54_Year_End_Leave_Preview</t>
  </si>
  <si>
    <t xml:space="preserve">HO-generated salary, plant attendance, plant users cannot see rate</t>
  </si>
  <si>
    <t xml:space="preserve">12_Employees, 13_Salary_Structure</t>
  </si>
  <si>
    <t xml:space="preserve">E1056 Anand Krishnan — location LOC-CHN, payroll group HO</t>
  </si>
  <si>
    <t xml:space="preserve">Sign in as the Chennai plant HR user: attendance visible and editable, every compensation field blank. Sign in as E1007 Deepak Sarangi (payroll): the same record shows full salary.</t>
  </si>
  <si>
    <t xml:space="preserve">43_Roles_and_Data_Scope, 44_Demo_Users, 55_Payroll_Register</t>
  </si>
  <si>
    <t xml:space="preserve">Loan policy — one at a time, guarantors, 4x and 6x basic, guarantor lock, override</t>
  </si>
  <si>
    <t xml:space="preserve">24_Loans, 25_Loan_Guarantors</t>
  </si>
  <si>
    <t xml:space="preserve">LN-2026-0041, LN-2026-0009, LN-APP-2026-0014, LN-2026-0012</t>
  </si>
  <si>
    <t xml:space="preserve">E1044 has an active loan at 4x basic. His guarantors E1040 and E1041 are now blocked — show E1041's application rejected with the reason. E1056 qualifies at 6x on 8 years' service. E1050's closed loan released his guarantors. E1022 carries a director-approved special-terms sanction.</t>
  </si>
  <si>
    <t xml:space="preserve">64_Approval_Workflows</t>
  </si>
  <si>
    <t xml:space="preserve">Overtime generated and paid after salary, not with it</t>
  </si>
  <si>
    <t xml:space="preserve">23_Overtime_Register, 26_Payroll_Runs</t>
  </si>
  <si>
    <t xml:space="preserve">PR-2026-09-01 and PR-2026-09-02</t>
  </si>
  <si>
    <t xml:space="preserve">Two runs against September. The regular run releases on 30 Sep; the off-cycle OT run on 07 Oct, with its own bank file and its own GL journal line.</t>
  </si>
  <si>
    <t xml:space="preserve">55_Payroll_Register, 56_GL_Journal, 57_Bank_File</t>
  </si>
  <si>
    <t xml:space="preserve">Gate pass — 4 hours a month, maximum two, added to work hours</t>
  </si>
  <si>
    <t xml:space="preserve">22_Gate_Pass, 21_Expected_Attendance</t>
  </si>
  <si>
    <t xml:space="preserve">GP-2026-0141, GP-2026-0155, GP-2026-0163 (E1023)</t>
  </si>
  <si>
    <t xml:space="preserve">Two approved passes of 2h each. Both dates show the gap as a break and the same minutes credited back, so net hours are unaffected. The third request is rejected on the monthly ceiling.</t>
  </si>
  <si>
    <t xml:space="preserve">49_Break_Register, 67_Reports_Register</t>
  </si>
  <si>
    <t xml:space="preserve">Half-day and absent thresholds, grace, three lates, exemption, long-night relief</t>
  </si>
  <si>
    <t xml:space="preserve">08_Attendance_Rules, 21_Expected_Attendance</t>
  </si>
  <si>
    <t xml:space="preserve">E1022 (02 and 09 Sep), E1019 (01/03/07/10/14 Sep), E1041 (07 Sep), E1018 (09 Sep), E1021 any late day</t>
  </si>
  <si>
    <t xml:space="preserve">Half day, absent, the fourth late converting to half day, the 10h-shift threshold, relief after a 03:20 finish, and a Manager-grade employee arriving late with no deduction.</t>
  </si>
  <si>
    <t xml:space="preserve">41_Grace_Late_Policy, 42_Night_Extension_Rule, 51_Attendance_Exceptions — and E1021 now has attendance</t>
  </si>
  <si>
    <t xml:space="preserve">Auto shift capture from the in-punch</t>
  </si>
  <si>
    <t xml:space="preserve">07_Shifts, 21_Expected_Attendance</t>
  </si>
  <si>
    <t xml:space="preserve">E1020 Arjun Bhat, 04 and 11 Sep</t>
  </si>
  <si>
    <t xml:space="preserve">Assigned SH-A, punched inside the SH-B window. Shift_Applied differs from Shift_Assigned and the 12h threshold is applied against the inferred shift.</t>
  </si>
  <si>
    <t xml:space="preserve">52_Shift_Roster, 51_Attendance_Exceptions</t>
  </si>
  <si>
    <t xml:space="preserve">Link the ERP employee master by API</t>
  </si>
  <si>
    <t xml:space="preserve">36_ERP_Inbound_Master</t>
  </si>
  <si>
    <t xml:space="preserve">Batch ERP-SYNC-2026-09-14, six rows</t>
  </si>
  <si>
    <t xml:space="preserve">Three clean upserts, one field-ownership conflict held for review, one unmatched employee code, one duplicate payload rejected on hash. Show the ownership map deciding who wins.</t>
  </si>
  <si>
    <t xml:space="preserve">Account posting to ERP</t>
  </si>
  <si>
    <t xml:space="preserve">35_GL_Mapping, 26_Payroll_Runs</t>
  </si>
  <si>
    <t xml:space="preserve">September journal, both runs</t>
  </si>
  <si>
    <t xml:space="preserve">Every component mapped to an account and cost centre. Show the run blocked when a mapping is missing, then the balanced journal and the reconciliation to the bank file total.</t>
  </si>
  <si>
    <t xml:space="preserve">56_GL_Journal, 57_Bank_File, 35_GL_Mapping — four accounts added so the journal balances</t>
  </si>
  <si>
    <t xml:space="preserve">Full and final on the last working day, with no-dues clearance</t>
  </si>
  <si>
    <t xml:space="preserve">27_Exit_Clearance</t>
  </si>
  <si>
    <t xml:space="preserve">E1068 Dinesh Vaidya (LWD 30 Sep), E1042 Swapnil Kadam (LWD 18 Sep)</t>
  </si>
  <si>
    <t xml:space="preserve">Nine checklist items with named owners, four blocking. E1042 has two open blocking items so F&amp;F is held; E1068 is fully cleared and settles on the last working day.</t>
  </si>
  <si>
    <t xml:space="preserve">58_FnF_Settlement, 33_Assets recovery value, 57_Bank_File</t>
  </si>
  <si>
    <t xml:space="preserve">Statutory compliance, Factory Act forms and returns</t>
  </si>
  <si>
    <t xml:space="preserve">28_Statutory_Calendar, 29_Statutory_Forms</t>
  </si>
  <si>
    <t xml:space="preserve">Sep–Nov obligations across four states</t>
  </si>
  <si>
    <t xml:space="preserve">PT differs by state on the same run. Show the register set for a Karnataka factory against Tamil Nadu.</t>
  </si>
  <si>
    <t xml:space="preserve">48_PT_Slabs, 62_Documents, 45_Vendors_Contractors</t>
  </si>
  <si>
    <t xml:space="preserve">Star employees</t>
  </si>
  <si>
    <t xml:space="preserve">30_Recognition_Referral</t>
  </si>
  <si>
    <t xml:space="preserve">RC-2026-Q2-004, RC-2026-Q2-007</t>
  </si>
  <si>
    <t xml:space="preserve">Programme, citation, period and the award component flowing to payroll as an earning.</t>
  </si>
  <si>
    <t xml:space="preserve">Referral process and awards</t>
  </si>
  <si>
    <t xml:space="preserve">RF-2026-0021 (part paid), RF-2026-0026 (balance due on confirmation)</t>
  </si>
  <si>
    <t xml:space="preserve">Referral tracked from candidate through to a payroll payout in a named run.</t>
  </si>
  <si>
    <t xml:space="preserve">59_Candidates_and_Offers, 60_Confirmations</t>
  </si>
  <si>
    <t xml:space="preserve">Announcements — birthday, star employee, new joiner, referral, management message</t>
  </si>
  <si>
    <t xml:space="preserve">31_Announcements</t>
  </si>
  <si>
    <t xml:space="preserve">AN-2026-0088 through AN-2026-0094</t>
  </si>
  <si>
    <t xml:space="preserve">Auto-generated from events, with audience rules and channel selection including WhatsApp.</t>
  </si>
  <si>
    <t xml:space="preserve">Appointment and other HR letters</t>
  </si>
  <si>
    <t xml:space="preserve">32_Letter_Templates</t>
  </si>
  <si>
    <t xml:space="preserve">TPL-APPT-02 issued to E1066, TPL-CONF-01 issued to E1058</t>
  </si>
  <si>
    <t xml:space="preserve">Template version retained against the issued letter, so a reprint two years later is provable.</t>
  </si>
  <si>
    <t xml:space="preserve">Organisation chart, department-wise hierarchy</t>
  </si>
  <si>
    <t xml:space="preserve">04_Org_Units, 12_Employees</t>
  </si>
  <si>
    <t xml:space="preserve">OU-100 down to OU-180, three levels</t>
  </si>
  <si>
    <t xml:space="preserve">Drill the chart, then filter headcount by org unit and location.</t>
  </si>
  <si>
    <t xml:space="preserve">Induction training at joining, and asset</t>
  </si>
  <si>
    <t xml:space="preserve">33_Assets, 34_Induction_Learning</t>
  </si>
  <si>
    <t xml:space="preserve">E1066 Abhinav Rastogi, joined 01 Sep</t>
  </si>
  <si>
    <t xml:space="preserve">Induction path assigned on joining, three assets allocated, and the same assets appearing as blocking clearance items at exit.</t>
  </si>
  <si>
    <t xml:space="preserve">60_Confirmations, 61_Preboarding_Chain, 62_Documents</t>
  </si>
  <si>
    <t xml:space="preserve">Recruitment — position code for replacement</t>
  </si>
  <si>
    <t xml:space="preserve">11_Positions, 37_Requisitions</t>
  </si>
  <si>
    <t xml:space="preserve">REQ-2026-0037 against vacated POS-2214; REQ-2026-0041 as an addition</t>
  </si>
  <si>
    <t xml:space="preserve">The replacement consumes no fresh sanction. The addition is blocked because Machining is at sanctioned strength.</t>
  </si>
  <si>
    <t xml:space="preserve">59_Candidates_and_Offers, 61_Preboarding_Chain</t>
  </si>
  <si>
    <t xml:space="preserve">Approved manpower, department wise</t>
  </si>
  <si>
    <t xml:space="preserve">10_Sanctioned_Manpower</t>
  </si>
  <si>
    <t xml:space="preserve">OU-111 Machining at Peenya — 24 sanctioned, 24 filled</t>
  </si>
  <si>
    <t xml:space="preserve">Sanctioned against actual against open requisitions, by department, designation and location.</t>
  </si>
  <si>
    <t xml:space="preserve">59_Candidates_and_Offers</t>
  </si>
  <si>
    <t xml:space="preserve">Joining form under the Factory Act, Form F</t>
  </si>
  <si>
    <t xml:space="preserve">29_Statutory_Forms, 34_Induction_Learning</t>
  </si>
  <si>
    <t xml:space="preserve">FRM-F-2026-0112 for E1066</t>
  </si>
  <si>
    <t xml:space="preserve">Generated inside the joining chain, not chased afterwards. Owner for this item is to be assigned.</t>
  </si>
  <si>
    <t xml:space="preserve">61_Preboarding_Chain</t>
  </si>
  <si>
    <t xml:space="preserve">This sheet is the demo script. Run the points in the order your client raised them, not in numeric order.</t>
  </si>
  <si>
    <t xml:space="preserve">Entity code</t>
  </si>
  <si>
    <t xml:space="preserve">Registered name</t>
  </si>
  <si>
    <t xml:space="preserve">CIN / LLPIN</t>
  </si>
  <si>
    <t xml:space="preserve">Registered office</t>
  </si>
  <si>
    <t xml:space="preserve">PAN</t>
  </si>
  <si>
    <t xml:space="preserve">PF / Labour code</t>
  </si>
  <si>
    <t xml:space="preserve">GSTIN</t>
  </si>
  <si>
    <t xml:space="preserve">Financial year</t>
  </si>
  <si>
    <t xml:space="preserve">Status</t>
  </si>
  <si>
    <t xml:space="preserve">LE-01</t>
  </si>
  <si>
    <t xml:space="preserve">Vindhya Precision Industries Pvt Ltd</t>
  </si>
  <si>
    <t xml:space="preserve">U29253KA2011PTC058411</t>
  </si>
  <si>
    <t xml:space="preserve">Bengaluru, Karnataka</t>
  </si>
  <si>
    <t xml:space="preserve">AAACV4471K</t>
  </si>
  <si>
    <t xml:space="preserve">KA/BLR/0045512</t>
  </si>
  <si>
    <t xml:space="preserve">29AAACV4471K1ZP</t>
  </si>
  <si>
    <t xml:space="preserve">Apr-Mar</t>
  </si>
  <si>
    <t xml:space="preserve">Active</t>
  </si>
  <si>
    <t xml:space="preserve">LE-02</t>
  </si>
  <si>
    <t xml:space="preserve">Vindhya Components Pvt Ltd</t>
  </si>
  <si>
    <t xml:space="preserve">U29309TG2016PTC112904</t>
  </si>
  <si>
    <t xml:space="preserve">Hyderabad, Telangana</t>
  </si>
  <si>
    <t xml:space="preserve">AAECV8820M</t>
  </si>
  <si>
    <t xml:space="preserve">TS/HYD/0021877</t>
  </si>
  <si>
    <t xml:space="preserve">36AAECV8820M1ZR</t>
  </si>
  <si>
    <t xml:space="preserve">Location code</t>
  </si>
  <si>
    <t xml:space="preserve">Location name</t>
  </si>
  <si>
    <t xml:space="preserve">Entity</t>
  </si>
  <si>
    <t xml:space="preserve">City</t>
  </si>
  <si>
    <t xml:space="preserve">State</t>
  </si>
  <si>
    <t xml:space="preserve">State code</t>
  </si>
  <si>
    <t xml:space="preserve">Establishment type</t>
  </si>
  <si>
    <t xml:space="preserve">PIN</t>
  </si>
  <si>
    <t xml:space="preserve">Factory licence</t>
  </si>
  <si>
    <t xml:space="preserve">PT slab set</t>
  </si>
  <si>
    <t xml:space="preserve">LWF set</t>
  </si>
  <si>
    <t xml:space="preserve">Payroll group</t>
  </si>
  <si>
    <t xml:space="preserve">Factory Act applies</t>
  </si>
  <si>
    <t xml:space="preserve">LOC-BLR</t>
  </si>
  <si>
    <t xml:space="preserve">Bengaluru Corporate Office</t>
  </si>
  <si>
    <t xml:space="preserve">Bengaluru</t>
  </si>
  <si>
    <t xml:space="preserve">Karnataka</t>
  </si>
  <si>
    <t xml:space="preserve">KA</t>
  </si>
  <si>
    <t xml:space="preserve">Office</t>
  </si>
  <si>
    <t xml:space="preserve">560001</t>
  </si>
  <si>
    <t xml:space="preserve">Not applicable</t>
  </si>
  <si>
    <t xml:space="preserve">KA-PT-Slab-2026</t>
  </si>
  <si>
    <t xml:space="preserve">KA-LWF</t>
  </si>
  <si>
    <t xml:space="preserve">HO</t>
  </si>
  <si>
    <t xml:space="preserve">N</t>
  </si>
  <si>
    <t xml:space="preserve">LOC-PLA</t>
  </si>
  <si>
    <t xml:space="preserve">Peenya Works</t>
  </si>
  <si>
    <t xml:space="preserve">Factory</t>
  </si>
  <si>
    <t xml:space="preserve">560058</t>
  </si>
  <si>
    <t xml:space="preserve">KA/FAC/2013/00891</t>
  </si>
  <si>
    <t xml:space="preserve">PLANT-BLR</t>
  </si>
  <si>
    <t xml:space="preserve">Y</t>
  </si>
  <si>
    <t xml:space="preserve">LOC-PUN</t>
  </si>
  <si>
    <t xml:space="preserve">Chakan Works</t>
  </si>
  <si>
    <t xml:space="preserve">Pune</t>
  </si>
  <si>
    <t xml:space="preserve">Maharashtra</t>
  </si>
  <si>
    <t xml:space="preserve">MH</t>
  </si>
  <si>
    <t xml:space="preserve">410501</t>
  </si>
  <si>
    <t xml:space="preserve">MH/FAC/2015/03327</t>
  </si>
  <si>
    <t xml:space="preserve">MH-PT-Slab-2026</t>
  </si>
  <si>
    <t xml:space="preserve">MH-LWF</t>
  </si>
  <si>
    <t xml:space="preserve">PLANT-PUN</t>
  </si>
  <si>
    <t xml:space="preserve">LOC-HYD</t>
  </si>
  <si>
    <t xml:space="preserve">Medchal Works</t>
  </si>
  <si>
    <t xml:space="preserve">Hyderabad</t>
  </si>
  <si>
    <t xml:space="preserve">Telangana</t>
  </si>
  <si>
    <t xml:space="preserve">TS</t>
  </si>
  <si>
    <t xml:space="preserve">501401</t>
  </si>
  <si>
    <t xml:space="preserve">TS/FAC/2016/01142</t>
  </si>
  <si>
    <t xml:space="preserve">TS-PT-Slab-2026</t>
  </si>
  <si>
    <t xml:space="preserve">TS-LWF</t>
  </si>
  <si>
    <t xml:space="preserve">PLANT-HYD</t>
  </si>
  <si>
    <t xml:space="preserve">LOC-CHN</t>
  </si>
  <si>
    <t xml:space="preserve">Oragadam Works</t>
  </si>
  <si>
    <t xml:space="preserve">Chennai</t>
  </si>
  <si>
    <t xml:space="preserve">Tamil Nadu</t>
  </si>
  <si>
    <t xml:space="preserve">TN</t>
  </si>
  <si>
    <t xml:space="preserve">602105</t>
  </si>
  <si>
    <t xml:space="preserve">TN/FAC/2015/02218</t>
  </si>
  <si>
    <t xml:space="preserve">TN-PT-Slab-2026</t>
  </si>
  <si>
    <t xml:space="preserve">TN-LWF</t>
  </si>
  <si>
    <t xml:space="preserve">PLANT-CHN</t>
  </si>
  <si>
    <t xml:space="preserve">Org unit code</t>
  </si>
  <si>
    <t xml:space="preserve">Org unit name</t>
  </si>
  <si>
    <t xml:space="preserve">Parent</t>
  </si>
  <si>
    <t xml:space="preserve">Level</t>
  </si>
  <si>
    <t xml:space="preserve">Type</t>
  </si>
  <si>
    <t xml:space="preserve">Primary location</t>
  </si>
  <si>
    <t xml:space="preserve">Cost centre</t>
  </si>
  <si>
    <t xml:space="preserve">OU-100</t>
  </si>
  <si>
    <t xml:space="preserve">Executive Office</t>
  </si>
  <si>
    <t xml:space="preserve">Function</t>
  </si>
  <si>
    <t xml:space="preserve">CC-1000</t>
  </si>
  <si>
    <t xml:space="preserve">OU-110</t>
  </si>
  <si>
    <t xml:space="preserve">Manufacturing</t>
  </si>
  <si>
    <t xml:space="preserve">CC-2000</t>
  </si>
  <si>
    <t xml:space="preserve">OU-111</t>
  </si>
  <si>
    <t xml:space="preserve">Machining</t>
  </si>
  <si>
    <t xml:space="preserve">Sub-function</t>
  </si>
  <si>
    <t xml:space="preserve">CC-2100</t>
  </si>
  <si>
    <t xml:space="preserve">OU-112</t>
  </si>
  <si>
    <t xml:space="preserve">Assembly</t>
  </si>
  <si>
    <t xml:space="preserve">CC-2200</t>
  </si>
  <si>
    <t xml:space="preserve">OU-113</t>
  </si>
  <si>
    <t xml:space="preserve">Quality Assurance</t>
  </si>
  <si>
    <t xml:space="preserve">CC-2300</t>
  </si>
  <si>
    <t xml:space="preserve">OU-114</t>
  </si>
  <si>
    <t xml:space="preserve">Maintenance</t>
  </si>
  <si>
    <t xml:space="preserve">CC-2400</t>
  </si>
  <si>
    <t xml:space="preserve">OU-120</t>
  </si>
  <si>
    <t xml:space="preserve">Supply Chain</t>
  </si>
  <si>
    <t xml:space="preserve">CC-3000</t>
  </si>
  <si>
    <t xml:space="preserve">OU-121</t>
  </si>
  <si>
    <t xml:space="preserve">Stores</t>
  </si>
  <si>
    <t xml:space="preserve">CC-3100</t>
  </si>
  <si>
    <t xml:space="preserve">OU-122</t>
  </si>
  <si>
    <t xml:space="preserve">Logistics</t>
  </si>
  <si>
    <t xml:space="preserve">CC-3200</t>
  </si>
  <si>
    <t xml:space="preserve">OU-130</t>
  </si>
  <si>
    <t xml:space="preserve">Engineering</t>
  </si>
  <si>
    <t xml:space="preserve">CC-4000</t>
  </si>
  <si>
    <t xml:space="preserve">OU-140</t>
  </si>
  <si>
    <t xml:space="preserve">Sales &amp; Marketing</t>
  </si>
  <si>
    <t xml:space="preserve">CC-5000</t>
  </si>
  <si>
    <t xml:space="preserve">OU-150</t>
  </si>
  <si>
    <t xml:space="preserve">Finance &amp; Accounts</t>
  </si>
  <si>
    <t xml:space="preserve">CC-6000</t>
  </si>
  <si>
    <t xml:space="preserve">OU-160</t>
  </si>
  <si>
    <t xml:space="preserve">Human Resources</t>
  </si>
  <si>
    <t xml:space="preserve">CC-6500</t>
  </si>
  <si>
    <t xml:space="preserve">OU-170</t>
  </si>
  <si>
    <t xml:space="preserve">Information Technology</t>
  </si>
  <si>
    <t xml:space="preserve">CC-7000</t>
  </si>
  <si>
    <t xml:space="preserve">OU-180</t>
  </si>
  <si>
    <t xml:space="preserve">Environment, Health &amp; Safety</t>
  </si>
  <si>
    <t xml:space="preserve">CC-2500</t>
  </si>
  <si>
    <t xml:space="preserve">Designation code</t>
  </si>
  <si>
    <t xml:space="preserve">Title</t>
  </si>
  <si>
    <t xml:space="preserve">Band</t>
  </si>
  <si>
    <t xml:space="preserve">Exempt from grace deduction</t>
  </si>
  <si>
    <t xml:space="preserve">Leave band</t>
  </si>
  <si>
    <t xml:space="preserve">Overtime default</t>
  </si>
  <si>
    <t xml:space="preserve">Notice period (days)</t>
  </si>
  <si>
    <t xml:space="preserve">Grade rank</t>
  </si>
  <si>
    <t xml:space="preserve">Default leave scheme</t>
  </si>
  <si>
    <t xml:space="preserve">Rule the rank serves</t>
  </si>
  <si>
    <t xml:space="preserve">DES-01</t>
  </si>
  <si>
    <t xml:space="preserve">Managing Director</t>
  </si>
  <si>
    <t xml:space="preserve">E</t>
  </si>
  <si>
    <t xml:space="preserve">AGM_AND_ABOVE</t>
  </si>
  <si>
    <t xml:space="preserve">None</t>
  </si>
  <si>
    <t xml:space="preserve">LS-AGM</t>
  </si>
  <si>
    <t xml:space="preserve">AGM and above — 18 EL / 6 CL / 6 SL on 1 Jan (LP-01 to LP-03); also grace-exempt</t>
  </si>
  <si>
    <t xml:space="preserve">DES-02</t>
  </si>
  <si>
    <t xml:space="preserve">Vice President</t>
  </si>
  <si>
    <t xml:space="preserve">DES-03</t>
  </si>
  <si>
    <t xml:space="preserve">General Manager</t>
  </si>
  <si>
    <t xml:space="preserve">D</t>
  </si>
  <si>
    <t xml:space="preserve">DES-04</t>
  </si>
  <si>
    <t xml:space="preserve">Assistant General Manager</t>
  </si>
  <si>
    <t xml:space="preserve">DES-05</t>
  </si>
  <si>
    <t xml:space="preserve">Senior Manager</t>
  </si>
  <si>
    <t xml:space="preserve">C</t>
  </si>
  <si>
    <t xml:space="preserve">STANDARD</t>
  </si>
  <si>
    <t xml:space="preserve">LS-STD</t>
  </si>
  <si>
    <t xml:space="preserve">Assistant Manager and above — exempt from the late-mark deduction</t>
  </si>
  <si>
    <t xml:space="preserve">DES-06</t>
  </si>
  <si>
    <t xml:space="preserve">Manager</t>
  </si>
  <si>
    <t xml:space="preserve">DES-07</t>
  </si>
  <si>
    <t xml:space="preserve">Assistant Manager</t>
  </si>
  <si>
    <t xml:space="preserve">DES-08</t>
  </si>
  <si>
    <t xml:space="preserve">Senior Engineer</t>
  </si>
  <si>
    <t xml:space="preserve">B</t>
  </si>
  <si>
    <t xml:space="preserve">All</t>
  </si>
  <si>
    <t xml:space="preserve">DES-09</t>
  </si>
  <si>
    <t xml:space="preserve">Engineer</t>
  </si>
  <si>
    <t xml:space="preserve">DES-10</t>
  </si>
  <si>
    <t xml:space="preserve">Senior Officer</t>
  </si>
  <si>
    <t xml:space="preserve">DES-11</t>
  </si>
  <si>
    <t xml:space="preserve">Officer</t>
  </si>
  <si>
    <t xml:space="preserve">A</t>
  </si>
  <si>
    <t xml:space="preserve">DES-12</t>
  </si>
  <si>
    <t xml:space="preserve">Senior Operator</t>
  </si>
  <si>
    <t xml:space="preserve">DES-13</t>
  </si>
  <si>
    <t xml:space="preserve">Operator</t>
  </si>
  <si>
    <t xml:space="preserve">DES-14</t>
  </si>
  <si>
    <t xml:space="preserve">Technician</t>
  </si>
  <si>
    <t xml:space="preserve">DES-15</t>
  </si>
  <si>
    <t xml:space="preserve">Graduate Engineer Trainee</t>
  </si>
  <si>
    <t xml:space="preserve">T</t>
  </si>
  <si>
    <t xml:space="preserve">TRAINEE_GET</t>
  </si>
  <si>
    <t xml:space="preserve">LS-TRN</t>
  </si>
  <si>
    <t xml:space="preserve">DES-16</t>
  </si>
  <si>
    <t xml:space="preserve">Diploma Engineer Trainee</t>
  </si>
  <si>
    <t xml:space="preserve">TRAINEE_DET</t>
  </si>
  <si>
    <t xml:space="preserve">DES-17</t>
  </si>
  <si>
    <t xml:space="preserve">Helper</t>
  </si>
  <si>
    <t xml:space="preserve">H</t>
  </si>
  <si>
    <t xml:space="preserve">NOT_ELIGIBLE</t>
  </si>
  <si>
    <t xml:space="preserve">RestDayHolidayOnly</t>
  </si>
  <si>
    <t xml:space="preserve">LS-NONE</t>
  </si>
  <si>
    <t xml:space="preserve">DES-18</t>
  </si>
  <si>
    <t xml:space="preserve">Contract Operator</t>
  </si>
  <si>
    <t xml:space="preserve">DES-19</t>
  </si>
  <si>
    <t xml:space="preserve">Apprentice</t>
  </si>
  <si>
    <t xml:space="preserve">DES-20</t>
  </si>
  <si>
    <t xml:space="preserve">Retainer Consultant</t>
  </si>
  <si>
    <t xml:space="preserve">Exempt from grace deduction is Y for Assistant Manager and above, per client rule. Leave band drives the accrual policy in sheet 15. ADDED v1.1: Grade rank is the single numeric ladder every "and above" rule must compare. AGM and above is rank &gt;= 70; Assistant Manager and above is rank &gt;= 50. No rule may match a designation name.</t>
  </si>
  <si>
    <t xml:space="preserve">Class code</t>
  </si>
  <si>
    <t xml:space="preserve">Label</t>
  </si>
  <si>
    <t xml:space="preserve">Has rest days</t>
  </si>
  <si>
    <t xml:space="preserve">Rest day pattern</t>
  </si>
  <si>
    <t xml:space="preserve">Wage type</t>
  </si>
  <si>
    <t xml:space="preserve">Overtime eligibility</t>
  </si>
  <si>
    <t xml:space="preserve">Leave eligible</t>
  </si>
  <si>
    <t xml:space="preserve">Statutory set</t>
  </si>
  <si>
    <t xml:space="preserve">Obligation</t>
  </si>
  <si>
    <t xml:space="preserve">WC-PERM</t>
  </si>
  <si>
    <t xml:space="preserve">Permanent</t>
  </si>
  <si>
    <t xml:space="preserve">Sunday weekly off</t>
  </si>
  <si>
    <t xml:space="preserve">Monthly</t>
  </si>
  <si>
    <t xml:space="preserve">PF+ESI+PT+LWF+Gratuity</t>
  </si>
  <si>
    <t xml:space="preserve">Direct</t>
  </si>
  <si>
    <t xml:space="preserve">WC-FTC</t>
  </si>
  <si>
    <t xml:space="preserve">Fixed Term Contract</t>
  </si>
  <si>
    <t xml:space="preserve">PF+ESI+PT+LWF+Gratuity (FTC treatment)</t>
  </si>
  <si>
    <t xml:space="preserve">WC-TRN</t>
  </si>
  <si>
    <t xml:space="preserve">Trainee</t>
  </si>
  <si>
    <t xml:space="preserve">Y (CL only, per band)</t>
  </si>
  <si>
    <t xml:space="preserve">PF+ESI+PT</t>
  </si>
  <si>
    <t xml:space="preserve">Point 7</t>
  </si>
  <si>
    <t xml:space="preserve">WC-APP</t>
  </si>
  <si>
    <t xml:space="preserve">Stipend</t>
  </si>
  <si>
    <t xml:space="preserve">Apprentices Act — no PF/ESI</t>
  </si>
  <si>
    <t xml:space="preserve">WC-CONT</t>
  </si>
  <si>
    <t xml:space="preserve">Contractual — daily wage</t>
  </si>
  <si>
    <t xml:space="preserve">No rest day</t>
  </si>
  <si>
    <t xml:space="preserve">Daily</t>
  </si>
  <si>
    <t xml:space="preserve">Point 2</t>
  </si>
  <si>
    <t xml:space="preserve">WC-3PE</t>
  </si>
  <si>
    <t xml:space="preserve">Third-Party Employee</t>
  </si>
  <si>
    <t xml:space="preserve">Contractor's PF/ESI — verification held</t>
  </si>
  <si>
    <t xml:space="preserve">Principal Employer</t>
  </si>
  <si>
    <t xml:space="preserve">Points 3, 4</t>
  </si>
  <si>
    <t xml:space="preserve">WC-3PH</t>
  </si>
  <si>
    <t xml:space="preserve">Third-Party Helper</t>
  </si>
  <si>
    <t xml:space="preserve">Point 3</t>
  </si>
  <si>
    <t xml:space="preserve">WC-CONS</t>
  </si>
  <si>
    <t xml:space="preserve">Retainer</t>
  </si>
  <si>
    <t xml:space="preserve">TDS 194J only</t>
  </si>
  <si>
    <t xml:space="preserve">WC-GIG</t>
  </si>
  <si>
    <t xml:space="preserve">Gig / Platform Worker</t>
  </si>
  <si>
    <t xml:space="preserve">Per engagement</t>
  </si>
  <si>
    <t xml:space="preserve">Social Security Code — aggregator contribution</t>
  </si>
  <si>
    <t xml:space="preserve">Aggregator</t>
  </si>
  <si>
    <t xml:space="preserve">Worker class carries time and pay policy, not just statutory applicability. Every attribute here is overridable on the individual assignment with a reason.</t>
  </si>
  <si>
    <t xml:space="preserve">Shift code</t>
  </si>
  <si>
    <t xml:space="preserve">Shift name</t>
  </si>
  <si>
    <t xml:space="preserve">Shift group</t>
  </si>
  <si>
    <t xml:space="preserve">Start</t>
  </si>
  <si>
    <t xml:space="preserve">End</t>
  </si>
  <si>
    <t xml:space="preserve">Duration (min)</t>
  </si>
  <si>
    <t xml:space="preserve">Break — recorded, paid (min)</t>
  </si>
  <si>
    <t xml:space="preserve">Break — deducted (min)</t>
  </si>
  <si>
    <t xml:space="preserve">Inference window — earliest in</t>
  </si>
  <si>
    <t xml:space="preserve">Inference window — latest in</t>
  </si>
  <si>
    <t xml:space="preserve">Crosses midnight</t>
  </si>
  <si>
    <t xml:space="preserve">Half day if net below (min)</t>
  </si>
  <si>
    <t xml:space="preserve">Absent if net below (min)</t>
  </si>
  <si>
    <t xml:space="preserve">OT starts after (min)</t>
  </si>
  <si>
    <t xml:space="preserve">Auto detect enabled</t>
  </si>
  <si>
    <t xml:space="preserve">Thresholds source</t>
  </si>
  <si>
    <t xml:space="preserve">SH-A</t>
  </si>
  <si>
    <t xml:space="preserve">A Shift — Day 12h</t>
  </si>
  <si>
    <t xml:space="preserve">PLANT12</t>
  </si>
  <si>
    <t xml:space="preserve">08:00</t>
  </si>
  <si>
    <t xml:space="preserve">20:00</t>
  </si>
  <si>
    <t xml:space="preserve">06:30</t>
  </si>
  <si>
    <t xml:space="preserve">09:29</t>
  </si>
  <si>
    <t xml:space="preserve">Mirrors 08_Attendance_Rules for this shift length. F-SHF-01 requires the thresholds to live on the shift, not in code.</t>
  </si>
  <si>
    <t xml:space="preserve">SH-B</t>
  </si>
  <si>
    <t xml:space="preserve">B Shift — Night 12h</t>
  </si>
  <si>
    <t xml:space="preserve">19:00</t>
  </si>
  <si>
    <t xml:space="preserve">22:29</t>
  </si>
  <si>
    <t xml:space="preserve">SH-C</t>
  </si>
  <si>
    <t xml:space="preserve">C Shift — Early 10h</t>
  </si>
  <si>
    <t xml:space="preserve">PLANT10</t>
  </si>
  <si>
    <t xml:space="preserve">07:00</t>
  </si>
  <si>
    <t xml:space="preserve">17:00</t>
  </si>
  <si>
    <t xml:space="preserve">05:30</t>
  </si>
  <si>
    <t xml:space="preserve">07:59</t>
  </si>
  <si>
    <t xml:space="preserve">SH-D</t>
  </si>
  <si>
    <t xml:space="preserve">D Shift — Late 10h</t>
  </si>
  <si>
    <t xml:space="preserve">03:00</t>
  </si>
  <si>
    <t xml:space="preserve">16:00</t>
  </si>
  <si>
    <t xml:space="preserve">18:29</t>
  </si>
  <si>
    <t xml:space="preserve">SH-E</t>
  </si>
  <si>
    <t xml:space="preserve">General Shift 9h</t>
  </si>
  <si>
    <t xml:space="preserve">STAFF9</t>
  </si>
  <si>
    <t xml:space="preserve">09:00</t>
  </si>
  <si>
    <t xml:space="preserve">18:00</t>
  </si>
  <si>
    <t xml:space="preserve">07:30</t>
  </si>
  <si>
    <t xml:space="preserve">11:00</t>
  </si>
  <si>
    <t xml:space="preserve">SH-F</t>
  </si>
  <si>
    <t xml:space="preserve">Office Shift 8h</t>
  </si>
  <si>
    <t xml:space="preserve">OFFICE8</t>
  </si>
  <si>
    <t xml:space="preserve">09:30</t>
  </si>
  <si>
    <t xml:space="preserve">17:30</t>
  </si>
  <si>
    <t xml:space="preserve">11:30</t>
  </si>
  <si>
    <t xml:space="preserve">Breaks are recorded and reported but NOT deducted for this client — see sheet 21. Inference windows do not overlap inside a shift group. An in-punch inside another shift's window within the same group causes that shift to be adopted for the day (demo point 13). ADDED v1.1: half-day, absent and OT thresholds now sit on the shift itself, as F-SHF-01 requires. They are the same numbers as 08_Attendance_Rules — if the two ever disagree, the shift master wins and 08 is the audit copy. SH-F is office staff and auto-detection is off for it.</t>
  </si>
  <si>
    <t xml:space="preserve">Shift hours</t>
  </si>
  <si>
    <t xml:space="preserve">Grace in (min)</t>
  </si>
  <si>
    <t xml:space="preserve">Grace out (min)</t>
  </si>
  <si>
    <t xml:space="preserve">Late instances allowed per month</t>
  </si>
  <si>
    <t xml:space="preserve">Long night finishes after</t>
  </si>
  <si>
    <t xml:space="preserve">Next-day relief until</t>
  </si>
  <si>
    <t xml:space="preserve">Stated as</t>
  </si>
  <si>
    <t xml:space="preserve">11:30 net for half day, 6:30 for absent</t>
  </si>
  <si>
    <t xml:space="preserve">9:30 net for half day, 6:00 for absent</t>
  </si>
  <si>
    <t xml:space="preserve">8:30 net for half day, 5:00 for absent</t>
  </si>
  <si>
    <t xml:space="preserve">7:30 net for half day, 4:30 for absent</t>
  </si>
  <si>
    <t xml:space="preserve">These four rows are the client's stated rule. Sheet 21 reads them by INDEX/MATCH, so changing a threshold here updates every expected status. Overtime basis for this client is the GROSS span, not net hours — see 21_Expected_Attendance.</t>
  </si>
  <si>
    <t xml:space="preserve">Date</t>
  </si>
  <si>
    <t xml:space="preserve">Holiday</t>
  </si>
  <si>
    <t xml:space="preserve">Applicable locations</t>
  </si>
  <si>
    <t xml:space="preserve">2026-01-01</t>
  </si>
  <si>
    <t xml:space="preserve">New Year's Day</t>
  </si>
  <si>
    <t xml:space="preserve">LOC-BLR,LOC-PUN,LOC-HYD,LOC-CHN</t>
  </si>
  <si>
    <t xml:space="preserve">Festival</t>
  </si>
  <si>
    <t xml:space="preserve">2026-01-14</t>
  </si>
  <si>
    <t xml:space="preserve">Makara Sankranti / Pongal</t>
  </si>
  <si>
    <t xml:space="preserve">LOC-BLR,LOC-HYD,LOC-CHN</t>
  </si>
  <si>
    <t xml:space="preserve">2026-01-26</t>
  </si>
  <si>
    <t xml:space="preserve">Republic Day</t>
  </si>
  <si>
    <t xml:space="preserve">ALL</t>
  </si>
  <si>
    <t xml:space="preserve">National</t>
  </si>
  <si>
    <t xml:space="preserve">2026-03-04</t>
  </si>
  <si>
    <t xml:space="preserve">Holi</t>
  </si>
  <si>
    <t xml:space="preserve">2026-04-14</t>
  </si>
  <si>
    <t xml:space="preserve">Dr Ambedkar Jayanti / Tamil New Year</t>
  </si>
  <si>
    <t xml:space="preserve">LOC-BLR,LOC-PUN,LOC-CHN</t>
  </si>
  <si>
    <t xml:space="preserve">2026-05-01</t>
  </si>
  <si>
    <t xml:space="preserve">May Day</t>
  </si>
  <si>
    <t xml:space="preserve">Statutory</t>
  </si>
  <si>
    <t xml:space="preserve">2026-08-15</t>
  </si>
  <si>
    <t xml:space="preserve">Independence Day</t>
  </si>
  <si>
    <t xml:space="preserve">2026-08-26</t>
  </si>
  <si>
    <t xml:space="preserve">Ganesh Chaturthi</t>
  </si>
  <si>
    <t xml:space="preserve">LOC-BLR,LOC-PUN</t>
  </si>
  <si>
    <t xml:space="preserve">2026-09-15</t>
  </si>
  <si>
    <t xml:space="preserve">Vinayaka Chaturthi</t>
  </si>
  <si>
    <t xml:space="preserve">LOC-HYD,LOC-CHN</t>
  </si>
  <si>
    <t xml:space="preserve">2026-10-02</t>
  </si>
  <si>
    <t xml:space="preserve">Gandhi Jayanti</t>
  </si>
  <si>
    <t xml:space="preserve">2026-10-20</t>
  </si>
  <si>
    <t xml:space="preserve">Ayudha Puja / Dussehra</t>
  </si>
  <si>
    <t xml:space="preserve">LOC-BLR,LOC-CHN,LOC-HYD</t>
  </si>
  <si>
    <t xml:space="preserve">2026-11-08</t>
  </si>
  <si>
    <t xml:space="preserve">Deepavali</t>
  </si>
  <si>
    <t xml:space="preserve">2026-12-25</t>
  </si>
  <si>
    <t xml:space="preserve">Christmas</t>
  </si>
  <si>
    <t xml:space="preserve">Holidays differ by location. 15 Sep 2026 is a holiday at Hyderabad and Chennai only, which is visible in the September attendance for E1056.</t>
  </si>
  <si>
    <t xml:space="preserve">Record</t>
  </si>
  <si>
    <t xml:space="preserve">Org unit</t>
  </si>
  <si>
    <t xml:space="preserve">Designation</t>
  </si>
  <si>
    <t xml:space="preserve">Location</t>
  </si>
  <si>
    <t xml:space="preserve">Sanctioned</t>
  </si>
  <si>
    <t xml:space="preserve">Filled</t>
  </si>
  <si>
    <t xml:space="preserve">Open requisitions</t>
  </si>
  <si>
    <t xml:space="preserve">Effective from</t>
  </si>
  <si>
    <t xml:space="preserve">Approved by</t>
  </si>
  <si>
    <t xml:space="preserve">SM-001</t>
  </si>
  <si>
    <t xml:space="preserve">2026-04-01</t>
  </si>
  <si>
    <t xml:space="preserve">E1002</t>
  </si>
  <si>
    <t xml:space="preserve">Point 25</t>
  </si>
  <si>
    <t xml:space="preserve">SM-002</t>
  </si>
  <si>
    <t xml:space="preserve">Point 24</t>
  </si>
  <si>
    <t xml:space="preserve">SM-003</t>
  </si>
  <si>
    <t xml:space="preserve">SM-004</t>
  </si>
  <si>
    <t xml:space="preserve">Updated v1.1 — E1069 joined against this line, so Quality Officers at Peenya are now at sanction</t>
  </si>
  <si>
    <t xml:space="preserve">SM-005</t>
  </si>
  <si>
    <t xml:space="preserve">SM-006</t>
  </si>
  <si>
    <t xml:space="preserve">SM-007</t>
  </si>
  <si>
    <t xml:space="preserve">SM-008</t>
  </si>
  <si>
    <t xml:space="preserve">SM-009</t>
  </si>
  <si>
    <t xml:space="preserve">SM-010</t>
  </si>
  <si>
    <t xml:space="preserve">Machining operators at Peenya are at full sanctioned strength — this is what blocks the addition requisition REQ-2026-0041 in sheet 26. UPDATED v1.1: SM-004 shows 6 of 6 filled after E1069 joined; the open requisition against it is closed.</t>
  </si>
  <si>
    <t xml:space="preserve">Position code</t>
  </si>
  <si>
    <t xml:space="preserve">Grade</t>
  </si>
  <si>
    <t xml:space="preserve">Current incumbent</t>
  </si>
  <si>
    <t xml:space="preserve">Last incumbent</t>
  </si>
  <si>
    <t xml:space="preserve">Vacated on</t>
  </si>
  <si>
    <t xml:space="preserve">POS-2214</t>
  </si>
  <si>
    <t xml:space="preserve">Senior Engineer — Machining</t>
  </si>
  <si>
    <t xml:space="preserve">Vacant</t>
  </si>
  <si>
    <t xml:space="preserve">E1071</t>
  </si>
  <si>
    <t xml:space="preserve">2026-08-22</t>
  </si>
  <si>
    <t xml:space="preserve">POS-2216</t>
  </si>
  <si>
    <t xml:space="preserve">E1018</t>
  </si>
  <si>
    <t xml:space="preserve">POS-2301</t>
  </si>
  <si>
    <t xml:space="preserve">Officer — Quality</t>
  </si>
  <si>
    <t xml:space="preserve">E1023</t>
  </si>
  <si>
    <t xml:space="preserve">POS-2410</t>
  </si>
  <si>
    <t xml:space="preserve">Technician — Maintenance</t>
  </si>
  <si>
    <t xml:space="preserve">E1026</t>
  </si>
  <si>
    <t xml:space="preserve">POS-3121</t>
  </si>
  <si>
    <t xml:space="preserve">Officer — Stores</t>
  </si>
  <si>
    <t xml:space="preserve">E1037</t>
  </si>
  <si>
    <t xml:space="preserve">POS-2225</t>
  </si>
  <si>
    <t xml:space="preserve">Operator — Assembly</t>
  </si>
  <si>
    <t xml:space="preserve">E1072</t>
  </si>
  <si>
    <t xml:space="preserve">2026-09-02</t>
  </si>
  <si>
    <t xml:space="preserve">POS-2226</t>
  </si>
  <si>
    <t xml:space="preserve">E1073</t>
  </si>
  <si>
    <t xml:space="preserve">2026-08-11</t>
  </si>
  <si>
    <t xml:space="preserve">POS-4011</t>
  </si>
  <si>
    <t xml:space="preserve">Engineer — Engineering</t>
  </si>
  <si>
    <t xml:space="preserve">E1065</t>
  </si>
  <si>
    <t xml:space="preserve">POS-3210</t>
  </si>
  <si>
    <t xml:space="preserve">Officer — Logistics</t>
  </si>
  <si>
    <t xml:space="preserve">E1066</t>
  </si>
  <si>
    <t xml:space="preserve">POS-2115</t>
  </si>
  <si>
    <t xml:space="preserve">Operator — Machining</t>
  </si>
  <si>
    <t xml:space="preserve">E1074</t>
  </si>
  <si>
    <t xml:space="preserve">2026-07-30</t>
  </si>
  <si>
    <t xml:space="preserve">A position exists with or without a person in it. E1071 to E1074 are prior incumbents who have left and are not in the employee sheet — they exist only as vacancy history.</t>
  </si>
  <si>
    <t xml:space="preserve">Employee code</t>
  </si>
  <si>
    <t xml:space="preserve">Full name</t>
  </si>
  <si>
    <t xml:space="preserve">Gender</t>
  </si>
  <si>
    <t xml:space="preserve">Date of birth</t>
  </si>
  <si>
    <t xml:space="preserve">Date of joining</t>
  </si>
  <si>
    <t xml:space="preserve">Worker class</t>
  </si>
  <si>
    <t xml:space="preserve">Default shift</t>
  </si>
  <si>
    <t xml:space="preserve">Manager code</t>
  </si>
  <si>
    <t xml:space="preserve">Manager name</t>
  </si>
  <si>
    <t xml:space="preserve">Vendor</t>
  </si>
  <si>
    <t xml:space="preserve">UAN (dummy)</t>
  </si>
  <si>
    <t xml:space="preserve">Bank a/c last 4</t>
  </si>
  <si>
    <t xml:space="preserve">Demo point / note</t>
  </si>
  <si>
    <t xml:space="preserve">Employment category</t>
  </si>
  <si>
    <t xml:space="preserve">Employment sub-category</t>
  </si>
  <si>
    <t xml:space="preserve">Rest day applicable</t>
  </si>
  <si>
    <t xml:space="preserve">Wage basis</t>
  </si>
  <si>
    <t xml:space="preserve">OT eligible</t>
  </si>
  <si>
    <t xml:space="preserve">OT eligibility basis</t>
  </si>
  <si>
    <t xml:space="preserve">OT rate multiplier</t>
  </si>
  <si>
    <t xml:space="preserve">Leave scheme</t>
  </si>
  <si>
    <t xml:space="preserve">Trainee type</t>
  </si>
  <si>
    <t xml:space="preserve">COFF lapse days</t>
  </si>
  <si>
    <t xml:space="preserve">EL eligibility from</t>
  </si>
  <si>
    <t xml:space="preserve">Payroll processing location</t>
  </si>
  <si>
    <t xml:space="preserve">Attendance location</t>
  </si>
  <si>
    <t xml:space="preserve">Continuous service years</t>
  </si>
  <si>
    <t xml:space="preserve">Gate pass hours per month</t>
  </si>
  <si>
    <t xml:space="preserve">Gate pass count per month</t>
  </si>
  <si>
    <t xml:space="preserve">ERP employee key</t>
  </si>
  <si>
    <t xml:space="preserve">Resolution note</t>
  </si>
  <si>
    <t xml:space="preserve">E1001</t>
  </si>
  <si>
    <t xml:space="preserve">Arvind Raghunathan</t>
  </si>
  <si>
    <t xml:space="preserve">M</t>
  </si>
  <si>
    <t xml:space="preserve">1968-03-12</t>
  </si>
  <si>
    <t xml:space="preserve">2012-04-02</t>
  </si>
  <si>
    <t xml:space="preserve">UAN000100037037</t>
  </si>
  <si>
    <t xml:space="preserve">XXXX7017</t>
  </si>
  <si>
    <t xml:space="preserve">CAT-PERM — Permanent</t>
  </si>
  <si>
    <t xml:space="preserve">All days</t>
  </si>
  <si>
    <t xml:space="preserve">Not applicable — annual credit on 1 January</t>
  </si>
  <si>
    <t xml:space="preserve">VPI-1001</t>
  </si>
  <si>
    <t xml:space="preserve">Meenakshi Sundaram</t>
  </si>
  <si>
    <t xml:space="preserve">F</t>
  </si>
  <si>
    <t xml:space="preserve">1972-09-04</t>
  </si>
  <si>
    <t xml:space="preserve">2014-07-01</t>
  </si>
  <si>
    <t xml:space="preserve">UAN000100037074</t>
  </si>
  <si>
    <t xml:space="preserve">XXXX7034</t>
  </si>
  <si>
    <t xml:space="preserve">VPI-1002</t>
  </si>
  <si>
    <t xml:space="preserve">E1003</t>
  </si>
  <si>
    <t xml:space="preserve">Farhan Qureshi</t>
  </si>
  <si>
    <t xml:space="preserve">1974-01-28</t>
  </si>
  <si>
    <t xml:space="preserve">2015-11-16</t>
  </si>
  <si>
    <t xml:space="preserve">UAN000100037111</t>
  </si>
  <si>
    <t xml:space="preserve">XXXX7051</t>
  </si>
  <si>
    <t xml:space="preserve">VPI-1003</t>
  </si>
  <si>
    <t xml:space="preserve">E1004</t>
  </si>
  <si>
    <t xml:space="preserve">Ritu Balachandran</t>
  </si>
  <si>
    <t xml:space="preserve">1976-06-19</t>
  </si>
  <si>
    <t xml:space="preserve">2016-02-01</t>
  </si>
  <si>
    <t xml:space="preserve">UAN000100037148</t>
  </si>
  <si>
    <t xml:space="preserve">XXXX7068</t>
  </si>
  <si>
    <t xml:space="preserve">VPI-1004</t>
  </si>
  <si>
    <t xml:space="preserve">E1005</t>
  </si>
  <si>
    <t xml:space="preserve">Prakash Venugopal</t>
  </si>
  <si>
    <t xml:space="preserve">1975-11-07</t>
  </si>
  <si>
    <t xml:space="preserve">2013-09-09</t>
  </si>
  <si>
    <t xml:space="preserve">UAN000100037185</t>
  </si>
  <si>
    <t xml:space="preserve">XXXX7085</t>
  </si>
  <si>
    <t xml:space="preserve">VPI-1005</t>
  </si>
  <si>
    <t xml:space="preserve">E1006</t>
  </si>
  <si>
    <t xml:space="preserve">Anita Mathew</t>
  </si>
  <si>
    <t xml:space="preserve">1988-04-23</t>
  </si>
  <si>
    <t xml:space="preserve">2019-06-03</t>
  </si>
  <si>
    <t xml:space="preserve">UAN000100037222</t>
  </si>
  <si>
    <t xml:space="preserve">XXXX7102</t>
  </si>
  <si>
    <t xml:space="preserve">HR Ops demo persona</t>
  </si>
  <si>
    <t xml:space="preserve">Eligible — six months completed before 2026</t>
  </si>
  <si>
    <t xml:space="preserve">VPI-1006</t>
  </si>
  <si>
    <t xml:space="preserve">E1007</t>
  </si>
  <si>
    <t xml:space="preserve">Deepak Sarangi</t>
  </si>
  <si>
    <t xml:space="preserve">1987-12-02</t>
  </si>
  <si>
    <t xml:space="preserve">2018-08-20</t>
  </si>
  <si>
    <t xml:space="preserve">UAN000100037259</t>
  </si>
  <si>
    <t xml:space="preserve">XXXX7119</t>
  </si>
  <si>
    <t xml:space="preserve">Payroll demo persona</t>
  </si>
  <si>
    <t xml:space="preserve">VPI-1007</t>
  </si>
  <si>
    <t xml:space="preserve">E1008</t>
  </si>
  <si>
    <t xml:space="preserve">Shalini Krishnamurthy</t>
  </si>
  <si>
    <t xml:space="preserve">1995-07-30</t>
  </si>
  <si>
    <t xml:space="preserve">2022-01-10</t>
  </si>
  <si>
    <t xml:space="preserve">UAN000100037296</t>
  </si>
  <si>
    <t xml:space="preserve">XXXX7136</t>
  </si>
  <si>
    <t xml:space="preserve">VPI-1008</t>
  </si>
  <si>
    <t xml:space="preserve">E1009</t>
  </si>
  <si>
    <t xml:space="preserve">Vikram Chauhan</t>
  </si>
  <si>
    <t xml:space="preserve">1990-02-14</t>
  </si>
  <si>
    <t xml:space="preserve">2020-03-02</t>
  </si>
  <si>
    <t xml:space="preserve">UAN000100037333</t>
  </si>
  <si>
    <t xml:space="preserve">XXXX7153</t>
  </si>
  <si>
    <t xml:space="preserve">Compliance owner</t>
  </si>
  <si>
    <t xml:space="preserve">VPI-1009</t>
  </si>
  <si>
    <t xml:space="preserve">E1010</t>
  </si>
  <si>
    <t xml:space="preserve">Nandita Bose</t>
  </si>
  <si>
    <t xml:space="preserve">1985-10-11</t>
  </si>
  <si>
    <t xml:space="preserve">2017-05-15</t>
  </si>
  <si>
    <t xml:space="preserve">UAN000100037370</t>
  </si>
  <si>
    <t xml:space="preserve">XXXX7170</t>
  </si>
  <si>
    <t xml:space="preserve">VPI-1010</t>
  </si>
  <si>
    <t xml:space="preserve">E1011</t>
  </si>
  <si>
    <t xml:space="preserve">Rohit Agarwal</t>
  </si>
  <si>
    <t xml:space="preserve">1993-05-26</t>
  </si>
  <si>
    <t xml:space="preserve">2021-09-06</t>
  </si>
  <si>
    <t xml:space="preserve">UAN000100037407</t>
  </si>
  <si>
    <t xml:space="preserve">XXXX7187</t>
  </si>
  <si>
    <t xml:space="preserve">VPI-1011</t>
  </si>
  <si>
    <t xml:space="preserve">E1012</t>
  </si>
  <si>
    <t xml:space="preserve">Sameer Kulkarni</t>
  </si>
  <si>
    <t xml:space="preserve">1986-08-08</t>
  </si>
  <si>
    <t xml:space="preserve">2019-02-11</t>
  </si>
  <si>
    <t xml:space="preserve">UAN000100037444</t>
  </si>
  <si>
    <t xml:space="preserve">XXXX7204</t>
  </si>
  <si>
    <t xml:space="preserve">VPI-1012</t>
  </si>
  <si>
    <t xml:space="preserve">E1013</t>
  </si>
  <si>
    <t xml:space="preserve">Tanvi Deshmukh</t>
  </si>
  <si>
    <t xml:space="preserve">1997-01-17</t>
  </si>
  <si>
    <t xml:space="preserve">2023-07-17</t>
  </si>
  <si>
    <t xml:space="preserve">UAN000100037481</t>
  </si>
  <si>
    <t xml:space="preserve">XXXX7221</t>
  </si>
  <si>
    <t xml:space="preserve">VPI-1013</t>
  </si>
  <si>
    <t xml:space="preserve">E1014</t>
  </si>
  <si>
    <t xml:space="preserve">Harish Nambiar</t>
  </si>
  <si>
    <t xml:space="preserve">1983-03-05</t>
  </si>
  <si>
    <t xml:space="preserve">2018-04-02</t>
  </si>
  <si>
    <t xml:space="preserve">UAN000100037518</t>
  </si>
  <si>
    <t xml:space="preserve">XXXX7238</t>
  </si>
  <si>
    <t xml:space="preserve">VPI-1014</t>
  </si>
  <si>
    <t xml:space="preserve">E1015</t>
  </si>
  <si>
    <t xml:space="preserve">Pooja Trivedi</t>
  </si>
  <si>
    <t xml:space="preserve">1989-09-21</t>
  </si>
  <si>
    <t xml:space="preserve">2020-10-05</t>
  </si>
  <si>
    <t xml:space="preserve">UAN000100037555</t>
  </si>
  <si>
    <t xml:space="preserve">XXXX7255</t>
  </si>
  <si>
    <t xml:space="preserve">VPI-1015</t>
  </si>
  <si>
    <t xml:space="preserve">E1016</t>
  </si>
  <si>
    <t xml:space="preserve">Basavaraj Hiremath</t>
  </si>
  <si>
    <t xml:space="preserve">1973-07-14</t>
  </si>
  <si>
    <t xml:space="preserve">2014-01-06</t>
  </si>
  <si>
    <t xml:space="preserve">UAN000100037592</t>
  </si>
  <si>
    <t xml:space="preserve">XXXX7272</t>
  </si>
  <si>
    <t xml:space="preserve">VPI-1016</t>
  </si>
  <si>
    <t xml:space="preserve">E1017</t>
  </si>
  <si>
    <t xml:space="preserve">Nikhil Iyer</t>
  </si>
  <si>
    <t xml:space="preserve">1984-05-09</t>
  </si>
  <si>
    <t xml:space="preserve">2017-08-21</t>
  </si>
  <si>
    <t xml:space="preserve">UAN000100037629</t>
  </si>
  <si>
    <t xml:space="preserve">XXXX7289</t>
  </si>
  <si>
    <t xml:space="preserve">VPI-1017</t>
  </si>
  <si>
    <t xml:space="preserve">Ravi Kulkarni</t>
  </si>
  <si>
    <t xml:space="preserve">1991-11-23</t>
  </si>
  <si>
    <t xml:space="preserve">2019-11-04</t>
  </si>
  <si>
    <t xml:space="preserve">UAN000100037666</t>
  </si>
  <si>
    <t xml:space="preserve">XXXX7306</t>
  </si>
  <si>
    <t xml:space="preserve">Point 1 — 19h20m cross-midnight day</t>
  </si>
  <si>
    <t xml:space="preserve">VPI-1018</t>
  </si>
  <si>
    <t xml:space="preserve">E1019</t>
  </si>
  <si>
    <t xml:space="preserve">Sneha Nair</t>
  </si>
  <si>
    <t xml:space="preserve">1994-02-06</t>
  </si>
  <si>
    <t xml:space="preserve">2021-06-14</t>
  </si>
  <si>
    <t xml:space="preserve">UAN000100037703</t>
  </si>
  <si>
    <t xml:space="preserve">XXXX7323</t>
  </si>
  <si>
    <t xml:space="preserve">Point 12 — four late instances</t>
  </si>
  <si>
    <t xml:space="preserve">VPI-1019</t>
  </si>
  <si>
    <t xml:space="preserve">E1020</t>
  </si>
  <si>
    <t xml:space="preserve">Arjun Bhat</t>
  </si>
  <si>
    <t xml:space="preserve">1996-06-29</t>
  </si>
  <si>
    <t xml:space="preserve">2022-02-07</t>
  </si>
  <si>
    <t xml:space="preserve">E1021</t>
  </si>
  <si>
    <t xml:space="preserve">Rekha Deshpande</t>
  </si>
  <si>
    <t xml:space="preserve">UAN000100037740</t>
  </si>
  <si>
    <t xml:space="preserve">XXXX7340</t>
  </si>
  <si>
    <t xml:space="preserve">Point 13 — punches into B shift</t>
  </si>
  <si>
    <t xml:space="preserve">VPI-1020</t>
  </si>
  <si>
    <t xml:space="preserve">1982-12-16</t>
  </si>
  <si>
    <t xml:space="preserve">2016-09-12</t>
  </si>
  <si>
    <t xml:space="preserve">UAN000100037777</t>
  </si>
  <si>
    <t xml:space="preserve">XXXX7357</t>
  </si>
  <si>
    <t xml:space="preserve">Manager demo persona</t>
  </si>
  <si>
    <t xml:space="preserve">VPI-1021</t>
  </si>
  <si>
    <t xml:space="preserve">E1022</t>
  </si>
  <si>
    <t xml:space="preserve">Mohan Joseph</t>
  </si>
  <si>
    <t xml:space="preserve">1992-08-03</t>
  </si>
  <si>
    <t xml:space="preserve">2020-07-01</t>
  </si>
  <si>
    <t xml:space="preserve">UAN000100037814</t>
  </si>
  <si>
    <t xml:space="preserve">XXXX7374</t>
  </si>
  <si>
    <t xml:space="preserve">Points 12, 9 — half day, absent, special-terms loan</t>
  </si>
  <si>
    <t xml:space="preserve">VPI-1022</t>
  </si>
  <si>
    <t xml:space="preserve">Kavya Venkatesh</t>
  </si>
  <si>
    <t xml:space="preserve">1995-04-18</t>
  </si>
  <si>
    <t xml:space="preserve">2021-03-15</t>
  </si>
  <si>
    <t xml:space="preserve">E1024</t>
  </si>
  <si>
    <t xml:space="preserve">Srinivas Achar</t>
  </si>
  <si>
    <t xml:space="preserve">UAN000100037851</t>
  </si>
  <si>
    <t xml:space="preserve">XXXX7391</t>
  </si>
  <si>
    <t xml:space="preserve">Point 11 — gate pass 2 x 2h</t>
  </si>
  <si>
    <t xml:space="preserve">VPI-1023</t>
  </si>
  <si>
    <t xml:space="preserve">1980-10-27</t>
  </si>
  <si>
    <t xml:space="preserve">2015-12-01</t>
  </si>
  <si>
    <t xml:space="preserve">UAN000100037888</t>
  </si>
  <si>
    <t xml:space="preserve">XXXX7408</t>
  </si>
  <si>
    <t xml:space="preserve">VPI-1024</t>
  </si>
  <si>
    <t xml:space="preserve">E1025</t>
  </si>
  <si>
    <t xml:space="preserve">Lakshmi Gowda</t>
  </si>
  <si>
    <t xml:space="preserve">1998-03-09</t>
  </si>
  <si>
    <t xml:space="preserve">2023-01-09</t>
  </si>
  <si>
    <t xml:space="preserve">UAN000100037925</t>
  </si>
  <si>
    <t xml:space="preserve">XXXX7425</t>
  </si>
  <si>
    <t xml:space="preserve">VPI-1025</t>
  </si>
  <si>
    <t xml:space="preserve">Manjunath Poojary</t>
  </si>
  <si>
    <t xml:space="preserve">1990-01-31</t>
  </si>
  <si>
    <t xml:space="preserve">2019-04-22</t>
  </si>
  <si>
    <t xml:space="preserve">E1027</t>
  </si>
  <si>
    <t xml:space="preserve">Girish Deshpande</t>
  </si>
  <si>
    <t xml:space="preserve">UAN000100037962</t>
  </si>
  <si>
    <t xml:space="preserve">XXXX7442</t>
  </si>
  <si>
    <t xml:space="preserve">Night shift</t>
  </si>
  <si>
    <t xml:space="preserve">VPI-1026</t>
  </si>
  <si>
    <t xml:space="preserve">1981-06-11</t>
  </si>
  <si>
    <t xml:space="preserve">2017-02-13</t>
  </si>
  <si>
    <t xml:space="preserve">UAN000100037999</t>
  </si>
  <si>
    <t xml:space="preserve">XXXX7459</t>
  </si>
  <si>
    <t xml:space="preserve">VPI-1027</t>
  </si>
  <si>
    <t xml:space="preserve">E1028</t>
  </si>
  <si>
    <t xml:space="preserve">Yashoda Rani</t>
  </si>
  <si>
    <t xml:space="preserve">1989-05-02</t>
  </si>
  <si>
    <t xml:space="preserve">2018-10-29</t>
  </si>
  <si>
    <t xml:space="preserve">UAN000100038036</t>
  </si>
  <si>
    <t xml:space="preserve">XXXX7476</t>
  </si>
  <si>
    <t xml:space="preserve">Point 6 — comp-off nearing lapse</t>
  </si>
  <si>
    <t xml:space="preserve">VPI-1028</t>
  </si>
  <si>
    <t xml:space="preserve">E1029</t>
  </si>
  <si>
    <t xml:space="preserve">Prashant Salian</t>
  </si>
  <si>
    <t xml:space="preserve">2000-09-15</t>
  </si>
  <si>
    <t xml:space="preserve">2024-08-01</t>
  </si>
  <si>
    <t xml:space="preserve">UAN000100038073</t>
  </si>
  <si>
    <t xml:space="preserve">XXXX7493</t>
  </si>
  <si>
    <t xml:space="preserve">VPI-1029</t>
  </si>
  <si>
    <t xml:space="preserve">E1030</t>
  </si>
  <si>
    <t xml:space="preserve">Chetan Bhandary</t>
  </si>
  <si>
    <t xml:space="preserve">2003-04-26</t>
  </si>
  <si>
    <t xml:space="preserve">2026-07-01</t>
  </si>
  <si>
    <t xml:space="preserve">UAN000100038110</t>
  </si>
  <si>
    <t xml:space="preserve">XXXX7510</t>
  </si>
  <si>
    <t xml:space="preserve">Point 7 — GET, July joiner, 3 CL/SL</t>
  </si>
  <si>
    <t xml:space="preserve">CAT-TRN — Trainee</t>
  </si>
  <si>
    <t xml:space="preserve">SUB-TRN — Engineer trainee</t>
  </si>
  <si>
    <t xml:space="preserve">GET</t>
  </si>
  <si>
    <t xml:space="preserve">Not applicable — scheme accrues no EL</t>
  </si>
  <si>
    <t xml:space="preserve">VPI-1030</t>
  </si>
  <si>
    <t xml:space="preserve">E1031</t>
  </si>
  <si>
    <t xml:space="preserve">Divya Hegde</t>
  </si>
  <si>
    <t xml:space="preserve">2004-08-12</t>
  </si>
  <si>
    <t xml:space="preserve">UAN000100038147</t>
  </si>
  <si>
    <t xml:space="preserve">XXXX7527</t>
  </si>
  <si>
    <t xml:space="preserve">Point 7 — DET, July joiner, 3 CL/SL</t>
  </si>
  <si>
    <t xml:space="preserve">DET</t>
  </si>
  <si>
    <t xml:space="preserve">VPI-1031</t>
  </si>
  <si>
    <t xml:space="preserve">E1032</t>
  </si>
  <si>
    <t xml:space="preserve">Shivanna Muniyappa</t>
  </si>
  <si>
    <t xml:space="preserve">1987-02-20</t>
  </si>
  <si>
    <t xml:space="preserve">2025-04-01</t>
  </si>
  <si>
    <t xml:space="preserve">VN-02</t>
  </si>
  <si>
    <t xml:space="preserve">UAN000100038184</t>
  </si>
  <si>
    <t xml:space="preserve">XXXX7544</t>
  </si>
  <si>
    <t xml:space="preserve">Point 2 — daily wage, no rest day</t>
  </si>
  <si>
    <t xml:space="preserve">CAT-CONT — Contractual</t>
  </si>
  <si>
    <t xml:space="preserve">VPI-1032</t>
  </si>
  <si>
    <t xml:space="preserve">no rest day — resolves at category level; not leave eligible</t>
  </si>
  <si>
    <t xml:space="preserve">E1033</t>
  </si>
  <si>
    <t xml:space="preserve">Ratnamma Devaraju</t>
  </si>
  <si>
    <t xml:space="preserve">1990-11-05</t>
  </si>
  <si>
    <t xml:space="preserve">2025-06-15</t>
  </si>
  <si>
    <t xml:space="preserve">UAN000100038221</t>
  </si>
  <si>
    <t xml:space="preserve">XXXX7561</t>
  </si>
  <si>
    <t xml:space="preserve">Point 2 — daily wage, works Sunday</t>
  </si>
  <si>
    <t xml:space="preserve">VPI-1033</t>
  </si>
  <si>
    <t xml:space="preserve">E1034</t>
  </si>
  <si>
    <t xml:space="preserve">Imran Shaikh</t>
  </si>
  <si>
    <t xml:space="preserve">1993-07-08</t>
  </si>
  <si>
    <t xml:space="preserve">2025-02-10</t>
  </si>
  <si>
    <t xml:space="preserve">VN-01</t>
  </si>
  <si>
    <t xml:space="preserve">UAN000100038258</t>
  </si>
  <si>
    <t xml:space="preserve">XXXX7578</t>
  </si>
  <si>
    <t xml:space="preserve">Points 3, 4 — 3P employee, has rest days, OT rest/holiday only</t>
  </si>
  <si>
    <t xml:space="preserve">CAT-3P — Third party</t>
  </si>
  <si>
    <t xml:space="preserve">SUB-EMP — Employee</t>
  </si>
  <si>
    <t xml:space="preserve">Rest days and holidays only</t>
  </si>
  <si>
    <t xml:space="preserve">VPI-1034</t>
  </si>
  <si>
    <t xml:space="preserve">OT only on a rest day or holiday; not leave eligible</t>
  </si>
  <si>
    <t xml:space="preserve">E1035</t>
  </si>
  <si>
    <t xml:space="preserve">Ashok Naik</t>
  </si>
  <si>
    <t xml:space="preserve">1991-12-19</t>
  </si>
  <si>
    <t xml:space="preserve">2025-03-01</t>
  </si>
  <si>
    <t xml:space="preserve">UAN000100038295</t>
  </si>
  <si>
    <t xml:space="preserve">XXXX7595</t>
  </si>
  <si>
    <t xml:space="preserve">VPI-1035</t>
  </si>
  <si>
    <t xml:space="preserve">E1036</t>
  </si>
  <si>
    <t xml:space="preserve">Lakshmi Rao</t>
  </si>
  <si>
    <t xml:space="preserve">1994-06-03</t>
  </si>
  <si>
    <t xml:space="preserve">2025-05-20</t>
  </si>
  <si>
    <t xml:space="preserve">Venkatesh Murthy</t>
  </si>
  <si>
    <t xml:space="preserve">UAN000100038332</t>
  </si>
  <si>
    <t xml:space="preserve">XXXX7612</t>
  </si>
  <si>
    <t xml:space="preserve">Point 3 — helper, no rest days</t>
  </si>
  <si>
    <t xml:space="preserve">SUB-HLP — Helper</t>
  </si>
  <si>
    <t xml:space="preserve">VPI-1036</t>
  </si>
  <si>
    <t xml:space="preserve">no rest day — resolves at sub-category (Helper) level; OT only on a rest day or holiday; not leave eligible</t>
  </si>
  <si>
    <t xml:space="preserve">1986-09-28</t>
  </si>
  <si>
    <t xml:space="preserve">2019-07-08</t>
  </si>
  <si>
    <t xml:space="preserve">UAN000100038369</t>
  </si>
  <si>
    <t xml:space="preserve">XXXX7629</t>
  </si>
  <si>
    <t xml:space="preserve">VPI-1037</t>
  </si>
  <si>
    <t xml:space="preserve">E1038</t>
  </si>
  <si>
    <t xml:space="preserve">Parvathi Bai</t>
  </si>
  <si>
    <t xml:space="preserve">1996-01-22</t>
  </si>
  <si>
    <t xml:space="preserve">2026-01-12</t>
  </si>
  <si>
    <t xml:space="preserve">UAN000100038406</t>
  </si>
  <si>
    <t xml:space="preserve">XXXX7646</t>
  </si>
  <si>
    <t xml:space="preserve">Point 7 — January joiner reference</t>
  </si>
  <si>
    <t xml:space="preserve">VPI-1038</t>
  </si>
  <si>
    <t xml:space="preserve">E1039</t>
  </si>
  <si>
    <t xml:space="preserve">Sanjay Pawar</t>
  </si>
  <si>
    <t xml:space="preserve">1977-04-17</t>
  </si>
  <si>
    <t xml:space="preserve">2015-06-01</t>
  </si>
  <si>
    <t xml:space="preserve">UAN000100038443</t>
  </si>
  <si>
    <t xml:space="preserve">XXXX7663</t>
  </si>
  <si>
    <t xml:space="preserve">VPI-1039</t>
  </si>
  <si>
    <t xml:space="preserve">E1040</t>
  </si>
  <si>
    <t xml:space="preserve">Aditi Joshi</t>
  </si>
  <si>
    <t xml:space="preserve">1985-08-24</t>
  </si>
  <si>
    <t xml:space="preserve">2018-11-19</t>
  </si>
  <si>
    <t xml:space="preserve">UAN000100038480</t>
  </si>
  <si>
    <t xml:space="preserve">XXXX7680</t>
  </si>
  <si>
    <t xml:space="preserve">Point 9 — guarantor, now blocked</t>
  </si>
  <si>
    <t xml:space="preserve">VPI-1040</t>
  </si>
  <si>
    <t xml:space="preserve">E1041</t>
  </si>
  <si>
    <t xml:space="preserve">Mahesh Shinde</t>
  </si>
  <si>
    <t xml:space="preserve">1988-10-13</t>
  </si>
  <si>
    <t xml:space="preserve">2020-01-20</t>
  </si>
  <si>
    <t xml:space="preserve">UAN000100038517</t>
  </si>
  <si>
    <t xml:space="preserve">XXXX7697</t>
  </si>
  <si>
    <t xml:space="preserve">Point 9 — guarantor, loan application rejected</t>
  </si>
  <si>
    <t xml:space="preserve">VPI-1041</t>
  </si>
  <si>
    <t xml:space="preserve">E1042</t>
  </si>
  <si>
    <t xml:space="preserve">Swapnil Kadam</t>
  </si>
  <si>
    <t xml:space="preserve">1994-03-07</t>
  </si>
  <si>
    <t xml:space="preserve">2022-09-05</t>
  </si>
  <si>
    <t xml:space="preserve">In notice</t>
  </si>
  <si>
    <t xml:space="preserve">UAN000100038554</t>
  </si>
  <si>
    <t xml:space="preserve">XXXX7714</t>
  </si>
  <si>
    <t xml:space="preserve">Point 16 — in notice, LWD 18 Sep</t>
  </si>
  <si>
    <t xml:space="preserve">VPI-1042</t>
  </si>
  <si>
    <t xml:space="preserve">E1043</t>
  </si>
  <si>
    <t xml:space="preserve">Neha Mishra</t>
  </si>
  <si>
    <t xml:space="preserve">1992-12-01</t>
  </si>
  <si>
    <t xml:space="preserve">2021-11-02</t>
  </si>
  <si>
    <t xml:space="preserve">UAN000100038591</t>
  </si>
  <si>
    <t xml:space="preserve">XXXX7731</t>
  </si>
  <si>
    <t xml:space="preserve">Point 5 — early return from 10-day leave</t>
  </si>
  <si>
    <t xml:space="preserve">VPI-1043</t>
  </si>
  <si>
    <t xml:space="preserve">E1044</t>
  </si>
  <si>
    <t xml:space="preserve">Rahul Gaikwad</t>
  </si>
  <si>
    <t xml:space="preserve">1989-06-16</t>
  </si>
  <si>
    <t xml:space="preserve">2019-03-11</t>
  </si>
  <si>
    <t xml:space="preserve">UAN000100038628</t>
  </si>
  <si>
    <t xml:space="preserve">XXXX7748</t>
  </si>
  <si>
    <t xml:space="preserve">Point 9 — active loan, 4x basic</t>
  </si>
  <si>
    <t xml:space="preserve">VPI-1044</t>
  </si>
  <si>
    <t xml:space="preserve">E1045</t>
  </si>
  <si>
    <t xml:space="preserve">Sunita Bhosale</t>
  </si>
  <si>
    <t xml:space="preserve">1997-10-04</t>
  </si>
  <si>
    <t xml:space="preserve">2023-05-08</t>
  </si>
  <si>
    <t xml:space="preserve">UAN000100038665</t>
  </si>
  <si>
    <t xml:space="preserve">XXXX7765</t>
  </si>
  <si>
    <t xml:space="preserve">VPI-1045</t>
  </si>
  <si>
    <t xml:space="preserve">E1046</t>
  </si>
  <si>
    <t xml:space="preserve">Dattatray More</t>
  </si>
  <si>
    <t xml:space="preserve">1992-02-11</t>
  </si>
  <si>
    <t xml:space="preserve">2026-02-02</t>
  </si>
  <si>
    <t xml:space="preserve">VN-03</t>
  </si>
  <si>
    <t xml:space="preserve">UAN000100038702</t>
  </si>
  <si>
    <t xml:space="preserve">XXXX7782</t>
  </si>
  <si>
    <t xml:space="preserve">Point 7 — February joiner, 5 CL/SL</t>
  </si>
  <si>
    <t xml:space="preserve">VPI-1046</t>
  </si>
  <si>
    <t xml:space="preserve">E1047</t>
  </si>
  <si>
    <t xml:space="preserve">Koteswara Rao</t>
  </si>
  <si>
    <t xml:space="preserve">1976-05-30</t>
  </si>
  <si>
    <t xml:space="preserve">2016-08-16</t>
  </si>
  <si>
    <t xml:space="preserve">UAN000100038739</t>
  </si>
  <si>
    <t xml:space="preserve">XXXX7799</t>
  </si>
  <si>
    <t xml:space="preserve">VPI-1047</t>
  </si>
  <si>
    <t xml:space="preserve">E1048</t>
  </si>
  <si>
    <t xml:space="preserve">Sirisha Yadav</t>
  </si>
  <si>
    <t xml:space="preserve">1987-11-09</t>
  </si>
  <si>
    <t xml:space="preserve">2019-09-23</t>
  </si>
  <si>
    <t xml:space="preserve">UAN000100038776</t>
  </si>
  <si>
    <t xml:space="preserve">XXXX7816</t>
  </si>
  <si>
    <t xml:space="preserve">VPI-1048</t>
  </si>
  <si>
    <t xml:space="preserve">E1049</t>
  </si>
  <si>
    <t xml:space="preserve">Naveen Bandaru</t>
  </si>
  <si>
    <t xml:space="preserve">1990-08-27</t>
  </si>
  <si>
    <t xml:space="preserve">2021-04-12</t>
  </si>
  <si>
    <t xml:space="preserve">UAN000100038813</t>
  </si>
  <si>
    <t xml:space="preserve">XXXX7833</t>
  </si>
  <si>
    <t xml:space="preserve">VPI-1049</t>
  </si>
  <si>
    <t xml:space="preserve">E1050</t>
  </si>
  <si>
    <t xml:space="preserve">Suresh Pillai</t>
  </si>
  <si>
    <t xml:space="preserve">1983-01-19</t>
  </si>
  <si>
    <t xml:space="preserve">2017-10-30</t>
  </si>
  <si>
    <t xml:space="preserve">UAN000100038850</t>
  </si>
  <si>
    <t xml:space="preserve">XXXX7850</t>
  </si>
  <si>
    <t xml:space="preserve">Points 6, 9 — comp-off credits, released guarantor</t>
  </si>
  <si>
    <t xml:space="preserve">VPI-1050</t>
  </si>
  <si>
    <t xml:space="preserve">E1051</t>
  </si>
  <si>
    <t xml:space="preserve">Haritha Reddy</t>
  </si>
  <si>
    <t xml:space="preserve">1999-04-02</t>
  </si>
  <si>
    <t xml:space="preserve">2024-02-19</t>
  </si>
  <si>
    <t xml:space="preserve">UAN000100038887</t>
  </si>
  <si>
    <t xml:space="preserve">XXXX7867</t>
  </si>
  <si>
    <t xml:space="preserve">VPI-1051</t>
  </si>
  <si>
    <t xml:space="preserve">E1052</t>
  </si>
  <si>
    <t xml:space="preserve">Anjaneyulu Gadde</t>
  </si>
  <si>
    <t xml:space="preserve">1993-09-11</t>
  </si>
  <si>
    <t xml:space="preserve">2022-12-05</t>
  </si>
  <si>
    <t xml:space="preserve">UAN000100038924</t>
  </si>
  <si>
    <t xml:space="preserve">XXXX7884</t>
  </si>
  <si>
    <t xml:space="preserve">VPI-1052</t>
  </si>
  <si>
    <t xml:space="preserve">E1053</t>
  </si>
  <si>
    <t xml:space="preserve">Padmaja Cheruku</t>
  </si>
  <si>
    <t xml:space="preserve">1995-03-25</t>
  </si>
  <si>
    <t xml:space="preserve">2026-03-09</t>
  </si>
  <si>
    <t xml:space="preserve">VN-04</t>
  </si>
  <si>
    <t xml:space="preserve">UAN000100038961</t>
  </si>
  <si>
    <t xml:space="preserve">XXXX7901</t>
  </si>
  <si>
    <t xml:space="preserve">Point 7 — March joiner, 5 CL/SL</t>
  </si>
  <si>
    <t xml:space="preserve">VPI-1053</t>
  </si>
  <si>
    <t xml:space="preserve">E1054</t>
  </si>
  <si>
    <t xml:space="preserve">Selvaraj Murugan</t>
  </si>
  <si>
    <t xml:space="preserve">1974-12-08</t>
  </si>
  <si>
    <t xml:space="preserve">2015-02-02</t>
  </si>
  <si>
    <t xml:space="preserve">UAN000100038998</t>
  </si>
  <si>
    <t xml:space="preserve">XXXX7918</t>
  </si>
  <si>
    <t xml:space="preserve">VPI-1054</t>
  </si>
  <si>
    <t xml:space="preserve">E1055</t>
  </si>
  <si>
    <t xml:space="preserve">Kalaivani Subramani</t>
  </si>
  <si>
    <t xml:space="preserve">1986-07-21</t>
  </si>
  <si>
    <t xml:space="preserve">2020-06-22</t>
  </si>
  <si>
    <t xml:space="preserve">UAN000100039035</t>
  </si>
  <si>
    <t xml:space="preserve">XXXX7935</t>
  </si>
  <si>
    <t xml:space="preserve">VPI-1055</t>
  </si>
  <si>
    <t xml:space="preserve">E1056</t>
  </si>
  <si>
    <t xml:space="preserve">Anand Krishnan</t>
  </si>
  <si>
    <t xml:space="preserve">1985-02-28</t>
  </si>
  <si>
    <t xml:space="preserve">2018-01-15</t>
  </si>
  <si>
    <t xml:space="preserve">UAN000100039072</t>
  </si>
  <si>
    <t xml:space="preserve">XXXX7952</t>
  </si>
  <si>
    <t xml:space="preserve">Point 8 — HO payroll, plant attendance. Point 9 — 6x basic</t>
  </si>
  <si>
    <t xml:space="preserve">VPI-1056</t>
  </si>
  <si>
    <t xml:space="preserve">payrolled at head office while attending at LOC-CHN — point 8</t>
  </si>
  <si>
    <t xml:space="preserve">E1057</t>
  </si>
  <si>
    <t xml:space="preserve">Bhuvaneswari Raman</t>
  </si>
  <si>
    <t xml:space="preserve">1998-05-14</t>
  </si>
  <si>
    <t xml:space="preserve">2023-03-27</t>
  </si>
  <si>
    <t xml:space="preserve">UAN000100039109</t>
  </si>
  <si>
    <t xml:space="preserve">XXXX7969</t>
  </si>
  <si>
    <t xml:space="preserve">VPI-1057</t>
  </si>
  <si>
    <t xml:space="preserve">E1058</t>
  </si>
  <si>
    <t xml:space="preserve">Karthik Chidambaram</t>
  </si>
  <si>
    <t xml:space="preserve">1996-09-06</t>
  </si>
  <si>
    <t xml:space="preserve">2025-09-01</t>
  </si>
  <si>
    <t xml:space="preserve">UAN000100039146</t>
  </si>
  <si>
    <t xml:space="preserve">XXXX7986</t>
  </si>
  <si>
    <t xml:space="preserve">VPI-1058</t>
  </si>
  <si>
    <t xml:space="preserve">E1059</t>
  </si>
  <si>
    <t xml:space="preserve">Vetrivel Pandian</t>
  </si>
  <si>
    <t xml:space="preserve">1991-01-12</t>
  </si>
  <si>
    <t xml:space="preserve">2021-08-09</t>
  </si>
  <si>
    <t xml:space="preserve">UAN000100039183</t>
  </si>
  <si>
    <t xml:space="preserve">XXXX8003</t>
  </si>
  <si>
    <t xml:space="preserve">VPI-1059</t>
  </si>
  <si>
    <t xml:space="preserve">E1060</t>
  </si>
  <si>
    <t xml:space="preserve">Jayanthi Elangovan</t>
  </si>
  <si>
    <t xml:space="preserve">2001-06-23</t>
  </si>
  <si>
    <t xml:space="preserve">2026-04-06</t>
  </si>
  <si>
    <t xml:space="preserve">UAN000100039220</t>
  </si>
  <si>
    <t xml:space="preserve">XXXX8020</t>
  </si>
  <si>
    <t xml:space="preserve">Point 7 — April joiner, 4 CL/SL</t>
  </si>
  <si>
    <t xml:space="preserve">2026-10-06</t>
  </si>
  <si>
    <t xml:space="preserve">VPI-1060</t>
  </si>
  <si>
    <t xml:space="preserve">E1061</t>
  </si>
  <si>
    <t xml:space="preserve">Murugesan Palani</t>
  </si>
  <si>
    <t xml:space="preserve">1990-10-30</t>
  </si>
  <si>
    <t xml:space="preserve">2026-05-11</t>
  </si>
  <si>
    <t xml:space="preserve">VN-05</t>
  </si>
  <si>
    <t xml:space="preserve">UAN000100039257</t>
  </si>
  <si>
    <t xml:space="preserve">XXXX8037</t>
  </si>
  <si>
    <t xml:space="preserve">Points 2, 7 — May joiner, daily wage</t>
  </si>
  <si>
    <t xml:space="preserve">VPI-1061</t>
  </si>
  <si>
    <t xml:space="preserve">E1062</t>
  </si>
  <si>
    <t xml:space="preserve">Saravanan Thangavel</t>
  </si>
  <si>
    <t xml:space="preserve">1992-04-09</t>
  </si>
  <si>
    <t xml:space="preserve">2025-12-01</t>
  </si>
  <si>
    <t xml:space="preserve">UAN000100039294</t>
  </si>
  <si>
    <t xml:space="preserve">XXXX8054</t>
  </si>
  <si>
    <t xml:space="preserve">VPI-1062</t>
  </si>
  <si>
    <t xml:space="preserve">E1063</t>
  </si>
  <si>
    <t xml:space="preserve">Revathi Natarajan</t>
  </si>
  <si>
    <t xml:space="preserve">2004-02-17</t>
  </si>
  <si>
    <t xml:space="preserve">2026-02-16</t>
  </si>
  <si>
    <t xml:space="preserve">XXXX8071</t>
  </si>
  <si>
    <t xml:space="preserve">Apprentice — no PF/ESI</t>
  </si>
  <si>
    <t xml:space="preserve">CAT-APP — Apprentice</t>
  </si>
  <si>
    <t xml:space="preserve">VPI-1063</t>
  </si>
  <si>
    <t xml:space="preserve">not leave eligible</t>
  </si>
  <si>
    <t xml:space="preserve">E1064</t>
  </si>
  <si>
    <t xml:space="preserve">Gopinath Sekar</t>
  </si>
  <si>
    <t xml:space="preserve">1971-08-05</t>
  </si>
  <si>
    <t xml:space="preserve">2026-06-01</t>
  </si>
  <si>
    <t xml:space="preserve">XXXX8088</t>
  </si>
  <si>
    <t xml:space="preserve">Consultant — TDS 194J, no leave</t>
  </si>
  <si>
    <t xml:space="preserve">CAT-RET — Retainer</t>
  </si>
  <si>
    <t xml:space="preserve">VPI-1064</t>
  </si>
  <si>
    <t xml:space="preserve">no rest day — resolves at category level; payrolled at head office while attending at LOC-CHN — point 8; not leave eligible</t>
  </si>
  <si>
    <t xml:space="preserve">Ishita Chatterjee</t>
  </si>
  <si>
    <t xml:space="preserve">1999-11-27</t>
  </si>
  <si>
    <t xml:space="preserve">2026-08-17</t>
  </si>
  <si>
    <t xml:space="preserve">UAN000100039405</t>
  </si>
  <si>
    <t xml:space="preserve">XXXX8105</t>
  </si>
  <si>
    <t xml:space="preserve">Point 7 — August joiner, 2 CL/SL</t>
  </si>
  <si>
    <t xml:space="preserve">2027-02-17</t>
  </si>
  <si>
    <t xml:space="preserve">VPI-1065</t>
  </si>
  <si>
    <t xml:space="preserve">Abhinav Rastogi</t>
  </si>
  <si>
    <t xml:space="preserve">1997-07-13</t>
  </si>
  <si>
    <t xml:space="preserve">2026-09-01</t>
  </si>
  <si>
    <t xml:space="preserve">UAN000100039442</t>
  </si>
  <si>
    <t xml:space="preserve">XXXX8122</t>
  </si>
  <si>
    <t xml:space="preserve">Point 7 — September joiner, 2 CL/SL</t>
  </si>
  <si>
    <t xml:space="preserve">2027-03-01</t>
  </si>
  <si>
    <t xml:space="preserve">VPI-1066</t>
  </si>
  <si>
    <t xml:space="preserve">E1067</t>
  </si>
  <si>
    <t xml:space="preserve">Ankita Bhargava</t>
  </si>
  <si>
    <t xml:space="preserve">1995-12-04</t>
  </si>
  <si>
    <t xml:space="preserve">2026-03-16</t>
  </si>
  <si>
    <t xml:space="preserve">UAN000100039479</t>
  </si>
  <si>
    <t xml:space="preserve">XXXX8139</t>
  </si>
  <si>
    <t xml:space="preserve">Point 7 — completes 6 months 16 Sep, 9 EL credited</t>
  </si>
  <si>
    <t xml:space="preserve">2026-09-16</t>
  </si>
  <si>
    <t xml:space="preserve">VPI-1067</t>
  </si>
  <si>
    <t xml:space="preserve">E1068</t>
  </si>
  <si>
    <t xml:space="preserve">Dinesh Vaidya</t>
  </si>
  <si>
    <t xml:space="preserve">1987-03-18</t>
  </si>
  <si>
    <t xml:space="preserve">2019-05-06</t>
  </si>
  <si>
    <t xml:space="preserve">UAN000100039516</t>
  </si>
  <si>
    <t xml:space="preserve">XXXX8156</t>
  </si>
  <si>
    <t xml:space="preserve">Point 16 — resigned, LWD 30 Sep, F&amp;F</t>
  </si>
  <si>
    <t xml:space="preserve">VPI-1068</t>
  </si>
  <si>
    <t xml:space="preserve">E1069</t>
  </si>
  <si>
    <t xml:space="preserve">Meera Prabhu</t>
  </si>
  <si>
    <t xml:space="preserve">1993-02-11</t>
  </si>
  <si>
    <t xml:space="preserve">UAN000100039553</t>
  </si>
  <si>
    <t xml:space="preserve">XXXX7418</t>
  </si>
  <si>
    <t xml:space="preserve">Added v1.1 — the January 2026 joiner the proration ladder needed (PR-01, 6 CL and 6 SL). Fills the one vacancy that sheet 10 showed against SM-004.</t>
  </si>
  <si>
    <t xml:space="preserve">2026-07-12</t>
  </si>
  <si>
    <t xml:space="preserve">VPI-1069</t>
  </si>
  <si>
    <t xml:space="preserve">69 workers across 9 worker classes, 5 sites and 4 states. E1056 is the point-8 record: located at Chennai, payrolled at head office. Payroll group and location are independent by design. ADDED v1.1 — columns V to AQ carry the policy attributes the WIP requirements are actually about: rest-day applicability (R-03, R-04), OT eligibility basis (R-05), leave scheme and COFF lapse (R-07, R-08), payroll versus attendance location (R-09), continuous service for the loan ceiling (R-10) and the gate-pass entitlement (R-12). Every value is derived from 38_Employment_Categories, 05_Designations and 06_Worker_Classes, so the resolution order in rule RL-05 can be demonstrated rather than asserted.</t>
  </si>
  <si>
    <t xml:space="preserve">Name</t>
  </si>
  <si>
    <t xml:space="preserve">Basic (INR)</t>
  </si>
  <si>
    <t xml:space="preserve">DA (INR)</t>
  </si>
  <si>
    <t xml:space="preserve">HRA (INR)</t>
  </si>
  <si>
    <t xml:space="preserve">Conveyance (INR)</t>
  </si>
  <si>
    <t xml:space="preserve">Special allowance (INR)</t>
  </si>
  <si>
    <t xml:space="preserve">Daily rate (INR)</t>
  </si>
  <si>
    <t xml:space="preserve">Monthly retainer (INR)</t>
  </si>
  <si>
    <t xml:space="preserve">Monthly gross (INR)</t>
  </si>
  <si>
    <t xml:space="preserve">Wage base — Basic+DA (INR)</t>
  </si>
  <si>
    <t xml:space="preserve">Excluded components (INR)</t>
  </si>
  <si>
    <t xml:space="preserve">Excluded as % of gross</t>
  </si>
  <si>
    <t xml:space="preserve">50% floor add-back (INR)</t>
  </si>
  <si>
    <t xml:space="preserve">Statutory wage base (INR)</t>
  </si>
  <si>
    <t xml:space="preserve">Columns L to Q are formulas implementing the Code on Wages 50% floor test from the blueprint. E1014 and E1049 are structured so that excluded components exceed 50% of gross and an add-back is required — use these two to demo the wage-base node and the structure simulator. ADDED v1.1: E1069 Meera Prabhu, carrying the same formulas as every other row.</t>
  </si>
  <si>
    <t xml:space="preserve">Leave type</t>
  </si>
  <si>
    <t xml:space="preserve">Unit</t>
  </si>
  <si>
    <t xml:space="preserve">Accrual</t>
  </si>
  <si>
    <t xml:space="preserve">Carry forward</t>
  </si>
  <si>
    <t xml:space="preserve">Year-end action</t>
  </si>
  <si>
    <t xml:space="preserve">Max per month</t>
  </si>
  <si>
    <t xml:space="preserve">Cannot be combined with</t>
  </si>
  <si>
    <t xml:space="preserve">Expiry rule</t>
  </si>
  <si>
    <t xml:space="preserve">Applies to bands</t>
  </si>
  <si>
    <t xml:space="preserve">EL</t>
  </si>
  <si>
    <t xml:space="preserve">Earned Leave</t>
  </si>
  <si>
    <t xml:space="preserve">Day</t>
  </si>
  <si>
    <t xml:space="preserve">Band-dependent</t>
  </si>
  <si>
    <t xml:space="preserve">Yes, up to 45 days</t>
  </si>
  <si>
    <t xml:space="preserve">Encash</t>
  </si>
  <si>
    <t xml:space="preserve">CL</t>
  </si>
  <si>
    <t xml:space="preserve">AGM_AND_ABOVE, STANDARD</t>
  </si>
  <si>
    <t xml:space="preserve">Casual Leave</t>
  </si>
  <si>
    <t xml:space="preserve">Annual on 1 Jan, prorated for joiners</t>
  </si>
  <si>
    <t xml:space="preserve">No</t>
  </si>
  <si>
    <t xml:space="preserve">Lapse</t>
  </si>
  <si>
    <t xml:space="preserve">EL, SL</t>
  </si>
  <si>
    <t xml:space="preserve">31 Dec</t>
  </si>
  <si>
    <t xml:space="preserve">AGM_AND_ABOVE, STANDARD, TRAINEE_GET, TRAINEE_DET</t>
  </si>
  <si>
    <t xml:space="preserve">SL</t>
  </si>
  <si>
    <t xml:space="preserve">Sick Leave</t>
  </si>
  <si>
    <t xml:space="preserve">CO</t>
  </si>
  <si>
    <t xml:space="preserve">Compensatory Off</t>
  </si>
  <si>
    <t xml:space="preserve">On rest-day or holiday working</t>
  </si>
  <si>
    <t xml:space="preserve">60 days from each credit</t>
  </si>
  <si>
    <t xml:space="preserve">All eligible classes</t>
  </si>
  <si>
    <t xml:space="preserve">Point 6</t>
  </si>
  <si>
    <t xml:space="preserve">BL</t>
  </si>
  <si>
    <t xml:space="preserve">Birthday Leave</t>
  </si>
  <si>
    <t xml:space="preserve">One day, on or around date of birth</t>
  </si>
  <si>
    <t xml:space="preserve">Birth month</t>
  </si>
  <si>
    <t xml:space="preserve">ML</t>
  </si>
  <si>
    <t xml:space="preserve">Maternity Leave</t>
  </si>
  <si>
    <t xml:space="preserve">Statutory, on eligibility</t>
  </si>
  <si>
    <t xml:space="preserve">Per Maternity Benefit Act</t>
  </si>
  <si>
    <t xml:space="preserve">LOP</t>
  </si>
  <si>
    <t xml:space="preserve">Loss of Pay</t>
  </si>
  <si>
    <t xml:space="preserve">Not accrued</t>
  </si>
  <si>
    <t xml:space="preserve">Casual leave cannot be taken with or merged into earned or sick leave, and is capped at 2 days a month. Earned leave is capped at 10 days a month. Both are validation rules on the request, evaluated before the approval chain starts.</t>
  </si>
  <si>
    <t xml:space="preserve">Policy code</t>
  </si>
  <si>
    <t xml:space="preserve">Annual days</t>
  </si>
  <si>
    <t xml:space="preserve">Accrual frequency</t>
  </si>
  <si>
    <t xml:space="preserve">Days per period</t>
  </si>
  <si>
    <t xml:space="preserve">Eligibility wait (months)</t>
  </si>
  <si>
    <t xml:space="preserve">Credit on completion</t>
  </si>
  <si>
    <t xml:space="preserve">Credit date</t>
  </si>
  <si>
    <t xml:space="preserve">Availing cap per month</t>
  </si>
  <si>
    <t xml:space="preserve">LP-01</t>
  </si>
  <si>
    <t xml:space="preserve">Annual</t>
  </si>
  <si>
    <t xml:space="preserve">1 January</t>
  </si>
  <si>
    <t xml:space="preserve">LP-02</t>
  </si>
  <si>
    <t xml:space="preserve">LP-03</t>
  </si>
  <si>
    <t xml:space="preserve">LP-04</t>
  </si>
  <si>
    <t xml:space="preserve">Last day of each month</t>
  </si>
  <si>
    <t xml:space="preserve">LP-05</t>
  </si>
  <si>
    <t xml:space="preserve">LP-06</t>
  </si>
  <si>
    <t xml:space="preserve">LP-07</t>
  </si>
  <si>
    <t xml:space="preserve">LP-08</t>
  </si>
  <si>
    <t xml:space="preserve">LP-09</t>
  </si>
  <si>
    <t xml:space="preserve">LP-10</t>
  </si>
  <si>
    <t xml:space="preserve">Standard-band employees accrue no earned leave for six months; on completing six months they receive 9 days as a single credit, then 1.5 days a month. E1067 Ankita Bhargava completes six months on 16 September 2026 — use her to show the credit landing. ADDED v1.1: every policy row now names the leave scheme it belongs to (39_Leave_Schemes) and its monthly availing cap. The cap is enforced on the application, never on the accrual.</t>
  </si>
  <si>
    <t xml:space="preserve">Rule code</t>
  </si>
  <si>
    <t xml:space="preserve">Joining month from</t>
  </si>
  <si>
    <t xml:space="preserve">Joining month to</t>
  </si>
  <si>
    <t xml:space="preserve">CL days</t>
  </si>
  <si>
    <t xml:space="preserve">SL days</t>
  </si>
  <si>
    <t xml:space="preserve">Example employee</t>
  </si>
  <si>
    <t xml:space="preserve">Leave-eligible check</t>
  </si>
  <si>
    <t xml:space="preserve">PR-01</t>
  </si>
  <si>
    <t xml:space="preserve">January</t>
  </si>
  <si>
    <t xml:space="preserve">E1069 Meera Prabhu — joined 12 Jan 2026 (WC-PERM, leave eligible)</t>
  </si>
  <si>
    <t xml:space="preserve">Verified — worker class is leave eligible</t>
  </si>
  <si>
    <t xml:space="preserve">PR-02</t>
  </si>
  <si>
    <t xml:space="preserve">February</t>
  </si>
  <si>
    <t xml:space="preserve">March</t>
  </si>
  <si>
    <t xml:space="preserve">E1067 Ankita Bhargava — joined 16 Mar 2026 (WC-PERM, leave eligible)</t>
  </si>
  <si>
    <t xml:space="preserve">PR-03</t>
  </si>
  <si>
    <t xml:space="preserve">April</t>
  </si>
  <si>
    <t xml:space="preserve">May</t>
  </si>
  <si>
    <t xml:space="preserve">E1060 Jayanthi Elangovan — joined 06 Apr 2026 (WC-PERM, leave eligible)</t>
  </si>
  <si>
    <t xml:space="preserve">PR-04</t>
  </si>
  <si>
    <t xml:space="preserve">June</t>
  </si>
  <si>
    <t xml:space="preserve">July</t>
  </si>
  <si>
    <t xml:space="preserve">E1030 Chetan Bhandary — joined 01 Jul 2026 (WC-TRN, CL only)</t>
  </si>
  <si>
    <t xml:space="preserve">Verified — trainee scheme, CL only</t>
  </si>
  <si>
    <t xml:space="preserve">PR-05</t>
  </si>
  <si>
    <t xml:space="preserve">August</t>
  </si>
  <si>
    <t xml:space="preserve">September</t>
  </si>
  <si>
    <t xml:space="preserve">E1065 Ishita Chatterjee — joined 17 Aug 2026 (WC-PERM, leave eligible)</t>
  </si>
  <si>
    <t xml:space="preserve">PR-06</t>
  </si>
  <si>
    <t xml:space="preserve">October</t>
  </si>
  <si>
    <t xml:space="preserve">4 December</t>
  </si>
  <si>
    <t xml:space="preserve">No current employee — see 61_Preboarding_Chain, C-2026-0071 joins 05 Oct 2026</t>
  </si>
  <si>
    <t xml:space="preserve">No record yet</t>
  </si>
  <si>
    <t xml:space="preserve">PR-07</t>
  </si>
  <si>
    <t xml:space="preserve">5 December</t>
  </si>
  <si>
    <t xml:space="preserve">31 December</t>
  </si>
  <si>
    <t xml:space="preserve">No current employee — depends on the answer to open question Q-02</t>
  </si>
  <si>
    <t xml:space="preserve">CORRECTED v1.1. In v1.0 the PR-01 and PR-02 examples named E1038 Parvathi Bai and E1046 Dattatray More, who are a third-party helper and a contractual daily-wage worker — neither is leave eligible, so neither could carry a proration credit. PR-01 now points at E1069, added in v1.1 for exactly this rung; PR-02 points at E1067, who was already the worked example in sheet 15. Every named example is now a worker whose class actually accrues leave.</t>
  </si>
  <si>
    <t xml:space="preserve">Ledger ID</t>
  </si>
  <si>
    <t xml:space="preserve">Transaction</t>
  </si>
  <si>
    <t xml:space="preserve">Days</t>
  </si>
  <si>
    <t xml:space="preserve">Effective date</t>
  </si>
  <si>
    <t xml:space="preserve">Expires on</t>
  </si>
  <si>
    <t xml:space="preserve">Narration</t>
  </si>
  <si>
    <t xml:space="preserve">Source reference</t>
  </si>
  <si>
    <t xml:space="preserve">LL-0001</t>
  </si>
  <si>
    <t xml:space="preserve">Credit</t>
  </si>
  <si>
    <t xml:space="preserve">Annual credit, AGM band</t>
  </si>
  <si>
    <t xml:space="preserve">LL-0002</t>
  </si>
  <si>
    <t xml:space="preserve">2026-12-31</t>
  </si>
  <si>
    <t xml:space="preserve">Annual credit</t>
  </si>
  <si>
    <t xml:space="preserve">LL-0003</t>
  </si>
  <si>
    <t xml:space="preserve">LL-0004</t>
  </si>
  <si>
    <t xml:space="preserve">Debit</t>
  </si>
  <si>
    <t xml:space="preserve">2026-05-18</t>
  </si>
  <si>
    <t xml:space="preserve">Leave taken, LV-2026-0402</t>
  </si>
  <si>
    <t xml:space="preserve">LL-0005</t>
  </si>
  <si>
    <t xml:space="preserve">LL-0006</t>
  </si>
  <si>
    <t xml:space="preserve">LL-0007</t>
  </si>
  <si>
    <t xml:space="preserve">2026-08-31</t>
  </si>
  <si>
    <t xml:space="preserve">Monthly accrual Jan–Aug at 1.5/month</t>
  </si>
  <si>
    <t xml:space="preserve">LL-0008</t>
  </si>
  <si>
    <t xml:space="preserve">2026-06-11</t>
  </si>
  <si>
    <t xml:space="preserve">Leave taken, LV-2026-0488</t>
  </si>
  <si>
    <t xml:space="preserve">LL-0009</t>
  </si>
  <si>
    <t xml:space="preserve">Monthly accrual Jan–Aug</t>
  </si>
  <si>
    <t xml:space="preserve">LL-0010</t>
  </si>
  <si>
    <t xml:space="preserve">LL-0011</t>
  </si>
  <si>
    <t xml:space="preserve">2026-09-07</t>
  </si>
  <si>
    <t xml:space="preserve">Applied 10 days, LV-2026-0774</t>
  </si>
  <si>
    <t xml:space="preserve">Point 5</t>
  </si>
  <si>
    <t xml:space="preserve">LL-0012</t>
  </si>
  <si>
    <t xml:space="preserve">Reversal</t>
  </si>
  <si>
    <t xml:space="preserve">2026-09-14</t>
  </si>
  <si>
    <t xml:space="preserve">Early return from LV-2026-0774 — unused days re-credited, attendance recomputed for 14, 15 and 16 Sep</t>
  </si>
  <si>
    <t xml:space="preserve">LL-0013</t>
  </si>
  <si>
    <t xml:space="preserve">Proration rule PR-02, March joiner</t>
  </si>
  <si>
    <t xml:space="preserve">LL-0014</t>
  </si>
  <si>
    <t xml:space="preserve">LL-0015</t>
  </si>
  <si>
    <t xml:space="preserve">Six months completed — single 9-day credit</t>
  </si>
  <si>
    <t xml:space="preserve">LL-0016</t>
  </si>
  <si>
    <t xml:space="preserve">Proration rule PR-03, April joiner</t>
  </si>
  <si>
    <t xml:space="preserve">LL-0017</t>
  </si>
  <si>
    <t xml:space="preserve">LL-0018</t>
  </si>
  <si>
    <t xml:space="preserve">Proration rule PR-04, GET trainee</t>
  </si>
  <si>
    <t xml:space="preserve">LL-0019</t>
  </si>
  <si>
    <t xml:space="preserve">Proration rule PR-04, DET trainee</t>
  </si>
  <si>
    <t xml:space="preserve">LL-0020</t>
  </si>
  <si>
    <t xml:space="preserve">Proration rule PR-05, August joiner</t>
  </si>
  <si>
    <t xml:space="preserve">LL-0021</t>
  </si>
  <si>
    <t xml:space="preserve">LL-0022</t>
  </si>
  <si>
    <t xml:space="preserve">2026-09-10</t>
  </si>
  <si>
    <t xml:space="preserve">Rest-day working 12 Jul</t>
  </si>
  <si>
    <t xml:space="preserve">CO-2026-0231</t>
  </si>
  <si>
    <t xml:space="preserve">LL-0023</t>
  </si>
  <si>
    <t xml:space="preserve">2026-09-06</t>
  </si>
  <si>
    <t xml:space="preserve">2026-11-05</t>
  </si>
  <si>
    <t xml:space="preserve">Rest-day working 06 Sep</t>
  </si>
  <si>
    <t xml:space="preserve">CO-2026-0288</t>
  </si>
  <si>
    <t xml:space="preserve">LL-0024</t>
  </si>
  <si>
    <t xml:space="preserve">2026-08-09</t>
  </si>
  <si>
    <t xml:space="preserve">2026-10-08</t>
  </si>
  <si>
    <t xml:space="preserve">Rest-day working 09 Aug</t>
  </si>
  <si>
    <t xml:space="preserve">CO-2026-0266</t>
  </si>
  <si>
    <t xml:space="preserve">LL-0025</t>
  </si>
  <si>
    <t xml:space="preserve">2026-08-28</t>
  </si>
  <si>
    <t xml:space="preserve">Comp-off availed</t>
  </si>
  <si>
    <t xml:space="preserve">CO-2026-0244</t>
  </si>
  <si>
    <t xml:space="preserve">LL-0026</t>
  </si>
  <si>
    <t xml:space="preserve">LL-0027</t>
  </si>
  <si>
    <t xml:space="preserve">LL-0028</t>
  </si>
  <si>
    <t xml:space="preserve">LL-0029</t>
  </si>
  <si>
    <t xml:space="preserve">No movement — application rejected</t>
  </si>
  <si>
    <t xml:space="preserve">2026-09-09</t>
  </si>
  <si>
    <t xml:space="preserve">CORRECTED v1.1. In v1.0 this row was a 2-day CL debit whose own narration said no leave was applied and LOP was raised. A debit with no leave behind it silently removes two days from the balance. Kept as a zero-day row so the rejected application is still visible.</t>
  </si>
  <si>
    <t xml:space="preserve">LL-0030</t>
  </si>
  <si>
    <t xml:space="preserve">LL-0031</t>
  </si>
  <si>
    <t xml:space="preserve">Proration rule PR-01, January joiner</t>
  </si>
  <si>
    <t xml:space="preserve">LL-0032</t>
  </si>
  <si>
    <t xml:space="preserve">LL-0033</t>
  </si>
  <si>
    <t xml:space="preserve">Six months completed 12 Jul — single 9-day catch-up credit</t>
  </si>
  <si>
    <t xml:space="preserve">LL-0034</t>
  </si>
  <si>
    <t xml:space="preserve">Monthly accrual resumes at 1.5 after the catch-up</t>
  </si>
  <si>
    <t xml:space="preserve">LL-0035</t>
  </si>
  <si>
    <t xml:space="preserve">2026-08-21</t>
  </si>
  <si>
    <t xml:space="preserve">Leave taken, LV-2026-0712</t>
  </si>
  <si>
    <t xml:space="preserve">LL-0036</t>
  </si>
  <si>
    <t xml:space="preserve">LL-0037</t>
  </si>
  <si>
    <t xml:space="preserve">Leave taken, LV-2026-0361</t>
  </si>
  <si>
    <t xml:space="preserve">LL-0038</t>
  </si>
  <si>
    <t xml:space="preserve">2026-09-30</t>
  </si>
  <si>
    <t xml:space="preserve">September accrual, credited on the last working day</t>
  </si>
  <si>
    <t xml:space="preserve">Point 16</t>
  </si>
  <si>
    <t xml:space="preserve">LL-0039</t>
  </si>
  <si>
    <t xml:space="preserve">LL-0040</t>
  </si>
  <si>
    <t xml:space="preserve">2026-04-20</t>
  </si>
  <si>
    <t xml:space="preserve">Leave taken, LV-2026-0288</t>
  </si>
  <si>
    <t xml:space="preserve">LL-0041</t>
  </si>
  <si>
    <t xml:space="preserve">Comp-off availed against CO-2026-0231, LV-2026-0788</t>
  </si>
  <si>
    <t xml:space="preserve">ADDED v1.1 — sheet 19 showed this credit consumed but the ledger had no debit, so the balance read one day high</t>
  </si>
  <si>
    <t xml:space="preserve">LL-0042</t>
  </si>
  <si>
    <t xml:space="preserve">2026-06-29</t>
  </si>
  <si>
    <t xml:space="preserve">Holiday working, stock count</t>
  </si>
  <si>
    <t xml:space="preserve">ADDED v1.1 — the credit behind the LL-0025 debit was missing</t>
  </si>
  <si>
    <t xml:space="preserve">LL-0043</t>
  </si>
  <si>
    <t xml:space="preserve">2026-09-13</t>
  </si>
  <si>
    <t xml:space="preserve">2026-11-12</t>
  </si>
  <si>
    <t xml:space="preserve">Rest-day working, preventive maintenance</t>
  </si>
  <si>
    <t xml:space="preserve">CO-2026-0301</t>
  </si>
  <si>
    <t xml:space="preserve">ADDED v1.1 — credit existed only in sheet 19</t>
  </si>
  <si>
    <t xml:space="preserve">LL-0044</t>
  </si>
  <si>
    <t xml:space="preserve">2026-05-31</t>
  </si>
  <si>
    <t xml:space="preserve">Rest-day working</t>
  </si>
  <si>
    <t xml:space="preserve">CO-2026-0198</t>
  </si>
  <si>
    <t xml:space="preserve">LL-0045</t>
  </si>
  <si>
    <t xml:space="preserve">Lapsed unconsumed on its expiry date — nightly lapse run LAPSE-2026-07-30</t>
  </si>
  <si>
    <t xml:space="preserve">Point 6 — ADDED v1.1. Without this row the lapse existed as a status in sheet 19 but never touched the balance</t>
  </si>
  <si>
    <t xml:space="preserve">Balance is a projection over this ledger, not a stored column. Comp-off expiry, joiner proration and the early-return reversal all fall out of the ledger model — LL-0022 and LL-0023 are two credits for the same person on two separate 60-day clocks, which a single balance cannot express. ADDED v1.1: LL-0031 to LL-0035 give the January rung of the proration ladder and a second worked example of the six-month catch-up — E1069 already past it, E1067 landing on 16 September during the demo window. RECONCILED v1.1. Sheet 19 held six comp-off credits; the ledger carried only three of them and none of the consumptions or the lapse, so a balance built from the ledger disagreed with the comp-off register for four of the five workers. Every credit, availing and lapse in sheet 19 now has a matching ledger movement, and 53_Leave_Balance_AsOn is derived from this sheet alone. Reconcile the two before the demo — being asked to explain a balance and finding the ledger short is the worst moment to discover it.</t>
  </si>
  <si>
    <t xml:space="preserve">Request ID</t>
  </si>
  <si>
    <t xml:space="preserve">From</t>
  </si>
  <si>
    <t xml:space="preserve">To</t>
  </si>
  <si>
    <t xml:space="preserve">Days applied</t>
  </si>
  <si>
    <t xml:space="preserve">Days availed</t>
  </si>
  <si>
    <t xml:space="preserve">Step 1 — Supervisor</t>
  </si>
  <si>
    <t xml:space="preserve">Step 2 — HOD</t>
  </si>
  <si>
    <t xml:space="preserve">Step 3 — HR Head</t>
  </si>
  <si>
    <t xml:space="preserve">HR edit</t>
  </si>
  <si>
    <t xml:space="preserve">LV-2026-0774</t>
  </si>
  <si>
    <t xml:space="preserve">Availed, early return</t>
  </si>
  <si>
    <t xml:space="preserve">E1039 approved 05 Sep</t>
  </si>
  <si>
    <t xml:space="preserve">E1004 approved 06 Sep</t>
  </si>
  <si>
    <t xml:space="preserve">E1006 closed the request on 14 Sep on early return; 3 unused days re-credited</t>
  </si>
  <si>
    <t xml:space="preserve">LV-2026-0801</t>
  </si>
  <si>
    <t xml:space="preserve">2026-09-21</t>
  </si>
  <si>
    <t xml:space="preserve">2026-09-22</t>
  </si>
  <si>
    <t xml:space="preserve">Pending</t>
  </si>
  <si>
    <t xml:space="preserve">E1017 pending</t>
  </si>
  <si>
    <t xml:space="preserve">LV-2026-0802</t>
  </si>
  <si>
    <t xml:space="preserve">CL + EL</t>
  </si>
  <si>
    <t xml:space="preserve">2026-09-24</t>
  </si>
  <si>
    <t xml:space="preserve">2026-09-28</t>
  </si>
  <si>
    <t xml:space="preserve">Rejected by rule</t>
  </si>
  <si>
    <t xml:space="preserve">Not routed</t>
  </si>
  <si>
    <t xml:space="preserve">Blocked at validation — casual leave cannot be combined with earned leave</t>
  </si>
  <si>
    <t xml:space="preserve">LV-2026-0803</t>
  </si>
  <si>
    <t xml:space="preserve">2026-10-05</t>
  </si>
  <si>
    <t xml:space="preserve">2026-10-16</t>
  </si>
  <si>
    <t xml:space="preserve">Blocked at validation — exceeds the 10-day monthly cap on earned leave</t>
  </si>
  <si>
    <t xml:space="preserve">LV-2026-0788</t>
  </si>
  <si>
    <t xml:space="preserve">Approved</t>
  </si>
  <si>
    <t xml:space="preserve">E1021 approved 08 Sep</t>
  </si>
  <si>
    <t xml:space="preserve">E1016 approved 08 Sep</t>
  </si>
  <si>
    <t xml:space="preserve">E1004 approved 08 Sep</t>
  </si>
  <si>
    <t xml:space="preserve">Consumed against CO-2026-0231 before it lapsed on 10 Sep</t>
  </si>
  <si>
    <t xml:space="preserve">LV-2026-0795</t>
  </si>
  <si>
    <t xml:space="preserve">2026-09-11</t>
  </si>
  <si>
    <t xml:space="preserve">Availed</t>
  </si>
  <si>
    <t xml:space="preserve">E1055 approved 10 Sep</t>
  </si>
  <si>
    <t xml:space="preserve">E1054 approved 10 Sep</t>
  </si>
  <si>
    <t xml:space="preserve">E1004 approved 11 Sep</t>
  </si>
  <si>
    <t xml:space="preserve">LV-2026-0812</t>
  </si>
  <si>
    <t xml:space="preserve">2026-09-18</t>
  </si>
  <si>
    <t xml:space="preserve">E1005 pending</t>
  </si>
  <si>
    <t xml:space="preserve">Applied the day after the 9-day credit landed</t>
  </si>
  <si>
    <t xml:space="preserve">Approval runs Supervisor, then HOD, then HR Head, sequentially. Two requests are rejected at validation before the chain starts, which is where combination and cap rules belong.</t>
  </si>
  <si>
    <t xml:space="preserve">Credit ID</t>
  </si>
  <si>
    <t xml:space="preserve">Earned on</t>
  </si>
  <si>
    <t xml:space="preserve">Reason</t>
  </si>
  <si>
    <t xml:space="preserve">Consumed on</t>
  </si>
  <si>
    <t xml:space="preserve">Days remaining</t>
  </si>
  <si>
    <t xml:space="preserve">Rest-day working, Assembly line changeover</t>
  </si>
  <si>
    <t xml:space="preserve">Consumed</t>
  </si>
  <si>
    <t xml:space="preserve">Rest-day working, month-end despatch</t>
  </si>
  <si>
    <t xml:space="preserve">Open</t>
  </si>
  <si>
    <t xml:space="preserve">Rest-day working, inbound clearance</t>
  </si>
  <si>
    <t xml:space="preserve">Lapsed</t>
  </si>
  <si>
    <t xml:space="preserve">Point 6 — show a credit that expired unconsumed</t>
  </si>
  <si>
    <t xml:space="preserve">Each credit carries its own 60-day clock. Yashoda Rani holds two credits expiring nine weeks apart; Rahul Gaikwad has one that lapsed unused. This is the clearest single demonstration of why the leave model has to be a ledger.</t>
  </si>
  <si>
    <t xml:space="preserve">Event ID</t>
  </si>
  <si>
    <t xml:space="preserve">Attendance date</t>
  </si>
  <si>
    <t xml:space="preserve">Segment</t>
  </si>
  <si>
    <t xml:space="preserve">Direction</t>
  </si>
  <si>
    <t xml:space="preserve">Time</t>
  </si>
  <si>
    <t xml:space="preserve">Calendar date of punch</t>
  </si>
  <si>
    <t xml:space="preserve">Source</t>
  </si>
  <si>
    <t xml:space="preserve">Device</t>
  </si>
  <si>
    <t xml:space="preserve">Note</t>
  </si>
  <si>
    <t xml:space="preserve">PE-00001</t>
  </si>
  <si>
    <t xml:space="preserve">IN</t>
  </si>
  <si>
    <t xml:space="preserve">07:55</t>
  </si>
  <si>
    <t xml:space="preserve">Biometric</t>
  </si>
  <si>
    <t xml:space="preserve">BIO-PLA-01</t>
  </si>
  <si>
    <t xml:space="preserve">PE-00002</t>
  </si>
  <si>
    <t xml:space="preserve">OUT</t>
  </si>
  <si>
    <t xml:space="preserve">20:06</t>
  </si>
  <si>
    <t xml:space="preserve">PE-00003</t>
  </si>
  <si>
    <t xml:space="preserve">07:58</t>
  </si>
  <si>
    <t xml:space="preserve">BIO-PLA-02</t>
  </si>
  <si>
    <t xml:space="preserve">PE-00004</t>
  </si>
  <si>
    <t xml:space="preserve">20:11</t>
  </si>
  <si>
    <t xml:space="preserve">PE-00005</t>
  </si>
  <si>
    <t xml:space="preserve">2026-09-03</t>
  </si>
  <si>
    <t xml:space="preserve">07:53</t>
  </si>
  <si>
    <t xml:space="preserve">BIO-PLA-03</t>
  </si>
  <si>
    <t xml:space="preserve">PE-00006</t>
  </si>
  <si>
    <t xml:space="preserve">20:03</t>
  </si>
  <si>
    <t xml:space="preserve">PE-00007</t>
  </si>
  <si>
    <t xml:space="preserve">2026-09-04</t>
  </si>
  <si>
    <t xml:space="preserve">PE-00008</t>
  </si>
  <si>
    <t xml:space="preserve">20:14</t>
  </si>
  <si>
    <t xml:space="preserve">PE-00009</t>
  </si>
  <si>
    <t xml:space="preserve">2026-09-05</t>
  </si>
  <si>
    <t xml:space="preserve">07:56</t>
  </si>
  <si>
    <t xml:space="preserve">PE-00010</t>
  </si>
  <si>
    <t xml:space="preserve">20:08</t>
  </si>
  <si>
    <t xml:space="preserve">PE-00011</t>
  </si>
  <si>
    <t xml:space="preserve">07:54</t>
  </si>
  <si>
    <t xml:space="preserve">PE-00012</t>
  </si>
  <si>
    <t xml:space="preserve">20:17</t>
  </si>
  <si>
    <t xml:space="preserve">PE-00013</t>
  </si>
  <si>
    <t xml:space="preserve">2026-09-08</t>
  </si>
  <si>
    <t xml:space="preserve">PE-00014</t>
  </si>
  <si>
    <t xml:space="preserve">20:30</t>
  </si>
  <si>
    <t xml:space="preserve">PE-00015</t>
  </si>
  <si>
    <t xml:space="preserve">21:15</t>
  </si>
  <si>
    <t xml:space="preserve">PE-00016</t>
  </si>
  <si>
    <t xml:space="preserve">03:20</t>
  </si>
  <si>
    <t xml:space="preserve">Next calendar day</t>
  </si>
  <si>
    <t xml:space="preserve">PE-00017</t>
  </si>
  <si>
    <t xml:space="preserve">09:25</t>
  </si>
  <si>
    <t xml:space="preserve">PE-00018</t>
  </si>
  <si>
    <t xml:space="preserve">20:10</t>
  </si>
  <si>
    <t xml:space="preserve">PE-00019</t>
  </si>
  <si>
    <t xml:space="preserve">08:01</t>
  </si>
  <si>
    <t xml:space="preserve">PE-00020</t>
  </si>
  <si>
    <t xml:space="preserve">20:12</t>
  </si>
  <si>
    <t xml:space="preserve">PE-00021</t>
  </si>
  <si>
    <t xml:space="preserve">07:52</t>
  </si>
  <si>
    <t xml:space="preserve">PE-00022</t>
  </si>
  <si>
    <t xml:space="preserve">20:04</t>
  </si>
  <si>
    <t xml:space="preserve">PE-00023</t>
  </si>
  <si>
    <t xml:space="preserve">2026-09-12</t>
  </si>
  <si>
    <t xml:space="preserve">08:02</t>
  </si>
  <si>
    <t xml:space="preserve">PE-00024</t>
  </si>
  <si>
    <t xml:space="preserve">20:19</t>
  </si>
  <si>
    <t xml:space="preserve">PE-00025</t>
  </si>
  <si>
    <t xml:space="preserve">PE-00026</t>
  </si>
  <si>
    <t xml:space="preserve">PE-00027</t>
  </si>
  <si>
    <t xml:space="preserve">07:57</t>
  </si>
  <si>
    <t xml:space="preserve">PE-00028</t>
  </si>
  <si>
    <t xml:space="preserve">PE-00029</t>
  </si>
  <si>
    <t xml:space="preserve">08:22</t>
  </si>
  <si>
    <t xml:space="preserve">PE-00030</t>
  </si>
  <si>
    <t xml:space="preserve">PE-00031</t>
  </si>
  <si>
    <t xml:space="preserve">PE-00032</t>
  </si>
  <si>
    <t xml:space="preserve">PE-00033</t>
  </si>
  <si>
    <t xml:space="preserve">08:31</t>
  </si>
  <si>
    <t xml:space="preserve">PE-00034</t>
  </si>
  <si>
    <t xml:space="preserve">PE-00035</t>
  </si>
  <si>
    <t xml:space="preserve">PE-00036</t>
  </si>
  <si>
    <t xml:space="preserve">PE-00037</t>
  </si>
  <si>
    <t xml:space="preserve">PE-00038</t>
  </si>
  <si>
    <t xml:space="preserve">PE-00039</t>
  </si>
  <si>
    <t xml:space="preserve">08:19</t>
  </si>
  <si>
    <t xml:space="preserve">PE-00040</t>
  </si>
  <si>
    <t xml:space="preserve">PE-00041</t>
  </si>
  <si>
    <t xml:space="preserve">PE-00042</t>
  </si>
  <si>
    <t xml:space="preserve">20:05</t>
  </si>
  <si>
    <t xml:space="preserve">PE-00043</t>
  </si>
  <si>
    <t xml:space="preserve">PE-00044</t>
  </si>
  <si>
    <t xml:space="preserve">20:09</t>
  </si>
  <si>
    <t xml:space="preserve">PE-00045</t>
  </si>
  <si>
    <t xml:space="preserve">08:27</t>
  </si>
  <si>
    <t xml:space="preserve">PE-00046</t>
  </si>
  <si>
    <t xml:space="preserve">PE-00047</t>
  </si>
  <si>
    <t xml:space="preserve">PE-00048</t>
  </si>
  <si>
    <t xml:space="preserve">PE-00049</t>
  </si>
  <si>
    <t xml:space="preserve">PE-00050</t>
  </si>
  <si>
    <t xml:space="preserve">PE-00051</t>
  </si>
  <si>
    <t xml:space="preserve">08:24</t>
  </si>
  <si>
    <t xml:space="preserve">PE-00052</t>
  </si>
  <si>
    <t xml:space="preserve">PE-00053</t>
  </si>
  <si>
    <t xml:space="preserve">PE-00054</t>
  </si>
  <si>
    <t xml:space="preserve">PE-00055</t>
  </si>
  <si>
    <t xml:space="preserve">PE-00056</t>
  </si>
  <si>
    <t xml:space="preserve">PE-00057</t>
  </si>
  <si>
    <t xml:space="preserve">PE-00058</t>
  </si>
  <si>
    <t xml:space="preserve">PE-00059</t>
  </si>
  <si>
    <t xml:space="preserve">PE-00060</t>
  </si>
  <si>
    <t xml:space="preserve">PE-00061</t>
  </si>
  <si>
    <t xml:space="preserve">PE-00062</t>
  </si>
  <si>
    <t xml:space="preserve">08:40</t>
  </si>
  <si>
    <t xml:space="preserve">PE-00063</t>
  </si>
  <si>
    <t xml:space="preserve">PE-00064</t>
  </si>
  <si>
    <t xml:space="preserve">PE-00065</t>
  </si>
  <si>
    <t xml:space="preserve">PE-00066</t>
  </si>
  <si>
    <t xml:space="preserve">PE-00067</t>
  </si>
  <si>
    <t xml:space="preserve">PE-00068</t>
  </si>
  <si>
    <t xml:space="preserve">PE-00069</t>
  </si>
  <si>
    <t xml:space="preserve">PE-00070</t>
  </si>
  <si>
    <t xml:space="preserve">PE-00071</t>
  </si>
  <si>
    <t xml:space="preserve">PE-00072</t>
  </si>
  <si>
    <t xml:space="preserve">PE-00073</t>
  </si>
  <si>
    <t xml:space="preserve">19:58</t>
  </si>
  <si>
    <t xml:space="preserve">PE-00074</t>
  </si>
  <si>
    <t xml:space="preserve">08:36</t>
  </si>
  <si>
    <t xml:space="preserve">PE-00075</t>
  </si>
  <si>
    <t xml:space="preserve">PE-00076</t>
  </si>
  <si>
    <t xml:space="preserve">PE-00077</t>
  </si>
  <si>
    <t xml:space="preserve">PE-00078</t>
  </si>
  <si>
    <t xml:space="preserve">PE-00079</t>
  </si>
  <si>
    <t xml:space="preserve">PE-00080</t>
  </si>
  <si>
    <t xml:space="preserve">PE-00081</t>
  </si>
  <si>
    <t xml:space="preserve">PE-00082</t>
  </si>
  <si>
    <t xml:space="preserve">PE-00083</t>
  </si>
  <si>
    <t xml:space="preserve">08:05</t>
  </si>
  <si>
    <t xml:space="preserve">PE-00084</t>
  </si>
  <si>
    <t xml:space="preserve">18:30</t>
  </si>
  <si>
    <t xml:space="preserve">PE-00085</t>
  </si>
  <si>
    <t xml:space="preserve">PE-00086</t>
  </si>
  <si>
    <t xml:space="preserve">PE-00087</t>
  </si>
  <si>
    <t xml:space="preserve">PE-00088</t>
  </si>
  <si>
    <t xml:space="preserve">PE-00089</t>
  </si>
  <si>
    <t xml:space="preserve">PE-00090</t>
  </si>
  <si>
    <t xml:space="preserve">PE-00091</t>
  </si>
  <si>
    <t xml:space="preserve">PE-00092</t>
  </si>
  <si>
    <t xml:space="preserve">PE-00093</t>
  </si>
  <si>
    <t xml:space="preserve">PE-00094</t>
  </si>
  <si>
    <t xml:space="preserve">PE-00095</t>
  </si>
  <si>
    <t xml:space="preserve">08:10</t>
  </si>
  <si>
    <t xml:space="preserve">PE-00096</t>
  </si>
  <si>
    <t xml:space="preserve">13:15</t>
  </si>
  <si>
    <t xml:space="preserve">PE-00097</t>
  </si>
  <si>
    <t xml:space="preserve">PE-00098</t>
  </si>
  <si>
    <t xml:space="preserve">PE-00099</t>
  </si>
  <si>
    <t xml:space="preserve">PE-00100</t>
  </si>
  <si>
    <t xml:space="preserve">PE-00101</t>
  </si>
  <si>
    <t xml:space="preserve">PE-00102</t>
  </si>
  <si>
    <t xml:space="preserve">PE-00103</t>
  </si>
  <si>
    <t xml:space="preserve">PE-00104</t>
  </si>
  <si>
    <t xml:space="preserve">PE-00105</t>
  </si>
  <si>
    <t xml:space="preserve">PE-00106</t>
  </si>
  <si>
    <t xml:space="preserve">PE-00107</t>
  </si>
  <si>
    <t xml:space="preserve">PE-00108</t>
  </si>
  <si>
    <t xml:space="preserve">PE-00109</t>
  </si>
  <si>
    <t xml:space="preserve">PE-00110</t>
  </si>
  <si>
    <t xml:space="preserve">PE-00111</t>
  </si>
  <si>
    <t xml:space="preserve">PE-00112</t>
  </si>
  <si>
    <t xml:space="preserve">PE-00113</t>
  </si>
  <si>
    <t xml:space="preserve">PE-00114</t>
  </si>
  <si>
    <t xml:space="preserve">12:00</t>
  </si>
  <si>
    <t xml:space="preserve">PE-00115</t>
  </si>
  <si>
    <t xml:space="preserve">14:00</t>
  </si>
  <si>
    <t xml:space="preserve">PE-00116</t>
  </si>
  <si>
    <t xml:space="preserve">PE-00117</t>
  </si>
  <si>
    <t xml:space="preserve">PE-00118</t>
  </si>
  <si>
    <t xml:space="preserve">PE-00119</t>
  </si>
  <si>
    <t xml:space="preserve">PE-00120</t>
  </si>
  <si>
    <t xml:space="preserve">PE-00121</t>
  </si>
  <si>
    <t xml:space="preserve">PE-00122</t>
  </si>
  <si>
    <t xml:space="preserve">PE-00123</t>
  </si>
  <si>
    <t xml:space="preserve">PE-00124</t>
  </si>
  <si>
    <t xml:space="preserve">PE-00125</t>
  </si>
  <si>
    <t xml:space="preserve">PE-00126</t>
  </si>
  <si>
    <t xml:space="preserve">PE-00127</t>
  </si>
  <si>
    <t xml:space="preserve">08:06</t>
  </si>
  <si>
    <t xml:space="preserve">PE-00128</t>
  </si>
  <si>
    <t xml:space="preserve">PE-00129</t>
  </si>
  <si>
    <t xml:space="preserve">13:30</t>
  </si>
  <si>
    <t xml:space="preserve">PE-00130</t>
  </si>
  <si>
    <t xml:space="preserve">PE-00131</t>
  </si>
  <si>
    <t xml:space="preserve">PE-00132</t>
  </si>
  <si>
    <t xml:space="preserve">PE-00133</t>
  </si>
  <si>
    <t xml:space="preserve">PE-00134</t>
  </si>
  <si>
    <t xml:space="preserve">PE-00135</t>
  </si>
  <si>
    <t xml:space="preserve">PE-00136</t>
  </si>
  <si>
    <t xml:space="preserve">PE-00137</t>
  </si>
  <si>
    <t xml:space="preserve">19:55</t>
  </si>
  <si>
    <t xml:space="preserve">PE-00138</t>
  </si>
  <si>
    <t xml:space="preserve">PE-00139</t>
  </si>
  <si>
    <t xml:space="preserve">PE-00140</t>
  </si>
  <si>
    <t xml:space="preserve">08:11</t>
  </si>
  <si>
    <t xml:space="preserve">PE-00141</t>
  </si>
  <si>
    <t xml:space="preserve">19:53</t>
  </si>
  <si>
    <t xml:space="preserve">PE-00142</t>
  </si>
  <si>
    <t xml:space="preserve">08:03</t>
  </si>
  <si>
    <t xml:space="preserve">PE-00143</t>
  </si>
  <si>
    <t xml:space="preserve">PE-00144</t>
  </si>
  <si>
    <t xml:space="preserve">08:14</t>
  </si>
  <si>
    <t xml:space="preserve">PE-00145</t>
  </si>
  <si>
    <t xml:space="preserve">19:56</t>
  </si>
  <si>
    <t xml:space="preserve">PE-00146</t>
  </si>
  <si>
    <t xml:space="preserve">08:08</t>
  </si>
  <si>
    <t xml:space="preserve">PE-00147</t>
  </si>
  <si>
    <t xml:space="preserve">19:54</t>
  </si>
  <si>
    <t xml:space="preserve">PE-00148</t>
  </si>
  <si>
    <t xml:space="preserve">08:17</t>
  </si>
  <si>
    <t xml:space="preserve">PE-00149</t>
  </si>
  <si>
    <t xml:space="preserve">19:59</t>
  </si>
  <si>
    <t xml:space="preserve">PE-00150</t>
  </si>
  <si>
    <t xml:space="preserve">PE-00151</t>
  </si>
  <si>
    <t xml:space="preserve">19:57</t>
  </si>
  <si>
    <t xml:space="preserve">PE-00152</t>
  </si>
  <si>
    <t xml:space="preserve">08:09</t>
  </si>
  <si>
    <t xml:space="preserve">PE-00153</t>
  </si>
  <si>
    <t xml:space="preserve">20:01</t>
  </si>
  <si>
    <t xml:space="preserve">PE-00154</t>
  </si>
  <si>
    <t xml:space="preserve">08:12</t>
  </si>
  <si>
    <t xml:space="preserve">PE-00155</t>
  </si>
  <si>
    <t xml:space="preserve">19:52</t>
  </si>
  <si>
    <t xml:space="preserve">PE-00156</t>
  </si>
  <si>
    <t xml:space="preserve">08:04</t>
  </si>
  <si>
    <t xml:space="preserve">PE-00157</t>
  </si>
  <si>
    <t xml:space="preserve">20:02</t>
  </si>
  <si>
    <t xml:space="preserve">PE-00158</t>
  </si>
  <si>
    <t xml:space="preserve">PE-00159</t>
  </si>
  <si>
    <t xml:space="preserve">PE-00160</t>
  </si>
  <si>
    <t xml:space="preserve">PE-00161</t>
  </si>
  <si>
    <t xml:space="preserve">PE-00162</t>
  </si>
  <si>
    <t xml:space="preserve">PE-00163</t>
  </si>
  <si>
    <t xml:space="preserve">PE-00164</t>
  </si>
  <si>
    <t xml:space="preserve">PE-00165</t>
  </si>
  <si>
    <t xml:space="preserve">PE-00166</t>
  </si>
  <si>
    <t xml:space="preserve">PE-00167</t>
  </si>
  <si>
    <t xml:space="preserve">PE-00168</t>
  </si>
  <si>
    <t xml:space="preserve">PE-00169</t>
  </si>
  <si>
    <t xml:space="preserve">PE-00170</t>
  </si>
  <si>
    <t xml:space="preserve">PE-00171</t>
  </si>
  <si>
    <t xml:space="preserve">PE-00172</t>
  </si>
  <si>
    <t xml:space="preserve">PE-00173</t>
  </si>
  <si>
    <t xml:space="preserve">PE-00174</t>
  </si>
  <si>
    <t xml:space="preserve">PE-00175</t>
  </si>
  <si>
    <t xml:space="preserve">PE-00176</t>
  </si>
  <si>
    <t xml:space="preserve">PE-00177</t>
  </si>
  <si>
    <t xml:space="preserve">PE-00178</t>
  </si>
  <si>
    <t xml:space="preserve">PE-00179</t>
  </si>
  <si>
    <t xml:space="preserve">PE-00180</t>
  </si>
  <si>
    <t xml:space="preserve">PE-00181</t>
  </si>
  <si>
    <t xml:space="preserve">PE-00182</t>
  </si>
  <si>
    <t xml:space="preserve">PE-00183</t>
  </si>
  <si>
    <t xml:space="preserve">PE-00184</t>
  </si>
  <si>
    <t xml:space="preserve">PE-00185</t>
  </si>
  <si>
    <t xml:space="preserve">PE-00186</t>
  </si>
  <si>
    <t xml:space="preserve">PE-00187</t>
  </si>
  <si>
    <t xml:space="preserve">PE-00188</t>
  </si>
  <si>
    <t xml:space="preserve">PE-00189</t>
  </si>
  <si>
    <t xml:space="preserve">PE-00190</t>
  </si>
  <si>
    <t xml:space="preserve">PE-00191</t>
  </si>
  <si>
    <t xml:space="preserve">PE-00192</t>
  </si>
  <si>
    <t xml:space="preserve">PE-00193</t>
  </si>
  <si>
    <t xml:space="preserve">PE-00194</t>
  </si>
  <si>
    <t xml:space="preserve">PE-00195</t>
  </si>
  <si>
    <t xml:space="preserve">PE-00196</t>
  </si>
  <si>
    <t xml:space="preserve">PE-00197</t>
  </si>
  <si>
    <t xml:space="preserve">PE-00198</t>
  </si>
  <si>
    <t xml:space="preserve">PE-00199</t>
  </si>
  <si>
    <t xml:space="preserve">PE-00200</t>
  </si>
  <si>
    <t xml:space="preserve">PE-00201</t>
  </si>
  <si>
    <t xml:space="preserve">PE-00202</t>
  </si>
  <si>
    <t xml:space="preserve">PE-00203</t>
  </si>
  <si>
    <t xml:space="preserve">PE-00204</t>
  </si>
  <si>
    <t xml:space="preserve">PE-00205</t>
  </si>
  <si>
    <t xml:space="preserve">PE-00206</t>
  </si>
  <si>
    <t xml:space="preserve">PE-00207</t>
  </si>
  <si>
    <t xml:space="preserve">PE-00208</t>
  </si>
  <si>
    <t xml:space="preserve">PE-00209</t>
  </si>
  <si>
    <t xml:space="preserve">PE-00210</t>
  </si>
  <si>
    <t xml:space="preserve">PE-00211</t>
  </si>
  <si>
    <t xml:space="preserve">PE-00212</t>
  </si>
  <si>
    <t xml:space="preserve">PE-00213</t>
  </si>
  <si>
    <t xml:space="preserve">PE-00214</t>
  </si>
  <si>
    <t xml:space="preserve">PE-00215</t>
  </si>
  <si>
    <t xml:space="preserve">PE-00216</t>
  </si>
  <si>
    <t xml:space="preserve">20:07</t>
  </si>
  <si>
    <t xml:space="preserve">PE-00217</t>
  </si>
  <si>
    <t xml:space="preserve">PE-00218</t>
  </si>
  <si>
    <t xml:space="preserve">PE-00219</t>
  </si>
  <si>
    <t xml:space="preserve">PE-00220</t>
  </si>
  <si>
    <t xml:space="preserve">PE-00221</t>
  </si>
  <si>
    <t xml:space="preserve">PE-00222</t>
  </si>
  <si>
    <t xml:space="preserve">PE-00223</t>
  </si>
  <si>
    <t xml:space="preserve">PE-00224</t>
  </si>
  <si>
    <t xml:space="preserve">PE-00225</t>
  </si>
  <si>
    <t xml:space="preserve">PE-00226</t>
  </si>
  <si>
    <t xml:space="preserve">PE-00227</t>
  </si>
  <si>
    <t xml:space="preserve">PE-00228</t>
  </si>
  <si>
    <t xml:space="preserve">PE-00229</t>
  </si>
  <si>
    <t xml:space="preserve">PE-00230</t>
  </si>
  <si>
    <t xml:space="preserve">PE-00231</t>
  </si>
  <si>
    <t xml:space="preserve">PE-00232</t>
  </si>
  <si>
    <t xml:space="preserve">PE-00233</t>
  </si>
  <si>
    <t xml:space="preserve">PE-00234</t>
  </si>
  <si>
    <t xml:space="preserve">PE-00235</t>
  </si>
  <si>
    <t xml:space="preserve">PE-00236</t>
  </si>
  <si>
    <t xml:space="preserve">PE-00237</t>
  </si>
  <si>
    <t xml:space="preserve">PE-00238</t>
  </si>
  <si>
    <t xml:space="preserve">PE-00239</t>
  </si>
  <si>
    <t xml:space="preserve">PE-00240</t>
  </si>
  <si>
    <t xml:space="preserve">PE-00241</t>
  </si>
  <si>
    <t xml:space="preserve">PE-00242</t>
  </si>
  <si>
    <t xml:space="preserve">PE-00243</t>
  </si>
  <si>
    <t xml:space="preserve">PE-00244</t>
  </si>
  <si>
    <t xml:space="preserve">PE-00245</t>
  </si>
  <si>
    <t xml:space="preserve">PE-00246</t>
  </si>
  <si>
    <t xml:space="preserve">PE-00247</t>
  </si>
  <si>
    <t xml:space="preserve">PE-00248</t>
  </si>
  <si>
    <t xml:space="preserve">PE-00249</t>
  </si>
  <si>
    <t xml:space="preserve">PE-00250</t>
  </si>
  <si>
    <t xml:space="preserve">PE-00251</t>
  </si>
  <si>
    <t xml:space="preserve">PE-00252</t>
  </si>
  <si>
    <t xml:space="preserve">PE-00253</t>
  </si>
  <si>
    <t xml:space="preserve">PE-00254</t>
  </si>
  <si>
    <t xml:space="preserve">PE-00255</t>
  </si>
  <si>
    <t xml:space="preserve">PE-00256</t>
  </si>
  <si>
    <t xml:space="preserve">PE-00257</t>
  </si>
  <si>
    <t xml:space="preserve">PE-00258</t>
  </si>
  <si>
    <t xml:space="preserve">PE-00259</t>
  </si>
  <si>
    <t xml:space="preserve">PE-00260</t>
  </si>
  <si>
    <t xml:space="preserve">PE-00261</t>
  </si>
  <si>
    <t xml:space="preserve">PE-00262</t>
  </si>
  <si>
    <t xml:space="preserve">PE-00263</t>
  </si>
  <si>
    <t xml:space="preserve">PE-00264</t>
  </si>
  <si>
    <t xml:space="preserve">PE-00265</t>
  </si>
  <si>
    <t xml:space="preserve">PE-00266</t>
  </si>
  <si>
    <t xml:space="preserve">PE-00267</t>
  </si>
  <si>
    <t xml:space="preserve">PE-00268</t>
  </si>
  <si>
    <t xml:space="preserve">PE-00269</t>
  </si>
  <si>
    <t xml:space="preserve">PE-00270</t>
  </si>
  <si>
    <t xml:space="preserve">PE-00271</t>
  </si>
  <si>
    <t xml:space="preserve">PE-00272</t>
  </si>
  <si>
    <t xml:space="preserve">PE-00273</t>
  </si>
  <si>
    <t xml:space="preserve">PE-00274</t>
  </si>
  <si>
    <t xml:space="preserve">PE-00275</t>
  </si>
  <si>
    <t xml:space="preserve">PE-00276</t>
  </si>
  <si>
    <t xml:space="preserve">PE-00277</t>
  </si>
  <si>
    <t xml:space="preserve">PE-00278</t>
  </si>
  <si>
    <t xml:space="preserve">PE-00279</t>
  </si>
  <si>
    <t xml:space="preserve">06:55</t>
  </si>
  <si>
    <t xml:space="preserve">BIO-PUN-01</t>
  </si>
  <si>
    <t xml:space="preserve">PE-00280</t>
  </si>
  <si>
    <t xml:space="preserve">17:06</t>
  </si>
  <si>
    <t xml:space="preserve">PE-00281</t>
  </si>
  <si>
    <t xml:space="preserve">06:58</t>
  </si>
  <si>
    <t xml:space="preserve">BIO-PUN-02</t>
  </si>
  <si>
    <t xml:space="preserve">PE-00282</t>
  </si>
  <si>
    <t xml:space="preserve">17:11</t>
  </si>
  <si>
    <t xml:space="preserve">PE-00283</t>
  </si>
  <si>
    <t xml:space="preserve">06:53</t>
  </si>
  <si>
    <t xml:space="preserve">BIO-PUN-03</t>
  </si>
  <si>
    <t xml:space="preserve">PE-00284</t>
  </si>
  <si>
    <t xml:space="preserve">17:03</t>
  </si>
  <si>
    <t xml:space="preserve">PE-00285</t>
  </si>
  <si>
    <t xml:space="preserve">PE-00286</t>
  </si>
  <si>
    <t xml:space="preserve">17:14</t>
  </si>
  <si>
    <t xml:space="preserve">PE-00287</t>
  </si>
  <si>
    <t xml:space="preserve">06:56</t>
  </si>
  <si>
    <t xml:space="preserve">PE-00288</t>
  </si>
  <si>
    <t xml:space="preserve">17:08</t>
  </si>
  <si>
    <t xml:space="preserve">PE-00289</t>
  </si>
  <si>
    <t xml:space="preserve">07:05</t>
  </si>
  <si>
    <t xml:space="preserve">PE-00290</t>
  </si>
  <si>
    <t xml:space="preserve">15:20</t>
  </si>
  <si>
    <t xml:space="preserve">PE-00291</t>
  </si>
  <si>
    <t xml:space="preserve">06:59</t>
  </si>
  <si>
    <t xml:space="preserve">PE-00292</t>
  </si>
  <si>
    <t xml:space="preserve">17:05</t>
  </si>
  <si>
    <t xml:space="preserve">PE-00293</t>
  </si>
  <si>
    <t xml:space="preserve">06:57</t>
  </si>
  <si>
    <t xml:space="preserve">PE-00294</t>
  </si>
  <si>
    <t xml:space="preserve">17:09</t>
  </si>
  <si>
    <t xml:space="preserve">PE-00295</t>
  </si>
  <si>
    <t xml:space="preserve">07:01</t>
  </si>
  <si>
    <t xml:space="preserve">PE-00296</t>
  </si>
  <si>
    <t xml:space="preserve">17:12</t>
  </si>
  <si>
    <t xml:space="preserve">PE-00297</t>
  </si>
  <si>
    <t xml:space="preserve">06:52</t>
  </si>
  <si>
    <t xml:space="preserve">PE-00298</t>
  </si>
  <si>
    <t xml:space="preserve">17:04</t>
  </si>
  <si>
    <t xml:space="preserve">PE-00299</t>
  </si>
  <si>
    <t xml:space="preserve">07:02</t>
  </si>
  <si>
    <t xml:space="preserve">PE-00300</t>
  </si>
  <si>
    <t xml:space="preserve">17:19</t>
  </si>
  <si>
    <t xml:space="preserve">PE-00301</t>
  </si>
  <si>
    <t xml:space="preserve">PE-00302</t>
  </si>
  <si>
    <t xml:space="preserve">17:10</t>
  </si>
  <si>
    <t xml:space="preserve">PE-00303</t>
  </si>
  <si>
    <t xml:space="preserve">PE-00304</t>
  </si>
  <si>
    <t xml:space="preserve">PE-00305</t>
  </si>
  <si>
    <t xml:space="preserve">08:55</t>
  </si>
  <si>
    <t xml:space="preserve">PE-00306</t>
  </si>
  <si>
    <t xml:space="preserve">18:06</t>
  </si>
  <si>
    <t xml:space="preserve">PE-00307</t>
  </si>
  <si>
    <t xml:space="preserve">08:58</t>
  </si>
  <si>
    <t xml:space="preserve">PE-00308</t>
  </si>
  <si>
    <t xml:space="preserve">18:11</t>
  </si>
  <si>
    <t xml:space="preserve">PE-00309</t>
  </si>
  <si>
    <t xml:space="preserve">08:53</t>
  </si>
  <si>
    <t xml:space="preserve">PE-00310</t>
  </si>
  <si>
    <t xml:space="preserve">18:03</t>
  </si>
  <si>
    <t xml:space="preserve">PE-00311</t>
  </si>
  <si>
    <t xml:space="preserve">PE-00312</t>
  </si>
  <si>
    <t xml:space="preserve">18:14</t>
  </si>
  <si>
    <t xml:space="preserve">PE-00313</t>
  </si>
  <si>
    <t xml:space="preserve">08:56</t>
  </si>
  <si>
    <t xml:space="preserve">PE-00314</t>
  </si>
  <si>
    <t xml:space="preserve">18:08</t>
  </si>
  <si>
    <t xml:space="preserve">PE-00315</t>
  </si>
  <si>
    <t xml:space="preserve">09:02</t>
  </si>
  <si>
    <t xml:space="preserve">PE-00316</t>
  </si>
  <si>
    <t xml:space="preserve">18:19</t>
  </si>
  <si>
    <t xml:space="preserve">PE-00317</t>
  </si>
  <si>
    <t xml:space="preserve">PE-00318</t>
  </si>
  <si>
    <t xml:space="preserve">18:10</t>
  </si>
  <si>
    <t xml:space="preserve">PE-00319</t>
  </si>
  <si>
    <t xml:space="preserve">08:57</t>
  </si>
  <si>
    <t xml:space="preserve">PE-00320</t>
  </si>
  <si>
    <t xml:space="preserve">PE-00321</t>
  </si>
  <si>
    <t xml:space="preserve">16:55</t>
  </si>
  <si>
    <t xml:space="preserve">PE-00322</t>
  </si>
  <si>
    <t xml:space="preserve">03:06</t>
  </si>
  <si>
    <t xml:space="preserve">PE-00323</t>
  </si>
  <si>
    <t xml:space="preserve">16:58</t>
  </si>
  <si>
    <t xml:space="preserve">PE-00324</t>
  </si>
  <si>
    <t xml:space="preserve">03:11</t>
  </si>
  <si>
    <t xml:space="preserve">PE-00325</t>
  </si>
  <si>
    <t xml:space="preserve">16:53</t>
  </si>
  <si>
    <t xml:space="preserve">PE-00326</t>
  </si>
  <si>
    <t xml:space="preserve">03:03</t>
  </si>
  <si>
    <t xml:space="preserve">PE-00327</t>
  </si>
  <si>
    <t xml:space="preserve">PE-00328</t>
  </si>
  <si>
    <t xml:space="preserve">03:14</t>
  </si>
  <si>
    <t xml:space="preserve">PE-00329</t>
  </si>
  <si>
    <t xml:space="preserve">16:56</t>
  </si>
  <si>
    <t xml:space="preserve">PE-00330</t>
  </si>
  <si>
    <t xml:space="preserve">03:08</t>
  </si>
  <si>
    <t xml:space="preserve">PE-00331</t>
  </si>
  <si>
    <t xml:space="preserve">16:54</t>
  </si>
  <si>
    <t xml:space="preserve">PE-00332</t>
  </si>
  <si>
    <t xml:space="preserve">03:17</t>
  </si>
  <si>
    <t xml:space="preserve">PE-00333</t>
  </si>
  <si>
    <t xml:space="preserve">16:59</t>
  </si>
  <si>
    <t xml:space="preserve">PE-00334</t>
  </si>
  <si>
    <t xml:space="preserve">03:05</t>
  </si>
  <si>
    <t xml:space="preserve">PE-00335</t>
  </si>
  <si>
    <t xml:space="preserve">16:57</t>
  </si>
  <si>
    <t xml:space="preserve">PE-00336</t>
  </si>
  <si>
    <t xml:space="preserve">03:09</t>
  </si>
  <si>
    <t xml:space="preserve">PE-00337</t>
  </si>
  <si>
    <t xml:space="preserve">17:01</t>
  </si>
  <si>
    <t xml:space="preserve">PE-00338</t>
  </si>
  <si>
    <t xml:space="preserve">03:12</t>
  </si>
  <si>
    <t xml:space="preserve">PE-00339</t>
  </si>
  <si>
    <t xml:space="preserve">16:52</t>
  </si>
  <si>
    <t xml:space="preserve">PE-00340</t>
  </si>
  <si>
    <t xml:space="preserve">03:04</t>
  </si>
  <si>
    <t xml:space="preserve">PE-00341</t>
  </si>
  <si>
    <t xml:space="preserve">17:02</t>
  </si>
  <si>
    <t xml:space="preserve">PE-00342</t>
  </si>
  <si>
    <t xml:space="preserve">03:19</t>
  </si>
  <si>
    <t xml:space="preserve">PE-00343</t>
  </si>
  <si>
    <t xml:space="preserve">PE-00344</t>
  </si>
  <si>
    <t xml:space="preserve">03:10</t>
  </si>
  <si>
    <t xml:space="preserve">PE-00345</t>
  </si>
  <si>
    <t xml:space="preserve">PE-00346</t>
  </si>
  <si>
    <t xml:space="preserve">PE-00347</t>
  </si>
  <si>
    <t xml:space="preserve">BIO-CHN-01</t>
  </si>
  <si>
    <t xml:space="preserve">PE-00348</t>
  </si>
  <si>
    <t xml:space="preserve">PE-00349</t>
  </si>
  <si>
    <t xml:space="preserve">BIO-CHN-02</t>
  </si>
  <si>
    <t xml:space="preserve">PE-00350</t>
  </si>
  <si>
    <t xml:space="preserve">PE-00351</t>
  </si>
  <si>
    <t xml:space="preserve">BIO-CHN-03</t>
  </si>
  <si>
    <t xml:space="preserve">PE-00352</t>
  </si>
  <si>
    <t xml:space="preserve">PE-00353</t>
  </si>
  <si>
    <t xml:space="preserve">PE-00354</t>
  </si>
  <si>
    <t xml:space="preserve">PE-00355</t>
  </si>
  <si>
    <t xml:space="preserve">PE-00356</t>
  </si>
  <si>
    <t xml:space="preserve">PE-00357</t>
  </si>
  <si>
    <t xml:space="preserve">PE-00358</t>
  </si>
  <si>
    <t xml:space="preserve">PE-00359</t>
  </si>
  <si>
    <t xml:space="preserve">PE-00360</t>
  </si>
  <si>
    <t xml:space="preserve">PE-00361</t>
  </si>
  <si>
    <t xml:space="preserve">PE-00362</t>
  </si>
  <si>
    <t xml:space="preserve">PE-00363</t>
  </si>
  <si>
    <t xml:space="preserve">PE-00364</t>
  </si>
  <si>
    <t xml:space="preserve">PE-00365</t>
  </si>
  <si>
    <t xml:space="preserve">PE-00366</t>
  </si>
  <si>
    <t xml:space="preserve">PE-00367</t>
  </si>
  <si>
    <t xml:space="preserve">PE-00368</t>
  </si>
  <si>
    <t xml:space="preserve">PE-00369</t>
  </si>
  <si>
    <t xml:space="preserve">PE-00370</t>
  </si>
  <si>
    <t xml:space="preserve">PE-00371</t>
  </si>
  <si>
    <t xml:space="preserve">PE-00372</t>
  </si>
  <si>
    <t xml:space="preserve">PE-00373</t>
  </si>
  <si>
    <t xml:space="preserve">09:32</t>
  </si>
  <si>
    <t xml:space="preserve">PE-00374</t>
  </si>
  <si>
    <t xml:space="preserve">18:40</t>
  </si>
  <si>
    <t xml:space="preserve">PE-00375</t>
  </si>
  <si>
    <t xml:space="preserve">PE-00376</t>
  </si>
  <si>
    <t xml:space="preserve">PE-00377</t>
  </si>
  <si>
    <t xml:space="preserve">09:41</t>
  </si>
  <si>
    <t xml:space="preserve">PE-00378</t>
  </si>
  <si>
    <t xml:space="preserve">18:50</t>
  </si>
  <si>
    <t xml:space="preserve">PE-00379</t>
  </si>
  <si>
    <t xml:space="preserve">PE-00380</t>
  </si>
  <si>
    <t xml:space="preserve">PE-00381</t>
  </si>
  <si>
    <t xml:space="preserve">09:28</t>
  </si>
  <si>
    <t xml:space="preserve">PE-00382</t>
  </si>
  <si>
    <t xml:space="preserve">18:35</t>
  </si>
  <si>
    <t xml:space="preserve">PE-00383</t>
  </si>
  <si>
    <t xml:space="preserve">08:59</t>
  </si>
  <si>
    <t xml:space="preserve">PE-00384</t>
  </si>
  <si>
    <t xml:space="preserve">18:05</t>
  </si>
  <si>
    <t xml:space="preserve">PE-00385</t>
  </si>
  <si>
    <t xml:space="preserve">09:35</t>
  </si>
  <si>
    <t xml:space="preserve">PE-00386</t>
  </si>
  <si>
    <t xml:space="preserve">18:44</t>
  </si>
  <si>
    <t xml:space="preserve">PE-00387</t>
  </si>
  <si>
    <t xml:space="preserve">PE-00388</t>
  </si>
  <si>
    <t xml:space="preserve">18:09</t>
  </si>
  <si>
    <t xml:space="preserve">PE-00389</t>
  </si>
  <si>
    <t xml:space="preserve">09:22</t>
  </si>
  <si>
    <t xml:space="preserve">PE-00390</t>
  </si>
  <si>
    <t xml:space="preserve">PE-00391</t>
  </si>
  <si>
    <t xml:space="preserve">09:08</t>
  </si>
  <si>
    <t xml:space="preserve">PE-00392</t>
  </si>
  <si>
    <t xml:space="preserve">18:15</t>
  </si>
  <si>
    <t xml:space="preserve">PE-00393</t>
  </si>
  <si>
    <t xml:space="preserve">PE-00394</t>
  </si>
  <si>
    <t xml:space="preserve">PE-00395</t>
  </si>
  <si>
    <t xml:space="preserve">09:01</t>
  </si>
  <si>
    <t xml:space="preserve">PE-00396</t>
  </si>
  <si>
    <t xml:space="preserve">Raw events, never edited. Attendance date is the date the SHIFT started — note the rows where the punch calendar date is the following day. ADDED v1.1: 26 events for E1021 Rekha Deshpande across 13 working days. She was named in the demo script for the grade-exemption case but had no punches in v1.0, so that half of point 12 could not be shown. 394 events across 15 employees and 15 days.</t>
  </si>
  <si>
    <t xml:space="preserve">Shift assigned</t>
  </si>
  <si>
    <t xml:space="preserve">Shift applied</t>
  </si>
  <si>
    <t xml:space="preserve">Shift minutes</t>
  </si>
  <si>
    <t xml:space="preserve">Day type</t>
  </si>
  <si>
    <t xml:space="preserve">First in</t>
  </si>
  <si>
    <t xml:space="preserve">Last out</t>
  </si>
  <si>
    <t xml:space="preserve">Gross minutes</t>
  </si>
  <si>
    <t xml:space="preserve">Break minutes (recorded, paid)</t>
  </si>
  <si>
    <t xml:space="preserve">Gate pass minutes (deducted)</t>
  </si>
  <si>
    <t xml:space="preserve">Gate pass credit (approved)</t>
  </si>
  <si>
    <t xml:space="preserve">OT eligibility</t>
  </si>
  <si>
    <t xml:space="preserve">Late by (min)</t>
  </si>
  <si>
    <t xml:space="preserve">Late instance no</t>
  </si>
  <si>
    <t xml:space="preserve">Late beyond allowance</t>
  </si>
  <si>
    <t xml:space="preserve">Long-night relief</t>
  </si>
  <si>
    <t xml:space="preserve">Net minutes</t>
  </si>
  <si>
    <t xml:space="preserve">Overtime minutes</t>
  </si>
  <si>
    <t xml:space="preserve">Expected status</t>
  </si>
  <si>
    <t xml:space="preserve">Net (h:mm)</t>
  </si>
  <si>
    <t xml:space="preserve">OT (h:mm)</t>
  </si>
  <si>
    <t xml:space="preserve">AD-00001</t>
  </si>
  <si>
    <t xml:space="preserve">Tue</t>
  </si>
  <si>
    <t xml:space="preserve">Working</t>
  </si>
  <si>
    <t xml:space="preserve">AD-00002</t>
  </si>
  <si>
    <t xml:space="preserve">Wed</t>
  </si>
  <si>
    <t xml:space="preserve">AD-00003</t>
  </si>
  <si>
    <t xml:space="preserve">Thu</t>
  </si>
  <si>
    <t xml:space="preserve">AD-00004</t>
  </si>
  <si>
    <t xml:space="preserve">Fri</t>
  </si>
  <si>
    <t xml:space="preserve">AD-00005</t>
  </si>
  <si>
    <t xml:space="preserve">Sat</t>
  </si>
  <si>
    <t xml:space="preserve">AD-00006</t>
  </si>
  <si>
    <t xml:space="preserve">Sun</t>
  </si>
  <si>
    <t xml:space="preserve">Weekly Off</t>
  </si>
  <si>
    <t xml:space="preserve">AD-00007</t>
  </si>
  <si>
    <t xml:space="preserve">Mon</t>
  </si>
  <si>
    <t xml:space="preserve">AD-00008</t>
  </si>
  <si>
    <t xml:space="preserve">Point 1 — two segments, 45-min dinner break, day runs to 03:20</t>
  </si>
  <si>
    <t xml:space="preserve">AD-00009</t>
  </si>
  <si>
    <t xml:space="preserve">Point 12 — long-night relief after a 03:20 finish; full day despite 10h45m span</t>
  </si>
  <si>
    <t xml:space="preserve">AD-00010</t>
  </si>
  <si>
    <t xml:space="preserve">AD-00011</t>
  </si>
  <si>
    <t xml:space="preserve">AD-00012</t>
  </si>
  <si>
    <t xml:space="preserve">AD-00013</t>
  </si>
  <si>
    <t xml:space="preserve">AD-00014</t>
  </si>
  <si>
    <t xml:space="preserve">AD-00015</t>
  </si>
  <si>
    <t xml:space="preserve">AD-00016</t>
  </si>
  <si>
    <t xml:space="preserve">Late instance 1 — within allowance</t>
  </si>
  <si>
    <t xml:space="preserve">AD-00017</t>
  </si>
  <si>
    <t xml:space="preserve">AD-00018</t>
  </si>
  <si>
    <t xml:space="preserve">Late instance 2 — within allowance</t>
  </si>
  <si>
    <t xml:space="preserve">AD-00019</t>
  </si>
  <si>
    <t xml:space="preserve">AD-00020</t>
  </si>
  <si>
    <t xml:space="preserve">AD-00021</t>
  </si>
  <si>
    <t xml:space="preserve">AD-00022</t>
  </si>
  <si>
    <t xml:space="preserve">Late instance 3 — within allowance</t>
  </si>
  <si>
    <t xml:space="preserve">AD-00023</t>
  </si>
  <si>
    <t xml:space="preserve">AD-00024</t>
  </si>
  <si>
    <t xml:space="preserve">AD-00025</t>
  </si>
  <si>
    <t xml:space="preserve">Point 12 — late instance 4, half day</t>
  </si>
  <si>
    <t xml:space="preserve">AD-00026</t>
  </si>
  <si>
    <t xml:space="preserve">AD-00027</t>
  </si>
  <si>
    <t xml:space="preserve">AD-00028</t>
  </si>
  <si>
    <t xml:space="preserve">AD-00029</t>
  </si>
  <si>
    <t xml:space="preserve">Point 12 — late instance 5, half day</t>
  </si>
  <si>
    <t xml:space="preserve">AD-00030</t>
  </si>
  <si>
    <t xml:space="preserve">AD-00031</t>
  </si>
  <si>
    <t xml:space="preserve">AD-00032</t>
  </si>
  <si>
    <t xml:space="preserve">AD-00033</t>
  </si>
  <si>
    <t xml:space="preserve">AD-00034</t>
  </si>
  <si>
    <t xml:space="preserve">Point 13 — in-punch inside B-shift window, shift auto-inferred</t>
  </si>
  <si>
    <t xml:space="preserve">AD-00035</t>
  </si>
  <si>
    <t xml:space="preserve">AD-00036</t>
  </si>
  <si>
    <t xml:space="preserve">AD-00037</t>
  </si>
  <si>
    <t xml:space="preserve">AD-00038</t>
  </si>
  <si>
    <t xml:space="preserve">AD-00039</t>
  </si>
  <si>
    <t xml:space="preserve">AD-00040</t>
  </si>
  <si>
    <t xml:space="preserve">AD-00041</t>
  </si>
  <si>
    <t xml:space="preserve">Point 13 — second inferred B-shift day</t>
  </si>
  <si>
    <t xml:space="preserve">AD-00042</t>
  </si>
  <si>
    <t xml:space="preserve">AD-00043</t>
  </si>
  <si>
    <t xml:space="preserve">AD-00044</t>
  </si>
  <si>
    <t xml:space="preserve">AD-00045</t>
  </si>
  <si>
    <t xml:space="preserve">AD-00046</t>
  </si>
  <si>
    <t xml:space="preserve">AD-00047</t>
  </si>
  <si>
    <t xml:space="preserve">Point 12 — net 9h25m, below 11h30m, half day</t>
  </si>
  <si>
    <t xml:space="preserve">AD-00048</t>
  </si>
  <si>
    <t xml:space="preserve">AD-00049</t>
  </si>
  <si>
    <t xml:space="preserve">AD-00050</t>
  </si>
  <si>
    <t xml:space="preserve">AD-00051</t>
  </si>
  <si>
    <t xml:space="preserve">AD-00052</t>
  </si>
  <si>
    <t xml:space="preserve">AD-00053</t>
  </si>
  <si>
    <t xml:space="preserve">AD-00054</t>
  </si>
  <si>
    <t xml:space="preserve">Point 12 — net 5h05m, below 6h30m, absent</t>
  </si>
  <si>
    <t xml:space="preserve">AD-00055</t>
  </si>
  <si>
    <t xml:space="preserve">AD-00056</t>
  </si>
  <si>
    <t xml:space="preserve">AD-00057</t>
  </si>
  <si>
    <t xml:space="preserve">AD-00058</t>
  </si>
  <si>
    <t xml:space="preserve">AD-00059</t>
  </si>
  <si>
    <t xml:space="preserve">AD-00060</t>
  </si>
  <si>
    <t xml:space="preserve">AD-00061</t>
  </si>
  <si>
    <t xml:space="preserve">AD-00062</t>
  </si>
  <si>
    <t xml:space="preserve">AD-00063</t>
  </si>
  <si>
    <t xml:space="preserve">AD-00064</t>
  </si>
  <si>
    <t xml:space="preserve">Point 11 — 2h personal gate pass GP-2026-0141, credited to work hours</t>
  </si>
  <si>
    <t xml:space="preserve">AD-00065</t>
  </si>
  <si>
    <t xml:space="preserve">AD-00066</t>
  </si>
  <si>
    <t xml:space="preserve">AD-00067</t>
  </si>
  <si>
    <t xml:space="preserve">AD-00068</t>
  </si>
  <si>
    <t xml:space="preserve">AD-00069</t>
  </si>
  <si>
    <t xml:space="preserve">AD-00070</t>
  </si>
  <si>
    <t xml:space="preserve">AD-00071</t>
  </si>
  <si>
    <t xml:space="preserve">Point 11 — 2h gate pass GP-2026-0155, monthly ceiling of 4h now reached</t>
  </si>
  <si>
    <t xml:space="preserve">AD-00072</t>
  </si>
  <si>
    <t xml:space="preserve">AD-00073</t>
  </si>
  <si>
    <t xml:space="preserve">AD-00074</t>
  </si>
  <si>
    <t xml:space="preserve">AD-00075</t>
  </si>
  <si>
    <t xml:space="preserve">AD-00076</t>
  </si>
  <si>
    <t xml:space="preserve">AD-00077</t>
  </si>
  <si>
    <t xml:space="preserve">AD-00078</t>
  </si>
  <si>
    <t xml:space="preserve">AD-00079</t>
  </si>
  <si>
    <t xml:space="preserve">AD-00080</t>
  </si>
  <si>
    <t xml:space="preserve">AD-00081</t>
  </si>
  <si>
    <t xml:space="preserve">AD-00082</t>
  </si>
  <si>
    <t xml:space="preserve">AD-00083</t>
  </si>
  <si>
    <t xml:space="preserve">AD-00084</t>
  </si>
  <si>
    <t xml:space="preserve">AD-00085</t>
  </si>
  <si>
    <t xml:space="preserve">AD-00086</t>
  </si>
  <si>
    <t xml:space="preserve">AD-00087</t>
  </si>
  <si>
    <t xml:space="preserve">AD-00088</t>
  </si>
  <si>
    <t xml:space="preserve">AD-00089</t>
  </si>
  <si>
    <t xml:space="preserve">AD-00090</t>
  </si>
  <si>
    <t xml:space="preserve">AD-00091</t>
  </si>
  <si>
    <t xml:space="preserve">AD-00092</t>
  </si>
  <si>
    <t xml:space="preserve">AD-00093</t>
  </si>
  <si>
    <t xml:space="preserve">AD-00094</t>
  </si>
  <si>
    <t xml:space="preserve">AD-00095</t>
  </si>
  <si>
    <t xml:space="preserve">AD-00096</t>
  </si>
  <si>
    <t xml:space="preserve">Point 6 — rest-day working, comp-off CO-2026-0288 credited, expires 05 Nov 2026</t>
  </si>
  <si>
    <t xml:space="preserve">AD-00097</t>
  </si>
  <si>
    <t xml:space="preserve">AD-00098</t>
  </si>
  <si>
    <t xml:space="preserve">AD-00099</t>
  </si>
  <si>
    <t xml:space="preserve">AD-00100</t>
  </si>
  <si>
    <t xml:space="preserve">AD-00101</t>
  </si>
  <si>
    <t xml:space="preserve">AD-00102</t>
  </si>
  <si>
    <t xml:space="preserve">AD-00103</t>
  </si>
  <si>
    <t xml:space="preserve">AD-00104</t>
  </si>
  <si>
    <t xml:space="preserve">AD-00105</t>
  </si>
  <si>
    <t xml:space="preserve">AD-00106</t>
  </si>
  <si>
    <t xml:space="preserve">AD-00107</t>
  </si>
  <si>
    <t xml:space="preserve">AD-00108</t>
  </si>
  <si>
    <t xml:space="preserve">AD-00109</t>
  </si>
  <si>
    <t xml:space="preserve">AD-00110</t>
  </si>
  <si>
    <t xml:space="preserve">AD-00111</t>
  </si>
  <si>
    <t xml:space="preserve">AD-00112</t>
  </si>
  <si>
    <t xml:space="preserve">AD-00113</t>
  </si>
  <si>
    <t xml:space="preserve">AD-00114</t>
  </si>
  <si>
    <t xml:space="preserve">AD-00115</t>
  </si>
  <si>
    <t xml:space="preserve">AD-00116</t>
  </si>
  <si>
    <t xml:space="preserve">AD-00117</t>
  </si>
  <si>
    <t xml:space="preserve">AD-00118</t>
  </si>
  <si>
    <t xml:space="preserve">AD-00119</t>
  </si>
  <si>
    <t xml:space="preserve">AD-00120</t>
  </si>
  <si>
    <t xml:space="preserve">AD-00121</t>
  </si>
  <si>
    <t xml:space="preserve">AD-00122</t>
  </si>
  <si>
    <t xml:space="preserve">AD-00123</t>
  </si>
  <si>
    <t xml:space="preserve">AD-00124</t>
  </si>
  <si>
    <t xml:space="preserve">AD-00125</t>
  </si>
  <si>
    <t xml:space="preserve">AD-00126</t>
  </si>
  <si>
    <t xml:space="preserve">Points 3, 4 — rest-day working; the whole span is payable as overtime</t>
  </si>
  <si>
    <t xml:space="preserve">AD-00127</t>
  </si>
  <si>
    <t xml:space="preserve">AD-00128</t>
  </si>
  <si>
    <t xml:space="preserve">AD-00129</t>
  </si>
  <si>
    <t xml:space="preserve">AD-00130</t>
  </si>
  <si>
    <t xml:space="preserve">AD-00131</t>
  </si>
  <si>
    <t xml:space="preserve">AD-00132</t>
  </si>
  <si>
    <t xml:space="preserve">AD-00133</t>
  </si>
  <si>
    <t xml:space="preserve">AD-00134</t>
  </si>
  <si>
    <t xml:space="preserve">AD-00135</t>
  </si>
  <si>
    <t xml:space="preserve">AD-00136</t>
  </si>
  <si>
    <t xml:space="preserve">AD-00137</t>
  </si>
  <si>
    <t xml:space="preserve">AD-00138</t>
  </si>
  <si>
    <t xml:space="preserve">AD-00139</t>
  </si>
  <si>
    <t xml:space="preserve">AD-00140</t>
  </si>
  <si>
    <t xml:space="preserve">AD-00141</t>
  </si>
  <si>
    <t xml:space="preserve">AD-00142</t>
  </si>
  <si>
    <t xml:space="preserve">AD-00143</t>
  </si>
  <si>
    <t xml:space="preserve">AD-00144</t>
  </si>
  <si>
    <t xml:space="preserve">AD-00145</t>
  </si>
  <si>
    <t xml:space="preserve">AD-00146</t>
  </si>
  <si>
    <t xml:space="preserve">AD-00147</t>
  </si>
  <si>
    <t xml:space="preserve">AD-00148</t>
  </si>
  <si>
    <t xml:space="preserve">AD-00149</t>
  </si>
  <si>
    <t xml:space="preserve">AD-00150</t>
  </si>
  <si>
    <t xml:space="preserve">AD-00151</t>
  </si>
  <si>
    <t xml:space="preserve">AD-00152</t>
  </si>
  <si>
    <t xml:space="preserve">AD-00153</t>
  </si>
  <si>
    <t xml:space="preserve">AD-00154</t>
  </si>
  <si>
    <t xml:space="preserve">AD-00155</t>
  </si>
  <si>
    <t xml:space="preserve">AD-00156</t>
  </si>
  <si>
    <t xml:space="preserve">AD-00157</t>
  </si>
  <si>
    <t xml:space="preserve">Point 12 — 10h shift, net 7h30m, below 9h30m, half day</t>
  </si>
  <si>
    <t xml:space="preserve">AD-00158</t>
  </si>
  <si>
    <t xml:space="preserve">AD-00159</t>
  </si>
  <si>
    <t xml:space="preserve">AD-00160</t>
  </si>
  <si>
    <t xml:space="preserve">AD-00161</t>
  </si>
  <si>
    <t xml:space="preserve">AD-00162</t>
  </si>
  <si>
    <t xml:space="preserve">AD-00163</t>
  </si>
  <si>
    <t xml:space="preserve">AD-00164</t>
  </si>
  <si>
    <t xml:space="preserve">AD-00165</t>
  </si>
  <si>
    <t xml:space="preserve">AD-00166</t>
  </si>
  <si>
    <t xml:space="preserve">AD-00167</t>
  </si>
  <si>
    <t xml:space="preserve">AD-00168</t>
  </si>
  <si>
    <t xml:space="preserve">AD-00169</t>
  </si>
  <si>
    <t xml:space="preserve">AD-00170</t>
  </si>
  <si>
    <t xml:space="preserve">AD-00171</t>
  </si>
  <si>
    <t xml:space="preserve">AD-00172</t>
  </si>
  <si>
    <t xml:space="preserve">On Leave</t>
  </si>
  <si>
    <t xml:space="preserve">On approved leave</t>
  </si>
  <si>
    <t xml:space="preserve">AD-00173</t>
  </si>
  <si>
    <t xml:space="preserve">AD-00174</t>
  </si>
  <si>
    <t xml:space="preserve">AD-00175</t>
  </si>
  <si>
    <t xml:space="preserve">AD-00176</t>
  </si>
  <si>
    <t xml:space="preserve">AD-00177</t>
  </si>
  <si>
    <t xml:space="preserve">AD-00178</t>
  </si>
  <si>
    <t xml:space="preserve">AD-00179</t>
  </si>
  <si>
    <t xml:space="preserve">AD-00180</t>
  </si>
  <si>
    <t xml:space="preserve">AD-00181</t>
  </si>
  <si>
    <t xml:space="preserve">AD-00182</t>
  </si>
  <si>
    <t xml:space="preserve">AD-00183</t>
  </si>
  <si>
    <t xml:space="preserve">AD-00184</t>
  </si>
  <si>
    <t xml:space="preserve">AD-00185</t>
  </si>
  <si>
    <t xml:space="preserve">AD-00186</t>
  </si>
  <si>
    <t xml:space="preserve">AD-00187</t>
  </si>
  <si>
    <t xml:space="preserve">AD-00188</t>
  </si>
  <si>
    <t xml:space="preserve">AD-00189</t>
  </si>
  <si>
    <t xml:space="preserve">AD-00190</t>
  </si>
  <si>
    <t xml:space="preserve">AD-00191</t>
  </si>
  <si>
    <t xml:space="preserve">AD-00192</t>
  </si>
  <si>
    <t xml:space="preserve">AD-00193</t>
  </si>
  <si>
    <t xml:space="preserve">AD-00194</t>
  </si>
  <si>
    <t xml:space="preserve">AD-00195</t>
  </si>
  <si>
    <t xml:space="preserve">AD-00196</t>
  </si>
  <si>
    <t xml:space="preserve">AD-00197</t>
  </si>
  <si>
    <t xml:space="preserve">AD-00198</t>
  </si>
  <si>
    <t xml:space="preserve">AD-00199</t>
  </si>
  <si>
    <t xml:space="preserve">AD-00200</t>
  </si>
  <si>
    <t xml:space="preserve">AD-00201</t>
  </si>
  <si>
    <t xml:space="preserve">AD-00202</t>
  </si>
  <si>
    <t xml:space="preserve">AD-00203</t>
  </si>
  <si>
    <t xml:space="preserve">AD-00204</t>
  </si>
  <si>
    <t xml:space="preserve">AD-00205</t>
  </si>
  <si>
    <t xml:space="preserve">AD-00206</t>
  </si>
  <si>
    <t xml:space="preserve">AD-00207</t>
  </si>
  <si>
    <t xml:space="preserve">AD-00208</t>
  </si>
  <si>
    <t xml:space="preserve">AD-00209</t>
  </si>
  <si>
    <t xml:space="preserve">AD-00210</t>
  </si>
  <si>
    <t xml:space="preserve">AD-00211</t>
  </si>
  <si>
    <t xml:space="preserve">AD-00212</t>
  </si>
  <si>
    <t xml:space="preserve">Late instance 1 — beyond the 15-minute grace</t>
  </si>
  <si>
    <t xml:space="preserve">AD-00213</t>
  </si>
  <si>
    <t xml:space="preserve">AD-00214</t>
  </si>
  <si>
    <t xml:space="preserve">Late instance 2 — beyond grace</t>
  </si>
  <si>
    <t xml:space="preserve">AD-00215</t>
  </si>
  <si>
    <t xml:space="preserve">AD-00216</t>
  </si>
  <si>
    <t xml:space="preserve">AD-00217</t>
  </si>
  <si>
    <t xml:space="preserve">Late instance 3 — beyond grace, allowance now exhausted</t>
  </si>
  <si>
    <t xml:space="preserve">AD-00218</t>
  </si>
  <si>
    <t xml:space="preserve">AD-00219</t>
  </si>
  <si>
    <t xml:space="preserve">Point 12 — late instance 4. For a non-exempt employee this is a half day. E1021 is a Manager at grade rank 55, above the exempt rank of 50, so the day stays Present and no deduction is raised.</t>
  </si>
  <si>
    <t xml:space="preserve">AD-00220</t>
  </si>
  <si>
    <t xml:space="preserve">AD-00221</t>
  </si>
  <si>
    <t xml:space="preserve">Point 12 — late instance 5, still Present</t>
  </si>
  <si>
    <t xml:space="preserve">AD-00222</t>
  </si>
  <si>
    <t xml:space="preserve">Within the 15-minute grace — not a late instance</t>
  </si>
  <si>
    <t xml:space="preserve">AD-00223</t>
  </si>
  <si>
    <t xml:space="preserve">AD-00224</t>
  </si>
  <si>
    <t xml:space="preserve">AD-00225</t>
  </si>
  <si>
    <t xml:space="preserve">Columns X to AB are formulas. THIS CLIENT COUNTS GATE-TO-GATE HOURS: the meal break is recorded and reported but not deducted, which is what makes Ravi Kulkarni's 08 September day 19h20m and his overtime 7h20m, exactly as the requirement states. Gate-pass minutes ARE deducted and then credited back when approved, so an approved pass leaves net hours unchanged and an unapproved one does not. Status reads the thresholds from sheet 08 by INDEX/MATCH, so editing a threshold there re-derives every row here. Reconcile the product's output against column Z. ADDED v1.1: AD-00211 to AD-00225 for E1021 Rekha Deshpande, a Manager at grade rank 55. Five lates beyond grace in one month, of which the fourth and fifth would be half days for anyone below rank 50 — column T stays N and the status stays Present, which is the exemption half of point 12. Compare her 09 September against E1019 on 10 September, same month, same rule, opposite outcome.</t>
  </si>
  <si>
    <t xml:space="preserve">Gate pass ID</t>
  </si>
  <si>
    <t xml:space="preserve">Minutes</t>
  </si>
  <si>
    <t xml:space="preserve">Approver</t>
  </si>
  <si>
    <t xml:space="preserve">Minutes used this month</t>
  </si>
  <si>
    <t xml:space="preserve">Instances this month</t>
  </si>
  <si>
    <t xml:space="preserve">GP-2026-0141</t>
  </si>
  <si>
    <t xml:space="preserve">Personal</t>
  </si>
  <si>
    <t xml:space="preserve">Bank work</t>
  </si>
  <si>
    <t xml:space="preserve">Point 11</t>
  </si>
  <si>
    <t xml:space="preserve">GP-2026-0155</t>
  </si>
  <si>
    <t xml:space="preserve">School admission</t>
  </si>
  <si>
    <t xml:space="preserve">GP-2026-0163</t>
  </si>
  <si>
    <t xml:space="preserve">15:00</t>
  </si>
  <si>
    <t xml:space="preserve">Personal errand</t>
  </si>
  <si>
    <t xml:space="preserve">Rejected — monthly ceiling of 240 minutes already used and 2 instances taken</t>
  </si>
  <si>
    <t xml:space="preserve">GP-2026-0148</t>
  </si>
  <si>
    <t xml:space="preserve">22:00</t>
  </si>
  <si>
    <t xml:space="preserve">23:00</t>
  </si>
  <si>
    <t xml:space="preserve">Official</t>
  </si>
  <si>
    <t xml:space="preserve">Vendor pickup at gate</t>
  </si>
  <si>
    <t xml:space="preserve">Official gate pass does not consume the personal ceiling</t>
  </si>
  <si>
    <t xml:space="preserve">GP-2026-0152</t>
  </si>
  <si>
    <t xml:space="preserve">10:00</t>
  </si>
  <si>
    <t xml:space="preserve">Medical appointment</t>
  </si>
  <si>
    <t xml:space="preserve">Point 11 — the whole ceiling taken as one 4-hour pass</t>
  </si>
  <si>
    <t xml:space="preserve">Four hours a month, as one 4-hour pass or two of two hours, maximum two instances. Approved personal minutes are credited back to work hours — see column O of sheet 21. Official gate passes are tracked separately and do not consume the ceiling.</t>
  </si>
  <si>
    <t xml:space="preserve">OT record</t>
  </si>
  <si>
    <t xml:space="preserve">OT minutes</t>
  </si>
  <si>
    <t xml:space="preserve">OT hours</t>
  </si>
  <si>
    <t xml:space="preserve">Rate multiplier</t>
  </si>
  <si>
    <t xml:space="preserve">Eligibility basis</t>
  </si>
  <si>
    <t xml:space="preserve">Approved on</t>
  </si>
  <si>
    <t xml:space="preserve">Pay in run</t>
  </si>
  <si>
    <t xml:space="preserve">OT-2026-0912</t>
  </si>
  <si>
    <t xml:space="preserve">7:20</t>
  </si>
  <si>
    <t xml:space="preserve">2.0</t>
  </si>
  <si>
    <t xml:space="preserve">PR-2026-09-02</t>
  </si>
  <si>
    <t xml:space="preserve">Points 1, 10</t>
  </si>
  <si>
    <t xml:space="preserve">OT-2026-0918</t>
  </si>
  <si>
    <t xml:space="preserve">0:12</t>
  </si>
  <si>
    <t xml:space="preserve">OT-2026-0931</t>
  </si>
  <si>
    <t xml:space="preserve">12:08</t>
  </si>
  <si>
    <t xml:space="preserve">Point 4</t>
  </si>
  <si>
    <t xml:space="preserve">OT-2026-0932</t>
  </si>
  <si>
    <t xml:space="preserve">-</t>
  </si>
  <si>
    <t xml:space="preserve">Not raised</t>
  </si>
  <si>
    <t xml:space="preserve">Point 4 — 12h+ span on a working day, no OT payable</t>
  </si>
  <si>
    <t xml:space="preserve">OT-2026-0940</t>
  </si>
  <si>
    <t xml:space="preserve">Points 3, 4 — helper has no rest day, so Sunday is a working day and no OT arises</t>
  </si>
  <si>
    <t xml:space="preserve">OT-2026-0947</t>
  </si>
  <si>
    <t xml:space="preserve">Comp-off instead</t>
  </si>
  <si>
    <t xml:space="preserve">Not paid</t>
  </si>
  <si>
    <t xml:space="preserve">Point 6 — comp-off credited rather than OT paid</t>
  </si>
  <si>
    <t xml:space="preserve">OT-2026-0955</t>
  </si>
  <si>
    <t xml:space="preserve">Point 2 — daily-wage worker, Sunday is an ordinary working day</t>
  </si>
  <si>
    <t xml:space="preserve">Every minute figure here reconciles to column Y of sheet 21 — check them against each other before the demo. Overtime is computed with the September cycle but disbursed in run PR-2026-09-02, released on 07 October. Compare the Imran Shaikh rows: the same span on a working day and a rest day.</t>
  </si>
  <si>
    <t xml:space="preserve">Loan / application ID</t>
  </si>
  <si>
    <t xml:space="preserve">Principal (INR)</t>
  </si>
  <si>
    <t xml:space="preserve">Sanctioned on</t>
  </si>
  <si>
    <t xml:space="preserve">Tenure (months)</t>
  </si>
  <si>
    <t xml:space="preserve">Instalment (INR)</t>
  </si>
  <si>
    <t xml:space="preserve">Outstanding (INR)</t>
  </si>
  <si>
    <t xml:space="preserve">Sanctioned by</t>
  </si>
  <si>
    <t xml:space="preserve">Special terms</t>
  </si>
  <si>
    <t xml:space="preserve">Demo point / reason</t>
  </si>
  <si>
    <t xml:space="preserve">Ceiling multiple</t>
  </si>
  <si>
    <t xml:space="preserve">Eligibility ceiling (INR)</t>
  </si>
  <si>
    <t xml:space="preserve">Within ceiling?</t>
  </si>
  <si>
    <t xml:space="preserve">LN-2026-0041</t>
  </si>
  <si>
    <t xml:space="preserve">Personal loan</t>
  </si>
  <si>
    <t xml:space="preserve">2026-03-15</t>
  </si>
  <si>
    <t xml:space="preserve">4x basic</t>
  </si>
  <si>
    <t xml:space="preserve">Point 9 — active loan; his two guarantors are now blocked</t>
  </si>
  <si>
    <t xml:space="preserve">LN-2026-0009</t>
  </si>
  <si>
    <t xml:space="preserve">Housing top-up</t>
  </si>
  <si>
    <t xml:space="preserve">2026-01-20</t>
  </si>
  <si>
    <t xml:space="preserve">6x basic — 8 years 8 months service</t>
  </si>
  <si>
    <t xml:space="preserve">Point 9 — the &gt;5 year ceiling</t>
  </si>
  <si>
    <t xml:space="preserve">LN-2025-0112</t>
  </si>
  <si>
    <t xml:space="preserve">2025-04-10</t>
  </si>
  <si>
    <t xml:space="preserve">Closed</t>
  </si>
  <si>
    <t xml:space="preserve">Point 9 — closed 30 Jun 2026; guarantors released, he is eligible again</t>
  </si>
  <si>
    <t xml:space="preserve">LN-2026-0012</t>
  </si>
  <si>
    <t xml:space="preserve">Medical — special terms</t>
  </si>
  <si>
    <t xml:space="preserve">2026-02-08</t>
  </si>
  <si>
    <t xml:space="preserve">Special terms — 150,000 against an 86,000 ceiling, director approved</t>
  </si>
  <si>
    <t xml:space="preserve">Point 9 — override recorded with approver and the rules waived</t>
  </si>
  <si>
    <t xml:space="preserve">LN-APP-2026-0014</t>
  </si>
  <si>
    <t xml:space="preserve">Rejected</t>
  </si>
  <si>
    <t xml:space="preserve">Point 9 — within his 155,000 ceiling, but rejected because he is an active guarantor on LN-2026-0041</t>
  </si>
  <si>
    <t xml:space="preserve">LN-APP-2026-0019</t>
  </si>
  <si>
    <t xml:space="preserve">Salary advance</t>
  </si>
  <si>
    <t xml:space="preserve">Point 9 — rejected: an outstanding loan bars a salary advance</t>
  </si>
  <si>
    <t xml:space="preserve">LN-APP-2026-0022</t>
  </si>
  <si>
    <t xml:space="preserve">Approved, pending disbursement</t>
  </si>
  <si>
    <t xml:space="preserve">Point 9 — eligible again because LN-2025-0112 closed and released him</t>
  </si>
  <si>
    <t xml:space="preserve">Columns O to R are formulas reading basic pay from sheet 13. The ceiling is 4x monthly basic, rising to 6x after five years of service. Only LN-2026-0012 breaches its ceiling, and that is the director-approved special-terms case — every other row is within limit and is blocked, or allowed, on a rule other than amount. Eligibility is a service method in the product, not a form check — the loan screen, the guarantor lock and the payroll deduction node must all read the same answer.</t>
  </si>
  <si>
    <t xml:space="preserve">Loan ID</t>
  </si>
  <si>
    <t xml:space="preserve">Guarantor code</t>
  </si>
  <si>
    <t xml:space="preserve">Guarantor name</t>
  </si>
  <si>
    <t xml:space="preserve">Mandatory</t>
  </si>
  <si>
    <t xml:space="preserve">Accepted on</t>
  </si>
  <si>
    <t xml:space="preserve">Released on</t>
  </si>
  <si>
    <t xml:space="preserve">Guarantor currently blocked</t>
  </si>
  <si>
    <t xml:space="preserve">2026-03-12</t>
  </si>
  <si>
    <t xml:space="preserve">Yes — active guarantee</t>
  </si>
  <si>
    <t xml:space="preserve">Point 9 — blocked from her own loan and from standing guarantor again</t>
  </si>
  <si>
    <t xml:space="preserve">Point 9 — this is why LN-APP-2026-0014 was rejected</t>
  </si>
  <si>
    <t xml:space="preserve">2026-01-18</t>
  </si>
  <si>
    <t xml:space="preserve">The optional third guarantor, taken because the amount exceeded 10 lakh</t>
  </si>
  <si>
    <t xml:space="preserve">2025-04-08</t>
  </si>
  <si>
    <t xml:space="preserve">2026-06-30</t>
  </si>
  <si>
    <t xml:space="preserve">No — released</t>
  </si>
  <si>
    <t xml:space="preserve">Point 9 — release on full repayment restores eligibility</t>
  </si>
  <si>
    <t xml:space="preserve">2026-02-05</t>
  </si>
  <si>
    <t xml:space="preserve">Two mandatory guarantors on every loan, with an optional third above a configured amount. Release on full repayment is an explicit event — without it, a guarantor stays blocked forever.</t>
  </si>
  <si>
    <t xml:space="preserve">Run ID</t>
  </si>
  <si>
    <t xml:space="preserve">Period</t>
  </si>
  <si>
    <t xml:space="preserve">Run type</t>
  </si>
  <si>
    <t xml:space="preserve">Employees</t>
  </si>
  <si>
    <t xml:space="preserve">Gross (INR)</t>
  </si>
  <si>
    <t xml:space="preserve">Net (INR)</t>
  </si>
  <si>
    <t xml:space="preserve">Statutory (INR)</t>
  </si>
  <si>
    <t xml:space="preserve">Pay date</t>
  </si>
  <si>
    <t xml:space="preserve">GL posted on</t>
  </si>
  <si>
    <t xml:space="preserve">PR-2026-08-01</t>
  </si>
  <si>
    <t xml:space="preserve">Aug 2026</t>
  </si>
  <si>
    <t xml:space="preserve">Regular</t>
  </si>
  <si>
    <t xml:space="preserve">CLOSED</t>
  </si>
  <si>
    <t xml:space="preserve">PR-2026-09-01</t>
  </si>
  <si>
    <t xml:space="preserve">Sep 2026</t>
  </si>
  <si>
    <t xml:space="preserve">PRE_AUDIT</t>
  </si>
  <si>
    <t xml:space="preserve">Point 10</t>
  </si>
  <si>
    <t xml:space="preserve">Off-cycle overtime</t>
  </si>
  <si>
    <t xml:space="preserve">DRAFT</t>
  </si>
  <si>
    <t xml:space="preserve">2026-10-07</t>
  </si>
  <si>
    <t xml:space="preserve">Point 10 — overtime disburses after the salary run, as its own run</t>
  </si>
  <si>
    <t xml:space="preserve">PR-2026-09-03</t>
  </si>
  <si>
    <t xml:space="preserve">Full and final</t>
  </si>
  <si>
    <t xml:space="preserve">Point 16 — E1042 and E1068</t>
  </si>
  <si>
    <t xml:space="preserve">PR-2026-08-11</t>
  </si>
  <si>
    <t xml:space="preserve">PR-2026-09-11</t>
  </si>
  <si>
    <t xml:space="preserve">Four runs against September for LE-01. Any screen that assumes one run per period is wrong — payslip retrieval, the cycle stepper and the statutory outputs all need a run selector.</t>
  </si>
  <si>
    <t xml:space="preserve">Resigned on</t>
  </si>
  <si>
    <t xml:space="preserve">Last working day</t>
  </si>
  <si>
    <t xml:space="preserve">Notice served</t>
  </si>
  <si>
    <t xml:space="preserve">Checklist item</t>
  </si>
  <si>
    <t xml:space="preserve">Owner</t>
  </si>
  <si>
    <t xml:space="preserve">Blocking</t>
  </si>
  <si>
    <t xml:space="preserve">Cleared on</t>
  </si>
  <si>
    <t xml:space="preserve">F&amp;F state</t>
  </si>
  <si>
    <t xml:space="preserve">Laptop and accessories returned</t>
  </si>
  <si>
    <t xml:space="preserve">Cleared</t>
  </si>
  <si>
    <t xml:space="preserve">Ready to settle on LWD</t>
  </si>
  <si>
    <t xml:space="preserve">Knowledge transfer signed off</t>
  </si>
  <si>
    <t xml:space="preserve">Library and document return</t>
  </si>
  <si>
    <t xml:space="preserve">Advance and loan settlement</t>
  </si>
  <si>
    <t xml:space="preserve">2026-09-25</t>
  </si>
  <si>
    <t xml:space="preserve">ID card and access revocation</t>
  </si>
  <si>
    <t xml:space="preserve">Exit interview</t>
  </si>
  <si>
    <t xml:space="preserve">2026-09-26</t>
  </si>
  <si>
    <t xml:space="preserve">2026-08-19</t>
  </si>
  <si>
    <t xml:space="preserve">Tool kit and locker key returned</t>
  </si>
  <si>
    <t xml:space="preserve">Held — two blocking items open</t>
  </si>
  <si>
    <t xml:space="preserve">Safety shoes and PPE returned</t>
  </si>
  <si>
    <t xml:space="preserve">Point 16 — this is what blocks same-day settlement</t>
  </si>
  <si>
    <t xml:space="preserve">Clearance runs in parallel with notice, which is the only way full and final settles on the last working day. E1068 is fully cleared and settles on the LWD. E1042 has two open blocking items and F&amp;F is held — demonstrate the block, clear the items, then release.</t>
  </si>
  <si>
    <t xml:space="preserve">Obligation ID</t>
  </si>
  <si>
    <t xml:space="preserve">Authority</t>
  </si>
  <si>
    <t xml:space="preserve">Due date</t>
  </si>
  <si>
    <t xml:space="preserve">Evidence</t>
  </si>
  <si>
    <t xml:space="preserve">OB-2026-0912</t>
  </si>
  <si>
    <t xml:space="preserve">PF ECR and challan</t>
  </si>
  <si>
    <t xml:space="preserve">EPFO</t>
  </si>
  <si>
    <t xml:space="preserve">Central</t>
  </si>
  <si>
    <t xml:space="preserve">Filed</t>
  </si>
  <si>
    <t xml:space="preserve">ECR ack 2026-09-12</t>
  </si>
  <si>
    <t xml:space="preserve">Point 17</t>
  </si>
  <si>
    <t xml:space="preserve">OB-2026-0913</t>
  </si>
  <si>
    <t xml:space="preserve">ESI contribution</t>
  </si>
  <si>
    <t xml:space="preserve">ESIC</t>
  </si>
  <si>
    <t xml:space="preserve">Challan 2026-09-13</t>
  </si>
  <si>
    <t xml:space="preserve">OB-2026-0914</t>
  </si>
  <si>
    <t xml:space="preserve">Professional tax remittance</t>
  </si>
  <si>
    <t xml:space="preserve">Commercial Taxes, Karnataka</t>
  </si>
  <si>
    <t xml:space="preserve">2026-09-20</t>
  </si>
  <si>
    <t xml:space="preserve">Due</t>
  </si>
  <si>
    <t xml:space="preserve">OB-2026-0915</t>
  </si>
  <si>
    <t xml:space="preserve">Finance Dept, Maharashtra</t>
  </si>
  <si>
    <t xml:space="preserve">OB-2026-0916</t>
  </si>
  <si>
    <t xml:space="preserve">Commercial Taxes, Telangana</t>
  </si>
  <si>
    <t xml:space="preserve">Challan 2026-09-14</t>
  </si>
  <si>
    <t xml:space="preserve">OB-2026-0917</t>
  </si>
  <si>
    <t xml:space="preserve">Professional tax — not applicable</t>
  </si>
  <si>
    <t xml:space="preserve">Half-yearly, next due 2026-09-30</t>
  </si>
  <si>
    <t xml:space="preserve">OB-2026-0918</t>
  </si>
  <si>
    <t xml:space="preserve">TDS deposit</t>
  </si>
  <si>
    <t xml:space="preserve">Income Tax</t>
  </si>
  <si>
    <t xml:space="preserve">BSR ack</t>
  </si>
  <si>
    <t xml:space="preserve">OB-2026-0919</t>
  </si>
  <si>
    <t xml:space="preserve">TDS quarterly return 24Q</t>
  </si>
  <si>
    <t xml:space="preserve">Q2 FY27</t>
  </si>
  <si>
    <t xml:space="preserve">2026-10-31</t>
  </si>
  <si>
    <t xml:space="preserve">Not started</t>
  </si>
  <si>
    <t xml:space="preserve">OB-2026-0920</t>
  </si>
  <si>
    <t xml:space="preserve">Labour welfare fund</t>
  </si>
  <si>
    <t xml:space="preserve">Labour Dept, Karnataka</t>
  </si>
  <si>
    <t xml:space="preserve">H1 2026</t>
  </si>
  <si>
    <t xml:space="preserve">2026-07-15</t>
  </si>
  <si>
    <t xml:space="preserve">Receipt 2026-07-11</t>
  </si>
  <si>
    <t xml:space="preserve">OB-2026-0921</t>
  </si>
  <si>
    <t xml:space="preserve">Gratuity actuarial valuation</t>
  </si>
  <si>
    <t xml:space="preserve">AS 15</t>
  </si>
  <si>
    <t xml:space="preserve">FY27 H1</t>
  </si>
  <si>
    <t xml:space="preserve">OB-2026-0922</t>
  </si>
  <si>
    <t xml:space="preserve">Factory annual return</t>
  </si>
  <si>
    <t xml:space="preserve">Factories Dept, Karnataka</t>
  </si>
  <si>
    <t xml:space="preserve">CY 2026</t>
  </si>
  <si>
    <t xml:space="preserve">2027-01-31</t>
  </si>
  <si>
    <t xml:space="preserve">OB-2026-0923</t>
  </si>
  <si>
    <t xml:space="preserve">Contract labour half-yearly return</t>
  </si>
  <si>
    <t xml:space="preserve">Labour Dept, Tamil Nadu</t>
  </si>
  <si>
    <t xml:space="preserve">Receipt 2026-07-24</t>
  </si>
  <si>
    <t xml:space="preserve">Professional tax differs by state on the same payroll run and is not applicable in one of them. This one screen is the strongest compliance demo in the product.</t>
  </si>
  <si>
    <t xml:space="preserve">Form instance</t>
  </si>
  <si>
    <t xml:space="preserve">Form</t>
  </si>
  <si>
    <t xml:space="preserve">Act / Rules</t>
  </si>
  <si>
    <t xml:space="preserve">Generated on</t>
  </si>
  <si>
    <t xml:space="preserve">Filed on</t>
  </si>
  <si>
    <t xml:space="preserve">FRM-F-2026-0112</t>
  </si>
  <si>
    <t xml:space="preserve">Form F — particulars of workers</t>
  </si>
  <si>
    <t xml:space="preserve">Factories Rules</t>
  </si>
  <si>
    <t xml:space="preserve">On joining</t>
  </si>
  <si>
    <t xml:space="preserve">Generated in the joining chain for E1066</t>
  </si>
  <si>
    <t xml:space="preserve">Point 26</t>
  </si>
  <si>
    <t xml:space="preserve">FRM-F-2026-0108</t>
  </si>
  <si>
    <t xml:space="preserve">Generated for E1061</t>
  </si>
  <si>
    <t xml:space="preserve">FRM-28-2026-09</t>
  </si>
  <si>
    <t xml:space="preserve">Form 28 — overtime register</t>
  </si>
  <si>
    <t xml:space="preserve">Open — generated from approved OT records</t>
  </si>
  <si>
    <t xml:space="preserve">FRM-28-2026-08</t>
  </si>
  <si>
    <t xml:space="preserve">FRM-18-2026-H1</t>
  </si>
  <si>
    <t xml:space="preserve">Form 18 — leave with wages register</t>
  </si>
  <si>
    <t xml:space="preserve">2026-07-05</t>
  </si>
  <si>
    <t xml:space="preserve">FRM-36-2026-H1</t>
  </si>
  <si>
    <t xml:space="preserve">Form 36 — muster roll</t>
  </si>
  <si>
    <t xml:space="preserve">FRM-36-2026-H1T</t>
  </si>
  <si>
    <t xml:space="preserve">Form equivalent — muster roll</t>
  </si>
  <si>
    <t xml:space="preserve">2026-07-08</t>
  </si>
  <si>
    <t xml:space="preserve">Filed — different form set applies in Tamil Nadu</t>
  </si>
  <si>
    <t xml:space="preserve">FRM-XIII-2026-09</t>
  </si>
  <si>
    <t xml:space="preserve">Register of workmen — contract labour</t>
  </si>
  <si>
    <t xml:space="preserve">CLRA Rules</t>
  </si>
  <si>
    <t xml:space="preserve">Open — covers VN-01 and VN-02 populations</t>
  </si>
  <si>
    <t xml:space="preserve">Forms are state-specific and follow the plant's registration, not the company's. The Karnataka and Tamil Nadu register sets differ, which is the point to make on screen. Generation binds a declarative query to a template, so a state amendment is a configuration change.</t>
  </si>
  <si>
    <t xml:space="preserve">Record ID</t>
  </si>
  <si>
    <t xml:space="preserve">Employee / referrer</t>
  </si>
  <si>
    <t xml:space="preserve">Programme / requisition</t>
  </si>
  <si>
    <t xml:space="preserve">Citation / candidate</t>
  </si>
  <si>
    <t xml:space="preserve">Award (INR)</t>
  </si>
  <si>
    <t xml:space="preserve">Award status</t>
  </si>
  <si>
    <t xml:space="preserve">Announced</t>
  </si>
  <si>
    <t xml:space="preserve">RC-2026-Q2-004</t>
  </si>
  <si>
    <t xml:space="preserve">Recognition</t>
  </si>
  <si>
    <t xml:space="preserve">Star Employee of the Quarter</t>
  </si>
  <si>
    <t xml:space="preserve">Recovered the Assembly line after a jig failure without a shift loss</t>
  </si>
  <si>
    <t xml:space="preserve">AN-2026-0089</t>
  </si>
  <si>
    <t xml:space="preserve">Point 18</t>
  </si>
  <si>
    <t xml:space="preserve">RC-2026-Q2-007</t>
  </si>
  <si>
    <t xml:space="preserve">Caught a dimensional drift in incoming stock before it reached the line</t>
  </si>
  <si>
    <t xml:space="preserve">AN-2026-0090</t>
  </si>
  <si>
    <t xml:space="preserve">RC-2026-M09-002</t>
  </si>
  <si>
    <t xml:space="preserve">Safety Champion of the Month</t>
  </si>
  <si>
    <t xml:space="preserve">Reported an unguarded conveyor nip point</t>
  </si>
  <si>
    <t xml:space="preserve">Pending approval</t>
  </si>
  <si>
    <t xml:space="preserve">RF-2026-0021</t>
  </si>
  <si>
    <t xml:space="preserve">Referral</t>
  </si>
  <si>
    <t xml:space="preserve">REQ-2026-0033</t>
  </si>
  <si>
    <t xml:space="preserve">Ishita Chatterjee — joined 17 Aug 2026</t>
  </si>
  <si>
    <t xml:space="preserve">Part paid — 50% on joining</t>
  </si>
  <si>
    <t xml:space="preserve">AN-2026-0092</t>
  </si>
  <si>
    <t xml:space="preserve">Point 19</t>
  </si>
  <si>
    <t xml:space="preserve">RF-2026-0021B</t>
  </si>
  <si>
    <t xml:space="preserve">Balance due on confirmation, 17 Feb 2027</t>
  </si>
  <si>
    <t xml:space="preserve">Balance pending confirmation</t>
  </si>
  <si>
    <t xml:space="preserve">RF-2026-0026</t>
  </si>
  <si>
    <t xml:space="preserve">REQ-2026-0039</t>
  </si>
  <si>
    <t xml:space="preserve">Abhinav Rastogi — joined 01 Sep 2026</t>
  </si>
  <si>
    <t xml:space="preserve">AN-2026-0093</t>
  </si>
  <si>
    <t xml:space="preserve">RF-2026-0029</t>
  </si>
  <si>
    <t xml:space="preserve">REQ-2026-0041</t>
  </si>
  <si>
    <t xml:space="preserve">Candidate at offer stage</t>
  </si>
  <si>
    <t xml:space="preserve">Not yet due</t>
  </si>
  <si>
    <t xml:space="preserve">Recognition and referral awards raise a payroll input in a named run rather than being paid outside the system. The referral balance maturing on confirmation is the part most implementations drop, and the reason referral schemes quietly stop being paid.</t>
  </si>
  <si>
    <t xml:space="preserve">Announcement ID</t>
  </si>
  <si>
    <t xml:space="preserve">Audience rule</t>
  </si>
  <si>
    <t xml:space="preserve">Channels</t>
  </si>
  <si>
    <t xml:space="preserve">Publish from</t>
  </si>
  <si>
    <t xml:space="preserve">Publish to</t>
  </si>
  <si>
    <t xml:space="preserve">Source event</t>
  </si>
  <si>
    <t xml:space="preserve">Created by</t>
  </si>
  <si>
    <t xml:space="preserve">AN-2026-0088</t>
  </si>
  <si>
    <t xml:space="preserve">Birthday</t>
  </si>
  <si>
    <t xml:space="preserve">Wishing Rekha Deshpande a happy birthday</t>
  </si>
  <si>
    <t xml:space="preserve">Location = LOC-PLA</t>
  </si>
  <si>
    <t xml:space="preserve">App, WhatsApp</t>
  </si>
  <si>
    <t xml:space="preserve">2026-12-16</t>
  </si>
  <si>
    <t xml:space="preserve">Auto — date of birth</t>
  </si>
  <si>
    <t xml:space="preserve">System</t>
  </si>
  <si>
    <t xml:space="preserve">Scheduled</t>
  </si>
  <si>
    <t xml:space="preserve">Point 20</t>
  </si>
  <si>
    <t xml:space="preserve">Star Employee of the Quarter — Mohan Joseph</t>
  </si>
  <si>
    <t xml:space="preserve">Entity = LE-01</t>
  </si>
  <si>
    <t xml:space="preserve">App, WhatsApp, Email</t>
  </si>
  <si>
    <t xml:space="preserve">Published</t>
  </si>
  <si>
    <t xml:space="preserve">Star Employee of the Quarter — Bhuvaneswari Raman</t>
  </si>
  <si>
    <t xml:space="preserve">Entity = LE-02</t>
  </si>
  <si>
    <t xml:space="preserve">AN-2026-0091</t>
  </si>
  <si>
    <t xml:space="preserve">New joiner</t>
  </si>
  <si>
    <t xml:space="preserve">Welcome to Abhinav Rastogi, Logistics</t>
  </si>
  <si>
    <t xml:space="preserve">Location = LOC-PUN</t>
  </si>
  <si>
    <t xml:space="preserve">App, Email</t>
  </si>
  <si>
    <t xml:space="preserve">Joining chain, E1066</t>
  </si>
  <si>
    <t xml:space="preserve">Referral award paid — thank you Sneha Nair</t>
  </si>
  <si>
    <t xml:space="preserve">Org unit = OU-111</t>
  </si>
  <si>
    <t xml:space="preserve">App</t>
  </si>
  <si>
    <t xml:space="preserve">Referral award paid — thank you Rahul Gaikwad</t>
  </si>
  <si>
    <t xml:space="preserve">Org unit = OU-112</t>
  </si>
  <si>
    <t xml:space="preserve">AN-2026-0094</t>
  </si>
  <si>
    <t xml:space="preserve">Management</t>
  </si>
  <si>
    <t xml:space="preserve">Revised gate pass policy effective 01 October 2026</t>
  </si>
  <si>
    <t xml:space="preserve">All employees</t>
  </si>
  <si>
    <t xml:space="preserve">App, WhatsApp, Email, Notice board</t>
  </si>
  <si>
    <t xml:space="preserve">Manual</t>
  </si>
  <si>
    <t xml:space="preserve">Draft</t>
  </si>
  <si>
    <t xml:space="preserve">AN-2026-0095</t>
  </si>
  <si>
    <t xml:space="preserve">Work anniversary</t>
  </si>
  <si>
    <t xml:space="preserve">Five years with us — Mohan Joseph</t>
  </si>
  <si>
    <t xml:space="preserve">Auto — date of joining</t>
  </si>
  <si>
    <t xml:space="preserve">Announcements are a broadcast with an audience rule and a channel list, distinct from the activity feed, which is a log. Five of the eight are auto-generated from events with an editorial override before publish.</t>
  </si>
  <si>
    <t xml:space="preserve">Template / issue ID</t>
  </si>
  <si>
    <t xml:space="preserve">Template</t>
  </si>
  <si>
    <t xml:space="preserve">Approval required</t>
  </si>
  <si>
    <t xml:space="preserve">Issued to</t>
  </si>
  <si>
    <t xml:space="preserve">Issued on</t>
  </si>
  <si>
    <t xml:space="preserve">Issued by</t>
  </si>
  <si>
    <t xml:space="preserve">Merge fields used</t>
  </si>
  <si>
    <t xml:space="preserve">Retained version</t>
  </si>
  <si>
    <t xml:space="preserve">TPL-APPT-02</t>
  </si>
  <si>
    <t xml:space="preserve">Appointment letter</t>
  </si>
  <si>
    <t xml:space="preserve">v2.1 effective 2026-04-01</t>
  </si>
  <si>
    <t xml:space="preserve">name, designation, band, ctc, doj, location, notice_days, probation_months</t>
  </si>
  <si>
    <t xml:space="preserve">Point 21</t>
  </si>
  <si>
    <t xml:space="preserve">TPL-CONF-01</t>
  </si>
  <si>
    <t xml:space="preserve">Confirmation letter</t>
  </si>
  <si>
    <t xml:space="preserve">v1.4 effective 2025-10-01</t>
  </si>
  <si>
    <t xml:space="preserve">name, designation, doj, confirmation_date, revised_ctc</t>
  </si>
  <si>
    <t xml:space="preserve">TPL-INCR-03</t>
  </si>
  <si>
    <t xml:space="preserve">Increment letter</t>
  </si>
  <si>
    <t xml:space="preserve">v3.0 effective 2026-04-01</t>
  </si>
  <si>
    <t xml:space="preserve">name, old_ctc, new_ctc, effective_date, components_table</t>
  </si>
  <si>
    <t xml:space="preserve">TPL-TRFR-01</t>
  </si>
  <si>
    <t xml:space="preserve">Transfer letter</t>
  </si>
  <si>
    <t xml:space="preserve">v1.2 effective 2024-07-01</t>
  </si>
  <si>
    <t xml:space="preserve">name, from_location, to_location, effective_date, reporting_to</t>
  </si>
  <si>
    <t xml:space="preserve">TPL-EXPR-02</t>
  </si>
  <si>
    <t xml:space="preserve">Experience certificate</t>
  </si>
  <si>
    <t xml:space="preserve">v2.0 effective 2025-01-01</t>
  </si>
  <si>
    <t xml:space="preserve">name, designation, doj, lwd, conduct</t>
  </si>
  <si>
    <t xml:space="preserve">TPL-RELV-01</t>
  </si>
  <si>
    <t xml:space="preserve">Relieving letter</t>
  </si>
  <si>
    <t xml:space="preserve">v1.1 effective 2024-07-01</t>
  </si>
  <si>
    <t xml:space="preserve">name, designation, lwd, dues_cleared</t>
  </si>
  <si>
    <t xml:space="preserve">TPL-SALC-01</t>
  </si>
  <si>
    <t xml:space="preserve">Salary certificate</t>
  </si>
  <si>
    <t xml:space="preserve">v1.0 effective 2023-04-01</t>
  </si>
  <si>
    <t xml:space="preserve">name, designation, gross, net, period</t>
  </si>
  <si>
    <t xml:space="preserve">TPL-WARN-01</t>
  </si>
  <si>
    <t xml:space="preserve">Warning letter</t>
  </si>
  <si>
    <t xml:space="preserve">v1.0 effective 2024-01-01</t>
  </si>
  <si>
    <t xml:space="preserve">name, incident_date, incident, prior_warnings</t>
  </si>
  <si>
    <t xml:space="preserve">LTR-2026-0341</t>
  </si>
  <si>
    <t xml:space="preserve">TPL-APPT-02 v2.1</t>
  </si>
  <si>
    <t xml:space="preserve">LTR-2026-0342</t>
  </si>
  <si>
    <t xml:space="preserve">LTR-2026-0338</t>
  </si>
  <si>
    <t xml:space="preserve">TPL-CONF-01 v1.4</t>
  </si>
  <si>
    <t xml:space="preserve">LTR-2026-0349</t>
  </si>
  <si>
    <t xml:space="preserve">TPL-RELV-01 v1.1</t>
  </si>
  <si>
    <t xml:space="preserve">Points 16, 21</t>
  </si>
  <si>
    <t xml:space="preserve">Eight templates and four issued letters. Every issued letter retains the template version that produced it, which is what makes a reprint two years later defensible.</t>
  </si>
  <si>
    <t xml:space="preserve">Asset code</t>
  </si>
  <si>
    <t xml:space="preserve">Description</t>
  </si>
  <si>
    <t xml:space="preserve">Serial</t>
  </si>
  <si>
    <t xml:space="preserve">Allocated to</t>
  </si>
  <si>
    <t xml:space="preserve">Returned on</t>
  </si>
  <si>
    <t xml:space="preserve">Condition</t>
  </si>
  <si>
    <t xml:space="preserve">Clearance item at exit</t>
  </si>
  <si>
    <t xml:space="preserve">Recovery value if not returned (INR)</t>
  </si>
  <si>
    <t xml:space="preserve">AST-L-0412</t>
  </si>
  <si>
    <t xml:space="preserve">Laptop</t>
  </si>
  <si>
    <t xml:space="preserve">ThinkPad E14, 16GB</t>
  </si>
  <si>
    <t xml:space="preserve">PF3XK220</t>
  </si>
  <si>
    <t xml:space="preserve">Allocated</t>
  </si>
  <si>
    <t xml:space="preserve">Good</t>
  </si>
  <si>
    <t xml:space="preserve">Point 23</t>
  </si>
  <si>
    <t xml:space="preserve">AST-M-0908</t>
  </si>
  <si>
    <t xml:space="preserve">Mobile handset</t>
  </si>
  <si>
    <t xml:space="preserve">Redmi Note 14</t>
  </si>
  <si>
    <t xml:space="preserve">RN14-889201</t>
  </si>
  <si>
    <t xml:space="preserve">AST-A-1155</t>
  </si>
  <si>
    <t xml:space="preserve">Access card</t>
  </si>
  <si>
    <t xml:space="preserve">Chakan Works, Zone B</t>
  </si>
  <si>
    <t xml:space="preserve">CHK-B-1155</t>
  </si>
  <si>
    <t xml:space="preserve">AST-L-0298</t>
  </si>
  <si>
    <t xml:space="preserve">ThinkPad E14, 8GB</t>
  </si>
  <si>
    <t xml:space="preserve">PF2WQ118</t>
  </si>
  <si>
    <t xml:space="preserve">Returned</t>
  </si>
  <si>
    <t xml:space="preserve">Good, battery replaced 2024</t>
  </si>
  <si>
    <t xml:space="preserve">AST-T-0077</t>
  </si>
  <si>
    <t xml:space="preserve">Tool kit</t>
  </si>
  <si>
    <t xml:space="preserve">Fitter kit, 42 pieces</t>
  </si>
  <si>
    <t xml:space="preserve">TK-0077</t>
  </si>
  <si>
    <t xml:space="preserve">Pending return</t>
  </si>
  <si>
    <t xml:space="preserve">Point 16 — open blocking clearance item</t>
  </si>
  <si>
    <t xml:space="preserve">AST-K-0231</t>
  </si>
  <si>
    <t xml:space="preserve">Locker key</t>
  </si>
  <si>
    <t xml:space="preserve">Chakan Works, locker 231</t>
  </si>
  <si>
    <t xml:space="preserve">LK-231</t>
  </si>
  <si>
    <t xml:space="preserve">AST-P-0512</t>
  </si>
  <si>
    <t xml:space="preserve">PPE set</t>
  </si>
  <si>
    <t xml:space="preserve">Safety shoes, helmet, goggles</t>
  </si>
  <si>
    <t xml:space="preserve">PPE-0512</t>
  </si>
  <si>
    <t xml:space="preserve">Worn, written off</t>
  </si>
  <si>
    <t xml:space="preserve">AST-L-0388</t>
  </si>
  <si>
    <t xml:space="preserve">ThinkPad L14</t>
  </si>
  <si>
    <t xml:space="preserve">PF3AB771</t>
  </si>
  <si>
    <t xml:space="preserve">AST-A-1198</t>
  </si>
  <si>
    <t xml:space="preserve">Bengaluru Office</t>
  </si>
  <si>
    <t xml:space="preserve">BLR-1198</t>
  </si>
  <si>
    <t xml:space="preserve">Assets allocated in the joining chain reappear as blocking clearance items at exit. E1042's unreturned tool kit and locker key are the same items that hold his F&amp;F in sheet 27. ADDED v1.1: recovery value, which field spec F-ONB-02 requires and v1.0 omitted. E1042's unreturned tool kit and locker key are 12,500 between them, and that is the figure that appears as a deduction in 58_FnF_Settlement. Without it the clearance checklist blocks a settlement but cannot price it.</t>
  </si>
  <si>
    <t xml:space="preserve">Item</t>
  </si>
  <si>
    <t xml:space="preserve">Assigned on</t>
  </si>
  <si>
    <t xml:space="preserve">Due on</t>
  </si>
  <si>
    <t xml:space="preserve">Completed on</t>
  </si>
  <si>
    <t xml:space="preserve">Trigger</t>
  </si>
  <si>
    <t xml:space="preserve">IND-2026-0088</t>
  </si>
  <si>
    <t xml:space="preserve">Day 1 — welcome and organisation overview</t>
  </si>
  <si>
    <t xml:space="preserve">Induction session</t>
  </si>
  <si>
    <t xml:space="preserve">Completed</t>
  </si>
  <si>
    <t xml:space="preserve">Joining chain</t>
  </si>
  <si>
    <t xml:space="preserve">IND-2026-0089</t>
  </si>
  <si>
    <t xml:space="preserve">Factory safety induction</t>
  </si>
  <si>
    <t xml:space="preserve">Mandatory learning</t>
  </si>
  <si>
    <t xml:space="preserve">IND-2026-0090</t>
  </si>
  <si>
    <t xml:space="preserve">POSH awareness</t>
  </si>
  <si>
    <t xml:space="preserve">In progress</t>
  </si>
  <si>
    <t xml:space="preserve">IND-2026-0091</t>
  </si>
  <si>
    <t xml:space="preserve">Code of conduct acknowledgement</t>
  </si>
  <si>
    <t xml:space="preserve">Policy acknowledgement</t>
  </si>
  <si>
    <t xml:space="preserve">IND-2026-0092</t>
  </si>
  <si>
    <t xml:space="preserve">Form F — particulars of worker</t>
  </si>
  <si>
    <t xml:space="preserve">Statutory form</t>
  </si>
  <si>
    <t xml:space="preserve">IND-2026-0093</t>
  </si>
  <si>
    <t xml:space="preserve">Warehouse management systems, module 1</t>
  </si>
  <si>
    <t xml:space="preserve">Role learning path</t>
  </si>
  <si>
    <t xml:space="preserve">2026-10-15</t>
  </si>
  <si>
    <t xml:space="preserve">Role assignment</t>
  </si>
  <si>
    <t xml:space="preserve">IND-2026-0081</t>
  </si>
  <si>
    <t xml:space="preserve">2026-08-18</t>
  </si>
  <si>
    <t xml:space="preserve">IND-2026-0082</t>
  </si>
  <si>
    <t xml:space="preserve">MND-2026-0455</t>
  </si>
  <si>
    <t xml:space="preserve">POSH refresher</t>
  </si>
  <si>
    <t xml:space="preserve">2026-08-01</t>
  </si>
  <si>
    <t xml:space="preserve">Overdue</t>
  </si>
  <si>
    <t xml:space="preserve">Annual policy cycle</t>
  </si>
  <si>
    <t xml:space="preserve">MND-2026-0461</t>
  </si>
  <si>
    <t xml:space="preserve">Machine guarding refresher</t>
  </si>
  <si>
    <t xml:space="preserve">Induction and the statutory joining form are both steps in the same joining chain, so Form F is produced as part of onboarding rather than chased in an audit week.</t>
  </si>
  <si>
    <t xml:space="preserve">Mapping ID</t>
  </si>
  <si>
    <t xml:space="preserve">Pay component / head</t>
  </si>
  <si>
    <t xml:space="preserve">Dr / Cr</t>
  </si>
  <si>
    <t xml:space="preserve">GL account code</t>
  </si>
  <si>
    <t xml:space="preserve">GL account name</t>
  </si>
  <si>
    <t xml:space="preserve">Cost centre source</t>
  </si>
  <si>
    <t xml:space="preserve">Dimensioned by</t>
  </si>
  <si>
    <t xml:space="preserve">GL-001</t>
  </si>
  <si>
    <t xml:space="preserve">Basic</t>
  </si>
  <si>
    <t xml:space="preserve">Dr</t>
  </si>
  <si>
    <t xml:space="preserve">5010100</t>
  </si>
  <si>
    <t xml:space="preserve">Salaries and Wages</t>
  </si>
  <si>
    <t xml:space="preserve">Assignment cost centre</t>
  </si>
  <si>
    <t xml:space="preserve">Cost centre, department, location, project</t>
  </si>
  <si>
    <t xml:space="preserve">Point 15</t>
  </si>
  <si>
    <t xml:space="preserve">GL-002</t>
  </si>
  <si>
    <t xml:space="preserve">Dearness allowance</t>
  </si>
  <si>
    <t xml:space="preserve">GL-003</t>
  </si>
  <si>
    <t xml:space="preserve">House rent allowance</t>
  </si>
  <si>
    <t xml:space="preserve">5010200</t>
  </si>
  <si>
    <t xml:space="preserve">Allowances</t>
  </si>
  <si>
    <t xml:space="preserve">Cost centre, department, location</t>
  </si>
  <si>
    <t xml:space="preserve">GL-004</t>
  </si>
  <si>
    <t xml:space="preserve">Conveyance</t>
  </si>
  <si>
    <t xml:space="preserve">GL-005</t>
  </si>
  <si>
    <t xml:space="preserve">Special allowance</t>
  </si>
  <si>
    <t xml:space="preserve">GL-006</t>
  </si>
  <si>
    <t xml:space="preserve">Overtime</t>
  </si>
  <si>
    <t xml:space="preserve">5010300</t>
  </si>
  <si>
    <t xml:space="preserve">Cost centre, department, location, run type</t>
  </si>
  <si>
    <t xml:space="preserve">Point 10, 15</t>
  </si>
  <si>
    <t xml:space="preserve">GL-007</t>
  </si>
  <si>
    <t xml:space="preserve">Employer PF contribution</t>
  </si>
  <si>
    <t xml:space="preserve">5010400</t>
  </si>
  <si>
    <t xml:space="preserve">Employer Contributions</t>
  </si>
  <si>
    <t xml:space="preserve">Cost centre, department</t>
  </si>
  <si>
    <t xml:space="preserve">GL-008</t>
  </si>
  <si>
    <t xml:space="preserve">Employer ESI contribution</t>
  </si>
  <si>
    <t xml:space="preserve">GL-009</t>
  </si>
  <si>
    <t xml:space="preserve">Gratuity provision</t>
  </si>
  <si>
    <t xml:space="preserve">5010500</t>
  </si>
  <si>
    <t xml:space="preserve">Retirement Provisions</t>
  </si>
  <si>
    <t xml:space="preserve">GL-010</t>
  </si>
  <si>
    <t xml:space="preserve">Leave encashment provision</t>
  </si>
  <si>
    <t xml:space="preserve">GL-011</t>
  </si>
  <si>
    <t xml:space="preserve">Recognition award</t>
  </si>
  <si>
    <t xml:space="preserve">5010600</t>
  </si>
  <si>
    <t xml:space="preserve">Rewards and Recognition</t>
  </si>
  <si>
    <t xml:space="preserve">GL-012</t>
  </si>
  <si>
    <t xml:space="preserve">Referral award</t>
  </si>
  <si>
    <t xml:space="preserve">GL-013</t>
  </si>
  <si>
    <t xml:space="preserve">Salary payable</t>
  </si>
  <si>
    <t xml:space="preserve">Cr</t>
  </si>
  <si>
    <t xml:space="preserve">2010100</t>
  </si>
  <si>
    <t xml:space="preserve">Salary Payable</t>
  </si>
  <si>
    <t xml:space="preserve">GL-014</t>
  </si>
  <si>
    <t xml:space="preserve">PF payable</t>
  </si>
  <si>
    <t xml:space="preserve">2010200</t>
  </si>
  <si>
    <t xml:space="preserve">Statutory Dues — PF</t>
  </si>
  <si>
    <t xml:space="preserve">GL-015</t>
  </si>
  <si>
    <t xml:space="preserve">ESI payable</t>
  </si>
  <si>
    <t xml:space="preserve">2010300</t>
  </si>
  <si>
    <t xml:space="preserve">Statutory Dues — ESI</t>
  </si>
  <si>
    <t xml:space="preserve">GL-016</t>
  </si>
  <si>
    <t xml:space="preserve">Professional tax payable — KA</t>
  </si>
  <si>
    <t xml:space="preserve">2010400</t>
  </si>
  <si>
    <t xml:space="preserve">Statutory Dues — PT</t>
  </si>
  <si>
    <t xml:space="preserve">Entity, state</t>
  </si>
  <si>
    <t xml:space="preserve">GL-017</t>
  </si>
  <si>
    <t xml:space="preserve">Professional tax payable — MH</t>
  </si>
  <si>
    <t xml:space="preserve">2010401</t>
  </si>
  <si>
    <t xml:space="preserve">GL-018</t>
  </si>
  <si>
    <t xml:space="preserve">TDS payable</t>
  </si>
  <si>
    <t xml:space="preserve">2010500</t>
  </si>
  <si>
    <t xml:space="preserve">Statutory Dues — TDS</t>
  </si>
  <si>
    <t xml:space="preserve">GL-019</t>
  </si>
  <si>
    <t xml:space="preserve">Labour welfare fund payable</t>
  </si>
  <si>
    <t xml:space="preserve">2010600</t>
  </si>
  <si>
    <t xml:space="preserve">Statutory Dues — LWF</t>
  </si>
  <si>
    <t xml:space="preserve">GL-020</t>
  </si>
  <si>
    <t xml:space="preserve">Loan recovery</t>
  </si>
  <si>
    <t xml:space="preserve">1030100</t>
  </si>
  <si>
    <t xml:space="preserve">Employee Loans</t>
  </si>
  <si>
    <t xml:space="preserve">Entity, employee</t>
  </si>
  <si>
    <t xml:space="preserve">Point 9</t>
  </si>
  <si>
    <t xml:space="preserve">GL-021</t>
  </si>
  <si>
    <t xml:space="preserve">Advance recovery</t>
  </si>
  <si>
    <t xml:space="preserve">1030200</t>
  </si>
  <si>
    <t xml:space="preserve">Employee Advances</t>
  </si>
  <si>
    <t xml:space="preserve">GL-022</t>
  </si>
  <si>
    <t xml:space="preserve">Canteen recovery</t>
  </si>
  <si>
    <t xml:space="preserve">2010700</t>
  </si>
  <si>
    <t xml:space="preserve">Other Recoveries</t>
  </si>
  <si>
    <t xml:space="preserve">GL-023</t>
  </si>
  <si>
    <t xml:space="preserve">Contractor labour charges</t>
  </si>
  <si>
    <t xml:space="preserve">5010700</t>
  </si>
  <si>
    <t xml:space="preserve">Contract Labour</t>
  </si>
  <si>
    <t xml:space="preserve">Cost centre, vendor</t>
  </si>
  <si>
    <t xml:space="preserve">GL-024</t>
  </si>
  <si>
    <t xml:space="preserve">Gratuity payable</t>
  </si>
  <si>
    <t xml:space="preserve">Retirement Benefits Payable</t>
  </si>
  <si>
    <t xml:space="preserve">ADDED v1.1 — GL-009 debits the gratuity provision with no credit leg, so any journal containing it cannot balance</t>
  </si>
  <si>
    <t xml:space="preserve">GL-025</t>
  </si>
  <si>
    <t xml:space="preserve">Leave encashment payable</t>
  </si>
  <si>
    <t xml:space="preserve">Leave Encashment Payable</t>
  </si>
  <si>
    <t xml:space="preserve">ADDED v1.1 — the credit leg for GL-010, missing for the same reason</t>
  </si>
  <si>
    <t xml:space="preserve">GL-026</t>
  </si>
  <si>
    <t xml:space="preserve">Professional tax payable — TS</t>
  </si>
  <si>
    <t xml:space="preserve">ADDED v1.1 — Point 17. LE-02 runs Telangana and Tamil Nadu payroll and had no PT credit account of its own</t>
  </si>
  <si>
    <t xml:space="preserve">GL-027</t>
  </si>
  <si>
    <t xml:space="preserve">Professional tax payable — TN</t>
  </si>
  <si>
    <t xml:space="preserve">ADDED v1.1 — Point 17, half-yearly levy</t>
  </si>
  <si>
    <t xml:space="preserve">Every component in a run must be mapped before the run can reach APPROVED. Deliberately leave GL-023 unmapped in the demo tenant first, run the validation, show the block, then add it. CORRECTED v1.1. GL-009 and GL-010 were debit-only: the gratuity and leave-encashment provisions had no credit account anywhere in the map, so a journal that included them could never balance. GL-024 and GL-025 supply them. GL-026 and GL-027 do the same for LE-02, which runs two states of professional tax and had no PT credit line at all. Keep GL-023 unmapped in the tenant at first, as the original note says, so the validation block can be shown — then add it live.</t>
  </si>
  <si>
    <t xml:space="preserve">Sync row</t>
  </si>
  <si>
    <t xml:space="preserve">Batch</t>
  </si>
  <si>
    <t xml:space="preserve">External employee code</t>
  </si>
  <si>
    <t xml:space="preserve">Nucleus code</t>
  </si>
  <si>
    <t xml:space="preserve">Field</t>
  </si>
  <si>
    <t xml:space="preserve">ERP value</t>
  </si>
  <si>
    <t xml:space="preserve">Nucleus value</t>
  </si>
  <si>
    <t xml:space="preserve">Field owner</t>
  </si>
  <si>
    <t xml:space="preserve">Outcome</t>
  </si>
  <si>
    <t xml:space="preserve">SY-0001</t>
  </si>
  <si>
    <t xml:space="preserve">ERP-SYNC-2026-09-14</t>
  </si>
  <si>
    <t xml:space="preserve">Department</t>
  </si>
  <si>
    <t xml:space="preserve">ERP</t>
  </si>
  <si>
    <t xml:space="preserve">Applied — no change</t>
  </si>
  <si>
    <t xml:space="preserve">Point 14</t>
  </si>
  <si>
    <t xml:space="preserve">SY-0002</t>
  </si>
  <si>
    <t xml:space="preserve">SY-0003</t>
  </si>
  <si>
    <t xml:space="preserve">Applied — Nucleus updated to Assembly</t>
  </si>
  <si>
    <t xml:space="preserve">SY-0004</t>
  </si>
  <si>
    <t xml:space="preserve">Nucleus</t>
  </si>
  <si>
    <t xml:space="preserve">Rejected — grade is Nucleus-owned; ERP value ignored and logged</t>
  </si>
  <si>
    <t xml:space="preserve">SY-0005</t>
  </si>
  <si>
    <t xml:space="preserve">Held for review — ownership map marks manager as Nucleus-owned but the ERP value differs materially</t>
  </si>
  <si>
    <t xml:space="preserve">SY-0006</t>
  </si>
  <si>
    <t xml:space="preserve">VPI-9901</t>
  </si>
  <si>
    <t xml:space="preserve">Full record</t>
  </si>
  <si>
    <t xml:space="preserve">New joiner from ERP</t>
  </si>
  <si>
    <t xml:space="preserve">Rejected — employee code not found in Nucleus and auto-create is off for this tenant</t>
  </si>
  <si>
    <t xml:space="preserve">SY-0007</t>
  </si>
  <si>
    <t xml:space="preserve">Rejected — duplicate payload, identical hash to SY-0001</t>
  </si>
  <si>
    <t xml:space="preserve">SY-0008</t>
  </si>
  <si>
    <t xml:space="preserve">Applied — no change. Payroll group stays HO, which is Nucleus-owned</t>
  </si>
  <si>
    <t xml:space="preserve">Points 8, 14</t>
  </si>
  <si>
    <t xml:space="preserve">The ownership map decides every row. ERP owns employee code, name, joining date, department and cost centre; Nucleus owns grade, worker class, shift, leave policy and manager. Conflict policy is explicit configuration — never an implicit last-write-wins.</t>
  </si>
  <si>
    <t xml:space="preserve">Requisition</t>
  </si>
  <si>
    <t xml:space="preserve">Against position</t>
  </si>
  <si>
    <t xml:space="preserve">Raised on</t>
  </si>
  <si>
    <t xml:space="preserve">Hiring manager</t>
  </si>
  <si>
    <t xml:space="preserve">Blocker</t>
  </si>
  <si>
    <t xml:space="preserve">REQ-2026-0037</t>
  </si>
  <si>
    <t xml:space="preserve">Replacement</t>
  </si>
  <si>
    <t xml:space="preserve">2026-08-25</t>
  </si>
  <si>
    <t xml:space="preserve">Open — panel round 2</t>
  </si>
  <si>
    <t xml:space="preserve">Panel availability</t>
  </si>
  <si>
    <t xml:space="preserve">Point 24 — replacement against a vacated position, consumes no fresh sanction</t>
  </si>
  <si>
    <t xml:space="preserve">Addition</t>
  </si>
  <si>
    <t xml:space="preserve">Blocked at approval</t>
  </si>
  <si>
    <t xml:space="preserve">Sanctioned strength reached</t>
  </si>
  <si>
    <t xml:space="preserve">Points 24, 25 — addition blocked because Machining is at full sanction; needs an override</t>
  </si>
  <si>
    <t xml:space="preserve">REQ-2026-0044</t>
  </si>
  <si>
    <t xml:space="preserve">Open — screening</t>
  </si>
  <si>
    <t xml:space="preserve">On track</t>
  </si>
  <si>
    <t xml:space="preserve">REQ-2026-0045</t>
  </si>
  <si>
    <t xml:space="preserve">2026-08-14</t>
  </si>
  <si>
    <t xml:space="preserve">Open — offer</t>
  </si>
  <si>
    <t xml:space="preserve">2026-07-02</t>
  </si>
  <si>
    <t xml:space="preserve">Closed — E1066 joined 01 Sep</t>
  </si>
  <si>
    <t xml:space="preserve">Points 19, 24</t>
  </si>
  <si>
    <t xml:space="preserve">2026-06-18</t>
  </si>
  <si>
    <t xml:space="preserve">Closed — E1065 joined 17 Aug</t>
  </si>
  <si>
    <t xml:space="preserve">REQ-2026-0048</t>
  </si>
  <si>
    <t xml:space="preserve">2026-08-04</t>
  </si>
  <si>
    <t xml:space="preserve">Candidate supply</t>
  </si>
  <si>
    <t xml:space="preserve">A replacement names the vacated position code and consumes no fresh sanctioned strength. An addition does, and REQ-2026-0041 is blocked because Machining at Peenya is at full sanction in sheet 10. This is what turns approved manpower from a review-meeting number into a control.</t>
  </si>
  <si>
    <t xml:space="preserve">Category code</t>
  </si>
  <si>
    <t xml:space="preserve">Category name</t>
  </si>
  <si>
    <t xml:space="preserve">Is third party</t>
  </si>
  <si>
    <t xml:space="preserve">Sub-category code</t>
  </si>
  <si>
    <t xml:space="preserve">Sub-category name</t>
  </si>
  <si>
    <t xml:space="preserve">Default OT eligibility basis</t>
  </si>
  <si>
    <t xml:space="preserve">Resolves to worker class</t>
  </si>
  <si>
    <t xml:space="preserve">Employees on this row</t>
  </si>
  <si>
    <t xml:space="preserve">CAT-PERM</t>
  </si>
  <si>
    <t xml:space="preserve">CAT-FTC</t>
  </si>
  <si>
    <t xml:space="preserve">Seeded for completeness — no employee on this category in the demo tenant</t>
  </si>
  <si>
    <t xml:space="preserve">CAT-CONT</t>
  </si>
  <si>
    <t xml:space="preserve">Contractual</t>
  </si>
  <si>
    <t xml:space="preserve">Point 2 — no rest day, paid daily wages</t>
  </si>
  <si>
    <t xml:space="preserve">CAT-3P</t>
  </si>
  <si>
    <t xml:space="preserve">Third party</t>
  </si>
  <si>
    <t xml:space="preserve">SUB-EMP</t>
  </si>
  <si>
    <t xml:space="preserve">Employee</t>
  </si>
  <si>
    <t xml:space="preserve">SUB-HLP</t>
  </si>
  <si>
    <t xml:space="preserve">Point 3 — the rest-day answer differs from SUB-EMP on the same category</t>
  </si>
  <si>
    <t xml:space="preserve">CAT-TRN</t>
  </si>
  <si>
    <t xml:space="preserve">SUB-GET</t>
  </si>
  <si>
    <t xml:space="preserve">Not eligible</t>
  </si>
  <si>
    <t xml:space="preserve">Point 7 — trainees are eligible for CL</t>
  </si>
  <si>
    <t xml:space="preserve">SUB-DET</t>
  </si>
  <si>
    <t xml:space="preserve">CAT-APP</t>
  </si>
  <si>
    <t xml:space="preserve">Apprentices Act — outside the DET and GET CL entitlement</t>
  </si>
  <si>
    <t xml:space="preserve">CAT-RET</t>
  </si>
  <si>
    <t xml:space="preserve">CAT-GIG</t>
  </si>
  <si>
    <t xml:space="preserve">Gig / platform</t>
  </si>
  <si>
    <t xml:space="preserve">Seeded for completeness</t>
  </si>
  <si>
    <t xml:space="preserve">ADDED v1.1 for form F-EMP-02. This is the sheet rule RL-05 resolves against: rest-day applicability is read from the employee record first, then the sub-category, then the category. The two CAT-3P rows are the whole of demo points 3 and 4 — one category, one vendor, one site, one shift, and two different rest-day answers, settled by data rather than by a code branch. Load this before 12_Employees.</t>
  </si>
  <si>
    <t xml:space="preserve">Scheme code</t>
  </si>
  <si>
    <t xml:space="preserve">Scheme name</t>
  </si>
  <si>
    <t xml:space="preserve">Applies from grade rank</t>
  </si>
  <si>
    <t xml:space="preserve">Applies to trainees</t>
  </si>
  <si>
    <t xml:space="preserve">EL at year end</t>
  </si>
  <si>
    <t xml:space="preserve">CL at year end</t>
  </si>
  <si>
    <t xml:space="preserve">SL at year end</t>
  </si>
  <si>
    <t xml:space="preserve">EL carry forward cap (days)</t>
  </si>
  <si>
    <t xml:space="preserve">Birthday leave</t>
  </si>
  <si>
    <t xml:space="preserve">Accrual policies in this scheme</t>
  </si>
  <si>
    <t xml:space="preserve">Employees mapped</t>
  </si>
  <si>
    <t xml:space="preserve">Senior Grade Scheme — AGM and above</t>
  </si>
  <si>
    <t xml:space="preserve">LP-01, LP-02, LP-03, LP-09</t>
  </si>
  <si>
    <t xml:space="preserve">Point 7 — 18 EL, 6 CL and 6 SL credited in one movement on 1 January</t>
  </si>
  <si>
    <t xml:space="preserve">Standard Staff Scheme</t>
  </si>
  <si>
    <t xml:space="preserve">LP-04, LP-05, LP-06, LP-10</t>
  </si>
  <si>
    <t xml:space="preserve">Point 7 — 6 CL and 6 SL in January, 1.5 EL a month, no EL for the first six months then a 9-day catch-up</t>
  </si>
  <si>
    <t xml:space="preserve">Trainee Scheme — DET and GET</t>
  </si>
  <si>
    <t xml:space="preserve">LP-07, LP-08</t>
  </si>
  <si>
    <t xml:space="preserve">Point 7 — CL only; DET and GET are eligible, an apprentice is not</t>
  </si>
  <si>
    <t xml:space="preserve">Not leave eligible</t>
  </si>
  <si>
    <t xml:space="preserve">Contractual, third-party, apprentice, retainer and gig populations</t>
  </si>
  <si>
    <t xml:space="preserve">ADDED v1.1 for form F-EMP-03. A scheme is selected by grade rank, never by matching a designation name — which is what open question Q-06 is about. Changing the rank on LS-AGM from 70 to 60 should move every Senior Manager onto the annual credit without a release: that is the single best way to show the accrual engine is configuration. The year-end columns drive 54_Year_End_Leave_Preview.</t>
  </si>
  <si>
    <t xml:space="preserve">Scheme</t>
  </si>
  <si>
    <t xml:space="preserve">Checked across contiguous absence</t>
  </si>
  <si>
    <t xml:space="preserve">Max availed per calendar month</t>
  </si>
  <si>
    <t xml:space="preserve">Min service months before accrual</t>
  </si>
  <si>
    <t xml:space="preserve">Catch-up on completion</t>
  </si>
  <si>
    <t xml:space="preserve">Half day permitted</t>
  </si>
  <si>
    <t xml:space="preserve">Encashable</t>
  </si>
  <si>
    <t xml:space="preserve">Display unit</t>
  </si>
  <si>
    <t xml:space="preserve">Blocked at</t>
  </si>
  <si>
    <t xml:space="preserve">Demo record</t>
  </si>
  <si>
    <t xml:space="preserve">LR-01</t>
  </si>
  <si>
    <t xml:space="preserve">Validation, before the approval chain starts</t>
  </si>
  <si>
    <t xml:space="preserve">LV-2026-0802 — CL + EL applied together, rejected by rule</t>
  </si>
  <si>
    <t xml:space="preserve">LR-02</t>
  </si>
  <si>
    <t xml:space="preserve">LV-2026-0803 — 11 EL days in October, rejected on the monthly cap</t>
  </si>
  <si>
    <t xml:space="preserve">LR-03</t>
  </si>
  <si>
    <t xml:space="preserve">Validation</t>
  </si>
  <si>
    <t xml:space="preserve">LV-2026-0795 — 2 SL for E1057, approved through all three levels</t>
  </si>
  <si>
    <t xml:space="preserve">LR-04</t>
  </si>
  <si>
    <t xml:space="preserve">Expiry check at application</t>
  </si>
  <si>
    <t xml:space="preserve">LV-2026-0788 — consumed against CO-2026-0231 one day before it lapsed</t>
  </si>
  <si>
    <t xml:space="preserve">LR-05</t>
  </si>
  <si>
    <t xml:space="preserve">Eligibility window check</t>
  </si>
  <si>
    <t xml:space="preserve">Quantum and window unstated by the client — see open question Q-03</t>
  </si>
  <si>
    <t xml:space="preserve">LR-06</t>
  </si>
  <si>
    <t xml:space="preserve">E1004 Ritu Balachandran</t>
  </si>
  <si>
    <t xml:space="preserve">LR-07</t>
  </si>
  <si>
    <t xml:space="preserve">E1004 — annual 18-day credit, no six-month hold</t>
  </si>
  <si>
    <t xml:space="preserve">LR-08</t>
  </si>
  <si>
    <t xml:space="preserve">E1030 GET and E1031 DET, 3 CL each under proration rule PR-04</t>
  </si>
  <si>
    <t xml:space="preserve">LR-09</t>
  </si>
  <si>
    <t xml:space="preserve">All schemes</t>
  </si>
  <si>
    <t xml:space="preserve">Not blocked — LOP is the fallback</t>
  </si>
  <si>
    <t xml:space="preserve">E1022 09 Sep, absent with no leave applied</t>
  </si>
  <si>
    <t xml:space="preserve">Point 12</t>
  </si>
  <si>
    <t xml:space="preserve">ADDED v1.1. Rule RL-11 says the combination check must run across a contiguous absence, not only within one application — so the demo has to show 2 CL approved first and then a separate EL application for the abutting days being refused. LV-2026-0802 covers the single-application case; run the two-application case live during the demo, because that is the one most products get wrong.</t>
  </si>
  <si>
    <t xml:space="preserve">Applies to</t>
  </si>
  <si>
    <t xml:space="preserve">Grace minutes on arrival</t>
  </si>
  <si>
    <t xml:space="preserve">Grace minutes on departure</t>
  </si>
  <si>
    <t xml:space="preserve">Lates allowed per month</t>
  </si>
  <si>
    <t xml:space="preserve">Consequence beyond the allowance</t>
  </si>
  <si>
    <t xml:space="preserve">Counter reset basis</t>
  </si>
  <si>
    <t xml:space="preserve">Exempt from grade rank</t>
  </si>
  <si>
    <t xml:space="preserve">Exempt designations</t>
  </si>
  <si>
    <t xml:space="preserve">GP-01</t>
  </si>
  <si>
    <t xml:space="preserve">All locations, all shift groups</t>
  </si>
  <si>
    <t xml:space="preserve">Half day</t>
  </si>
  <si>
    <t xml:space="preserve">Calendar month</t>
  </si>
  <si>
    <t xml:space="preserve">DES-01 to DES-07 and DES-20 — Assistant Manager and above</t>
  </si>
  <si>
    <t xml:space="preserve">E1019 Sneha Nair — lates on 01, 03, 07 Sep within allowance; 10 and 14 Sep become half days</t>
  </si>
  <si>
    <t xml:space="preserve">GP-01-EX</t>
  </si>
  <si>
    <t xml:space="preserve">Grade rank 50 and above</t>
  </si>
  <si>
    <t xml:space="preserve">No action</t>
  </si>
  <si>
    <t xml:space="preserve">Same list — the exemption is the same rank, expressed as a separate row so it is visible</t>
  </si>
  <si>
    <t xml:space="preserve">E1021 Rekha Deshpande — five lates in September, every day still Present</t>
  </si>
  <si>
    <t xml:space="preserve">ADDED v1.1 for form F-ATT-06. Four numbers the client stated as policy — 15, 15, 3 and half day — now sit in a configuration row rather than in the attendance engine. The counter reset basis is the subject of open question Q-12: calendar month and payroll month give different answers whenever the payroll cycle is not the calendar month, and this client runs 01 to end of month, so today they agree. Say so on screen rather than leaving it to be discovered later.</t>
  </si>
  <si>
    <t xml:space="preserve">Applies to shift</t>
  </si>
  <si>
    <t xml:space="preserve">Previous session ends after</t>
  </si>
  <si>
    <t xml:space="preserve">Permitted arrival until</t>
  </si>
  <si>
    <t xml:space="preserve">Minimum departure to qualify</t>
  </si>
  <si>
    <t xml:space="preserve">Resulting day status</t>
  </si>
  <si>
    <t xml:space="preserve">Late mark suppressed</t>
  </si>
  <si>
    <t xml:space="preserve">Grace deduction suppressed</t>
  </si>
  <si>
    <t xml:space="preserve">Maximum uses per month</t>
  </si>
  <si>
    <t xml:space="preserve">NE-01</t>
  </si>
  <si>
    <t xml:space="preserve">Present</t>
  </si>
  <si>
    <t xml:space="preserve">E1018 Ravi Kulkarni — out 03:20 on the night of 08 Sep, in 09:25 on 09 Sep, out 20:10. Span is 10h45m, below the 11h30m half-day threshold, and the day still pays as a full day.</t>
  </si>
  <si>
    <t xml:space="preserve">NE-02</t>
  </si>
  <si>
    <t xml:space="preserve">Seeded for the night shift so the rule is not single-shift. No demo record.</t>
  </si>
  <si>
    <t xml:space="preserve">ADDED v1.1 for form F-SHF-03. This is the rule with the least support in the source: the client said 03:00 or 04:00 and 09:00 or 09:30 without settling either, and gave no frequency limit. Maximum uses per month is deliberately blank, which means unlimited — open question Q-11. Leave it blank on screen and ask the question in the room; an uncapped relief rule is how late arrival gets normalised.</t>
  </si>
  <si>
    <t xml:space="preserve">Role code</t>
  </si>
  <si>
    <t xml:space="preserve">Role name</t>
  </si>
  <si>
    <t xml:space="preserve">Scope dimension</t>
  </si>
  <si>
    <t xml:space="preserve">Scope value</t>
  </si>
  <si>
    <t xml:space="preserve">Can view salary structure</t>
  </si>
  <si>
    <t xml:space="preserve">Can view rate structure</t>
  </si>
  <si>
    <t xml:space="preserve">Can view attendance</t>
  </si>
  <si>
    <t xml:space="preserve">Can edit attendance</t>
  </si>
  <si>
    <t xml:space="preserve">Can run payroll</t>
  </si>
  <si>
    <t xml:space="preserve">Can approve</t>
  </si>
  <si>
    <t xml:space="preserve">Enforced in</t>
  </si>
  <si>
    <t xml:space="preserve">R-PLANT-HR</t>
  </si>
  <si>
    <t xml:space="preserve">Plant HR — Chennai</t>
  </si>
  <si>
    <t xml:space="preserve">Attendance regularisation</t>
  </si>
  <si>
    <t xml:space="preserve">Screen, report, export and API</t>
  </si>
  <si>
    <t xml:space="preserve">Point 8</t>
  </si>
  <si>
    <t xml:space="preserve">Plant HR — Peenya</t>
  </si>
  <si>
    <t xml:space="preserve">R-PAYROLL</t>
  </si>
  <si>
    <t xml:space="preserve">Payroll manager</t>
  </si>
  <si>
    <t xml:space="preserve">LOC-BLR (payroll group HO)</t>
  </si>
  <si>
    <t xml:space="preserve">Payroll run, OT run</t>
  </si>
  <si>
    <t xml:space="preserve">R-PLANT-PAY</t>
  </si>
  <si>
    <t xml:space="preserve">Plant payroll — Chennai</t>
  </si>
  <si>
    <t xml:space="preserve">LOC-CHN (payroll group PLANT-CHN)</t>
  </si>
  <si>
    <t xml:space="preserve">Payroll run</t>
  </si>
  <si>
    <t xml:space="preserve">Point 8 — sees plant-paid salary but not E1056, who is paid at head office</t>
  </si>
  <si>
    <t xml:space="preserve">R-MANAGER</t>
  </si>
  <si>
    <t xml:space="preserve">Reporting manager</t>
  </si>
  <si>
    <t xml:space="preserve">Reporting line</t>
  </si>
  <si>
    <t xml:space="preserve">Own reportees, direct and indirect</t>
  </si>
  <si>
    <t xml:space="preserve">Leave, OT, gate pass, regularisation</t>
  </si>
  <si>
    <t xml:space="preserve">Screen and export</t>
  </si>
  <si>
    <t xml:space="preserve">Points 1, 12</t>
  </si>
  <si>
    <t xml:space="preserve">R-HRHEAD</t>
  </si>
  <si>
    <t xml:space="preserve">HR Head</t>
  </si>
  <si>
    <t xml:space="preserve">Legal entity</t>
  </si>
  <si>
    <t xml:space="preserve">LE-01 and LE-02</t>
  </si>
  <si>
    <t xml:space="preserve">Leave level 3, F&amp;F, requisition</t>
  </si>
  <si>
    <t xml:space="preserve">Points 5, 16</t>
  </si>
  <si>
    <t xml:space="preserve">R-FINANCE</t>
  </si>
  <si>
    <t xml:space="preserve">Finance</t>
  </si>
  <si>
    <t xml:space="preserve">Loan level 3, F&amp;F release, GL posting</t>
  </si>
  <si>
    <t xml:space="preserve">Screen, report and export</t>
  </si>
  <si>
    <t xml:space="preserve">Points 9, 15</t>
  </si>
  <si>
    <t xml:space="preserve">R-DIRECTOR</t>
  </si>
  <si>
    <t xml:space="preserve">Director</t>
  </si>
  <si>
    <t xml:space="preserve">Loan special terms only</t>
  </si>
  <si>
    <t xml:space="preserve">Screen and report</t>
  </si>
  <si>
    <t xml:space="preserve">R-COMPLIANCE</t>
  </si>
  <si>
    <t xml:space="preserve">Establishment</t>
  </si>
  <si>
    <t xml:space="preserve">All factory establishments</t>
  </si>
  <si>
    <t xml:space="preserve">Statutory filing sign-off</t>
  </si>
  <si>
    <t xml:space="preserve">Points 17, 26</t>
  </si>
  <si>
    <t xml:space="preserve">R-EMPLOYEE</t>
  </si>
  <si>
    <t xml:space="preserve">Employee self-service</t>
  </si>
  <si>
    <t xml:space="preserve">Self</t>
  </si>
  <si>
    <t xml:space="preserve">Own record only</t>
  </si>
  <si>
    <t xml:space="preserve">Y (own only)</t>
  </si>
  <si>
    <t xml:space="preserve">Screen and mobile</t>
  </si>
  <si>
    <t xml:space="preserve">ADDED v1.1 for form F-SEC-01. Demo point 8 could not be shown from v1.0 at all, because the dataset had no roles and no users — the whole point is who is signed in. Note the two payroll rows: the restriction is scoped on the payroll processing location, not the work location, which is why the Chennai plant payroll role still cannot see E1056. Prove it in all four surfaces named in the last column, not just by hiding the screen.</t>
  </si>
  <si>
    <t xml:space="preserve">User ID</t>
  </si>
  <si>
    <t xml:space="preserve">Login</t>
  </si>
  <si>
    <t xml:space="preserve">Linked employee</t>
  </si>
  <si>
    <t xml:space="preserve">Role</t>
  </si>
  <si>
    <t xml:space="preserve">Scope granted</t>
  </si>
  <si>
    <t xml:space="preserve">Sign in for</t>
  </si>
  <si>
    <t xml:space="preserve">U-001</t>
  </si>
  <si>
    <t xml:space="preserve">kalaivani.s</t>
  </si>
  <si>
    <t xml:space="preserve">The restriction half of point 8</t>
  </si>
  <si>
    <t xml:space="preserve">Opens E1056 Anand Krishnan: attendance is visible and editable, every compensation field is blank. Run the salary register and the export — he is absent from both.</t>
  </si>
  <si>
    <t xml:space="preserve">U-002</t>
  </si>
  <si>
    <t xml:space="preserve">deepak.s</t>
  </si>
  <si>
    <t xml:space="preserve">Payroll group HO</t>
  </si>
  <si>
    <t xml:space="preserve">The permission half of point 8</t>
  </si>
  <si>
    <t xml:space="preserve">Opens the same employee and sees the full structure. Same record, two answers, decided by the payroll processing location on the employee.</t>
  </si>
  <si>
    <t xml:space="preserve">U-003</t>
  </si>
  <si>
    <t xml:space="preserve">nikhil.i</t>
  </si>
  <si>
    <t xml:space="preserve">Own reporting line</t>
  </si>
  <si>
    <t xml:space="preserve">Team calendar, point 1 remark</t>
  </si>
  <si>
    <t xml:space="preserve">Team Calendar for 01 to 15 September. E1018, E1019, E1025, E1029, E1030 and E1032 are selectable; anyone else is not. Export matches the screen.</t>
  </si>
  <si>
    <t xml:space="preserve">Point 1</t>
  </si>
  <si>
    <t xml:space="preserve">U-004</t>
  </si>
  <si>
    <t xml:space="preserve">rekha.d</t>
  </si>
  <si>
    <t xml:space="preserve">The grade exemption in point 12</t>
  </si>
  <si>
    <t xml:space="preserve">Her own September attendance: five lates beyond grace, every day Present. Then E1019 in the same month, half days from the fourth late.</t>
  </si>
  <si>
    <t xml:space="preserve">U-005</t>
  </si>
  <si>
    <t xml:space="preserve">ritu.b</t>
  </si>
  <si>
    <t xml:space="preserve">Leave level 3 and the HR override</t>
  </si>
  <si>
    <t xml:space="preserve">Approves LV-2026-0774 at HR Head, then closes it on early return with three days credited back. The HR edit is recorded against her, not against the original approver.</t>
  </si>
  <si>
    <t xml:space="preserve">U-006</t>
  </si>
  <si>
    <t xml:space="preserve">anita.m</t>
  </si>
  <si>
    <t xml:space="preserve">F&amp;F and letters</t>
  </si>
  <si>
    <t xml:space="preserve">Holds E1042 at two open blocking clearance lines, releases E1068 on his last working day.</t>
  </si>
  <si>
    <t xml:space="preserve">U-007</t>
  </si>
  <si>
    <t xml:space="preserve">nandita.b</t>
  </si>
  <si>
    <t xml:space="preserve">GL posting, point 15</t>
  </si>
  <si>
    <t xml:space="preserve">Runs the posting with GL-023 missing and is blocked, adds the mapping, then posts a balanced journal and reconciles it to the bank file.</t>
  </si>
  <si>
    <t xml:space="preserve">U-008</t>
  </si>
  <si>
    <t xml:space="preserve">arvind.r</t>
  </si>
  <si>
    <t xml:space="preserve">The loan override in point 9</t>
  </si>
  <si>
    <t xml:space="preserve">Approves the special-terms sanction on LN-2026-0012 as a recorded approval. Show that the amount cannot be edited into place without it.</t>
  </si>
  <si>
    <t xml:space="preserve">U-009</t>
  </si>
  <si>
    <t xml:space="preserve">vikram.c</t>
  </si>
  <si>
    <t xml:space="preserve">Points 17 and 26</t>
  </si>
  <si>
    <t xml:space="preserve">The obligation calendar across four states, then Form 28 for Karnataka against the Tamil Nadu register set, then Form F for E1066.</t>
  </si>
  <si>
    <t xml:space="preserve">U-010</t>
  </si>
  <si>
    <t xml:space="preserve">ravi.k</t>
  </si>
  <si>
    <t xml:space="preserve">The employee view of point 1</t>
  </si>
  <si>
    <t xml:space="preserve">His own 08 September: two segments, 19h20m gate to gate, a 45-minute break shown separately, 7h20m of overtime.</t>
  </si>
  <si>
    <t xml:space="preserve">ADDED v1.1. Ten sign-ins, each tied to a point in the demo script. Create them in the tenant before the demo and keep the sessions open in separate browser profiles — the point-8 comparison lands only if the two windows are side by side and the client can see it is the same employee record. Passwords are not given here; use the tenant convention.</t>
  </si>
  <si>
    <t xml:space="preserve">Vendor code</t>
  </si>
  <si>
    <t xml:space="preserve">Vendor name</t>
  </si>
  <si>
    <t xml:space="preserve">Engagement type</t>
  </si>
  <si>
    <t xml:space="preserve">Sites served</t>
  </si>
  <si>
    <t xml:space="preserve">Contract from</t>
  </si>
  <si>
    <t xml:space="preserve">Contract to</t>
  </si>
  <si>
    <t xml:space="preserve">CLRA licence</t>
  </si>
  <si>
    <t xml:space="preserve">PF code</t>
  </si>
  <si>
    <t xml:space="preserve">ESI code</t>
  </si>
  <si>
    <t xml:space="preserve">Workers deployed</t>
  </si>
  <si>
    <t xml:space="preserve">Worker classes</t>
  </si>
  <si>
    <t xml:space="preserve">Invoice basis</t>
  </si>
  <si>
    <t xml:space="preserve">PF / ESI verification</t>
  </si>
  <si>
    <t xml:space="preserve">Sharada Manpower Services</t>
  </si>
  <si>
    <t xml:space="preserve">Third party — deployed workforce</t>
  </si>
  <si>
    <t xml:space="preserve">2027-03-31</t>
  </si>
  <si>
    <t xml:space="preserve">KA/CLRA/2025/00418</t>
  </si>
  <si>
    <t xml:space="preserve">KA/BLR/0051103</t>
  </si>
  <si>
    <t xml:space="preserve">53000123450000801</t>
  </si>
  <si>
    <t xml:space="preserve">WC-3PE, WC-3PH</t>
  </si>
  <si>
    <t xml:space="preserve">Monthly, per worker per day</t>
  </si>
  <si>
    <t xml:space="preserve">Held — August challan not yet produced</t>
  </si>
  <si>
    <t xml:space="preserve">Prasanna Labour Contractors</t>
  </si>
  <si>
    <t xml:space="preserve">2025-07-01</t>
  </si>
  <si>
    <t xml:space="preserve">KA/CLRA/2025/00522</t>
  </si>
  <si>
    <t xml:space="preserve">KA/BLR/0051290</t>
  </si>
  <si>
    <t xml:space="preserve">53000123450000915</t>
  </si>
  <si>
    <t xml:space="preserve">Current</t>
  </si>
  <si>
    <t xml:space="preserve">Sahyadri Staffing LLP</t>
  </si>
  <si>
    <t xml:space="preserve">MH/CLRA/2026/01147</t>
  </si>
  <si>
    <t xml:space="preserve">MH/PUN/0033812</t>
  </si>
  <si>
    <t xml:space="preserve">31000456780001204</t>
  </si>
  <si>
    <t xml:space="preserve">Deccan Facility Services</t>
  </si>
  <si>
    <t xml:space="preserve">2025-10-01</t>
  </si>
  <si>
    <t xml:space="preserve">TS/CLRA/2025/00733</t>
  </si>
  <si>
    <t xml:space="preserve">TS/HYD/0024455</t>
  </si>
  <si>
    <t xml:space="preserve">52000789010000617</t>
  </si>
  <si>
    <t xml:space="preserve">Current — contract expires 30 Sep, renewal not yet raised</t>
  </si>
  <si>
    <t xml:space="preserve">Kaveri Industrial Services</t>
  </si>
  <si>
    <t xml:space="preserve">TN/CLRA/2025/00291</t>
  </si>
  <si>
    <t xml:space="preserve">TN/CHN/0041066</t>
  </si>
  <si>
    <t xml:space="preserve">51000234560000723</t>
  </si>
  <si>
    <t xml:space="preserve">WC-CONT, WC-3PE</t>
  </si>
  <si>
    <t xml:space="preserve">Points 3, 17</t>
  </si>
  <si>
    <t xml:space="preserve">ADDED v1.1 for form FRM-CTG-01. v1.0 referenced VN-01 to VN-05 on the employee record and in the contract-labour register without ever defining them, so the third-party population had no vendor behind it. Two things to point out on screen: VN-01 has an unverified PF challan, which is the principal employer's exposure and not the contractor's; and VN-04's contract expires on 30 September with no renewal raised, which is what the obligation calendar should be catching. Load before 12_Employees.</t>
  </si>
  <si>
    <t xml:space="preserve">Invoice</t>
  </si>
  <si>
    <t xml:space="preserve">Site</t>
  </si>
  <si>
    <t xml:space="preserve">Worker days claimed</t>
  </si>
  <si>
    <t xml:space="preserve">Worker days from attendance</t>
  </si>
  <si>
    <t xml:space="preserve">Variance (days)</t>
  </si>
  <si>
    <t xml:space="preserve">Rate per day</t>
  </si>
  <si>
    <t xml:space="preserve">Claimed amount (INR)</t>
  </si>
  <si>
    <t xml:space="preserve">Passed amount (INR)</t>
  </si>
  <si>
    <t xml:space="preserve">Reconciliation note</t>
  </si>
  <si>
    <t xml:space="preserve">INV-VN01-2608</t>
  </si>
  <si>
    <t xml:space="preserve">Passed for payment</t>
  </si>
  <si>
    <t xml:space="preserve">Matches attendance exactly</t>
  </si>
  <si>
    <t xml:space="preserve">INV-VN01-2609</t>
  </si>
  <si>
    <t xml:space="preserve">Sep 2026 (part)</t>
  </si>
  <si>
    <t xml:space="preserve">Query raised</t>
  </si>
  <si>
    <t xml:space="preserve">Three days claimed for E1036 on 06, 07 and 13 Sep that attendance does not support. The system holds the difference rather than paying and reconciling later.</t>
  </si>
  <si>
    <t xml:space="preserve">INV-VN02-2608</t>
  </si>
  <si>
    <t xml:space="preserve">INV-VN05-2608</t>
  </si>
  <si>
    <t xml:space="preserve">ADDED v1.1 for form FRM-CTG-02. The reconciliation is the reason third-party attendance is captured in the same system as everyone else's. INV-VN01-2609 is the row to open: three claimed days with no attendance behind them, held automatically. Amounts are illustrative and are not carried into any payroll run in this dataset.</t>
  </si>
  <si>
    <t xml:space="preserve">Component code</t>
  </si>
  <si>
    <t xml:space="preserve">Component name</t>
  </si>
  <si>
    <t xml:space="preserve">Calculation</t>
  </si>
  <si>
    <t xml:space="preserve">Taxable</t>
  </si>
  <si>
    <t xml:space="preserve">PF applicable</t>
  </si>
  <si>
    <t xml:space="preserve">ESI applicable</t>
  </si>
  <si>
    <t xml:space="preserve">PT applicable</t>
  </si>
  <si>
    <t xml:space="preserve">In the Code on Wages base</t>
  </si>
  <si>
    <t xml:space="preserve">Proration basis</t>
  </si>
  <si>
    <t xml:space="preserve">Shows on payslip</t>
  </si>
  <si>
    <t xml:space="preserve">GL mapping</t>
  </si>
  <si>
    <t xml:space="preserve">PC-BASIC</t>
  </si>
  <si>
    <t xml:space="preserve">Earning</t>
  </si>
  <si>
    <t xml:space="preserve">Fixed, from the salary structure</t>
  </si>
  <si>
    <t xml:space="preserve">Calendar days paid</t>
  </si>
  <si>
    <t xml:space="preserve">Point 9 — the loan ceiling multiplies this</t>
  </si>
  <si>
    <t xml:space="preserve">PC-DA</t>
  </si>
  <si>
    <t xml:space="preserve">12% of Basic</t>
  </si>
  <si>
    <t xml:space="preserve">PC-HRA</t>
  </si>
  <si>
    <t xml:space="preserve">40% of Basic</t>
  </si>
  <si>
    <t xml:space="preserve">PC-CONV</t>
  </si>
  <si>
    <t xml:space="preserve">Fixed 1,600</t>
  </si>
  <si>
    <t xml:space="preserve">PC-SPL</t>
  </si>
  <si>
    <t xml:space="preserve">Balancing figure to gross</t>
  </si>
  <si>
    <t xml:space="preserve">Carries the 50% floor add-back — see column P of sheet 13</t>
  </si>
  <si>
    <t xml:space="preserve">PC-DWAGE</t>
  </si>
  <si>
    <t xml:space="preserve">Daily wage</t>
  </si>
  <si>
    <t xml:space="preserve">Daily rate multiplied by days present</t>
  </si>
  <si>
    <t xml:space="preserve">Days present</t>
  </si>
  <si>
    <t xml:space="preserve">Point 2 — the component a daily-wage worker is paid on</t>
  </si>
  <si>
    <t xml:space="preserve">PC-RETAINER</t>
  </si>
  <si>
    <t xml:space="preserve">Retainer fee</t>
  </si>
  <si>
    <t xml:space="preserve">Fixed monthly</t>
  </si>
  <si>
    <t xml:space="preserve">Calendar days</t>
  </si>
  <si>
    <t xml:space="preserve">TDS under 194J, not salary</t>
  </si>
  <si>
    <t xml:space="preserve">PC-OT</t>
  </si>
  <si>
    <t xml:space="preserve">OT hours multiplied by the hourly wage base and the OT multiplier</t>
  </si>
  <si>
    <t xml:space="preserve">Not prorated</t>
  </si>
  <si>
    <t xml:space="preserve">Points 4, 10 — paid only in the off-cycle OT run</t>
  </si>
  <si>
    <t xml:space="preserve">PC-LEAVE-ENC</t>
  </si>
  <si>
    <t xml:space="preserve">Leave encashment</t>
  </si>
  <si>
    <t xml:space="preserve">Encashable balance multiplied by the daily wage base</t>
  </si>
  <si>
    <t xml:space="preserve">Point 7 — raised by the year-end run and at F&amp;F</t>
  </si>
  <si>
    <t xml:space="preserve">PC-NOTICE-PAY</t>
  </si>
  <si>
    <t xml:space="preserve">Notice pay</t>
  </si>
  <si>
    <t xml:space="preserve">Shortfall days multiplied by the daily gross</t>
  </si>
  <si>
    <t xml:space="preserve">PC-GRATUITY</t>
  </si>
  <si>
    <t xml:space="preserve">Gratuity</t>
  </si>
  <si>
    <t xml:space="preserve">15/26 of Basic+DA for each completed year</t>
  </si>
  <si>
    <t xml:space="preserve">Y (exempt to limit)</t>
  </si>
  <si>
    <t xml:space="preserve">PC-RECOG</t>
  </si>
  <si>
    <t xml:space="preserve">Fixed, from the nomination</t>
  </si>
  <si>
    <t xml:space="preserve">PC-REFERRAL</t>
  </si>
  <si>
    <t xml:space="preserve">Fixed, from the referral record</t>
  </si>
  <si>
    <t xml:space="preserve">PC-PF-EE</t>
  </si>
  <si>
    <t xml:space="preserve">Provident fund — employee</t>
  </si>
  <si>
    <t xml:space="preserve">Deduction</t>
  </si>
  <si>
    <t xml:space="preserve">12% of the statutory wage base</t>
  </si>
  <si>
    <t xml:space="preserve">Follows the wage base</t>
  </si>
  <si>
    <t xml:space="preserve">Reads column Q of sheet 13, not gross</t>
  </si>
  <si>
    <t xml:space="preserve">PC-ESI-EE</t>
  </si>
  <si>
    <t xml:space="preserve">ESI — employee</t>
  </si>
  <si>
    <t xml:space="preserve">0.75% of gross where gross is at or below the ESI ceiling</t>
  </si>
  <si>
    <t xml:space="preserve">Follows gross</t>
  </si>
  <si>
    <t xml:space="preserve">PC-PT</t>
  </si>
  <si>
    <t xml:space="preserve">Professional tax</t>
  </si>
  <si>
    <t xml:space="preserve">From the state slab set on the work location</t>
  </si>
  <si>
    <t xml:space="preserve">GL-016 / GL-017</t>
  </si>
  <si>
    <t xml:space="preserve">Point 17 — differs by state on the same run</t>
  </si>
  <si>
    <t xml:space="preserve">PC-TDS</t>
  </si>
  <si>
    <t xml:space="preserve">Income tax deducted at source</t>
  </si>
  <si>
    <t xml:space="preserve">Projected annual liability spread over remaining months</t>
  </si>
  <si>
    <t xml:space="preserve">PC-LWF</t>
  </si>
  <si>
    <t xml:space="preserve">From the state LWF set, at the stated frequency</t>
  </si>
  <si>
    <t xml:space="preserve">PC-LOAN</t>
  </si>
  <si>
    <t xml:space="preserve">Loan instalment recovery</t>
  </si>
  <si>
    <t xml:space="preserve">Instalment from the active loan</t>
  </si>
  <si>
    <t xml:space="preserve">Point 9 — reads 24_Loans</t>
  </si>
  <si>
    <t xml:space="preserve">PC-ADV</t>
  </si>
  <si>
    <t xml:space="preserve">Salary advance recovery</t>
  </si>
  <si>
    <t xml:space="preserve">From the advance schedule</t>
  </si>
  <si>
    <t xml:space="preserve">PC-CANTEEN</t>
  </si>
  <si>
    <t xml:space="preserve">From the canteen feed</t>
  </si>
  <si>
    <t xml:space="preserve">PC-RECOVERY</t>
  </si>
  <si>
    <t xml:space="preserve">Exit recovery</t>
  </si>
  <si>
    <t xml:space="preserve">From the no-dues checklist</t>
  </si>
  <si>
    <t xml:space="preserve">Point 16 — unreturned assets land here</t>
  </si>
  <si>
    <t xml:space="preserve">PC-PF-ER</t>
  </si>
  <si>
    <t xml:space="preserve">Provident fund — employer</t>
  </si>
  <si>
    <t xml:space="preserve">Employer contribution</t>
  </si>
  <si>
    <t xml:space="preserve">PC-ESI-ER</t>
  </si>
  <si>
    <t xml:space="preserve">ESI — employer</t>
  </si>
  <si>
    <t xml:space="preserve">3.25% of gross where within the ceiling</t>
  </si>
  <si>
    <t xml:space="preserve">ADDED v1.1 for form FRM-PAY-01. v1.0 carried the components as column headings in sheet 13 and as names in the GL map, but never as a master — so nothing said which of them is PF-bearing, which prorates on days present, or which one a daily-wage worker is actually paid on. The last three columns are the ones to walk: proration basis explains point 2, the Code on Wages column explains the add-back in sheet 13, and GL mapping is the join to sheet 35.</t>
  </si>
  <si>
    <t xml:space="preserve">Slab set</t>
  </si>
  <si>
    <t xml:space="preserve">Monthly gross from (INR)</t>
  </si>
  <si>
    <t xml:space="preserve">Monthly gross to (INR)</t>
  </si>
  <si>
    <t xml:space="preserve">PT per month (INR)</t>
  </si>
  <si>
    <t xml:space="preserve">Deduction frequency</t>
  </si>
  <si>
    <t xml:space="preserve">Special rule</t>
  </si>
  <si>
    <t xml:space="preserve">Applies to locations</t>
  </si>
  <si>
    <t xml:space="preserve">LOC-BLR, LOC-PLA</t>
  </si>
  <si>
    <t xml:space="preserve">Nil for women up to this band</t>
  </si>
  <si>
    <t xml:space="preserve">February is 300 so the annual total reaches 2,500 — the single best proof that PT is a slab engine and not a constant</t>
  </si>
  <si>
    <t xml:space="preserve">Half yearly</t>
  </si>
  <si>
    <t xml:space="preserve">Levied by the local body on half-yearly income, not monthly on gross. This is why OB-2026-0917 reads Not applicable for the August monthly cycle — the obligation is real but falls due half-yearly.</t>
  </si>
  <si>
    <t xml:space="preserve">ADDED v1.1. v1.0 named a slab set on every location but never gave the slabs, so "PT differs by state on the same run" could only be asserted. Run September for LE-01 and show four employees on four different PT outcomes in one register. AMBER WARNING: these are demo values. Slabs are amended by state notification and Tamil Nadu is levied by the local body, so confirm each against the current notification before the demo — a wrong slab in front of a finance head costs more credibility than a missing feature.</t>
  </si>
  <si>
    <t xml:space="preserve">Break ID</t>
  </si>
  <si>
    <t xml:space="preserve">Session</t>
  </si>
  <si>
    <t xml:space="preserve">Break seq</t>
  </si>
  <si>
    <t xml:space="preserve">Break start</t>
  </si>
  <si>
    <t xml:space="preserve">Break end</t>
  </si>
  <si>
    <t xml:space="preserve">Break minutes</t>
  </si>
  <si>
    <t xml:space="preserve">Break type</t>
  </si>
  <si>
    <t xml:space="preserve">Derived from</t>
  </si>
  <si>
    <t xml:space="preserve">Deducted from net hours</t>
  </si>
  <si>
    <t xml:space="preserve">BR-0001</t>
  </si>
  <si>
    <t xml:space="preserve">Meal</t>
  </si>
  <si>
    <t xml:space="preserve">Punch gap — OUT to next IN</t>
  </si>
  <si>
    <t xml:space="preserve">Point 1 — this single row is the requirement. The client asked for the dinner break to be reported separately, and gate-to-gate hours stay 19h20m because it is not deducted.</t>
  </si>
  <si>
    <t xml:space="preserve">BR-0002</t>
  </si>
  <si>
    <t xml:space="preserve">Gate pass</t>
  </si>
  <si>
    <t xml:space="preserve">Punch gap — OUT to next IN, overlapping approved pass GP-2026-0141</t>
  </si>
  <si>
    <t xml:space="preserve">N — deducted then credited back</t>
  </si>
  <si>
    <t xml:space="preserve">BR-0003</t>
  </si>
  <si>
    <t xml:space="preserve">Punch gap — OUT to next IN, overlapping approved pass GP-2026-0155</t>
  </si>
  <si>
    <t xml:space="preserve">BR-0004</t>
  </si>
  <si>
    <t xml:space="preserve">Shift break</t>
  </si>
  <si>
    <t xml:space="preserve">Shift master SH-A — scheduled, not punched</t>
  </si>
  <si>
    <t xml:space="preserve">The 60 minutes shown in column N of sheet 21 on an ordinary day. Every SH-A and SH-B day carries this; SH-C and SH-D carry 45 and SH-F carries 30.</t>
  </si>
  <si>
    <t xml:space="preserve">ADDED v1.1 for form F-ATT-03 and report RP-01. Rule RL-03 defines a break as the gap between an OUT and the following IN inside a session, so only the first three rows are breaks in that sense — BR-0004 is the scheduled shift break and is shown here only to explain where the 60 in sheet 21 comes from. Keep the two kinds visibly separate on the register; a client who sees one 60-minute row per person per day will reasonably assume the system is inventing breaks. Break type is configurable (EN_BREAK_TYPE) and a break overlapping an approved gate pass classifies itself.</t>
  </si>
  <si>
    <t xml:space="preserve">Request</t>
  </si>
  <si>
    <t xml:space="preserve">Original status</t>
  </si>
  <si>
    <t xml:space="preserve">Requested status</t>
  </si>
  <si>
    <t xml:space="preserve">Raised by</t>
  </si>
  <si>
    <t xml:space="preserve">Approval status</t>
  </si>
  <si>
    <t xml:space="preserve">Effect once approved</t>
  </si>
  <si>
    <t xml:space="preserve">RG-2026-0211</t>
  </si>
  <si>
    <t xml:space="preserve">Absent</t>
  </si>
  <si>
    <t xml:space="preserve">Left at 13:15 on medical grounds without applying leave</t>
  </si>
  <si>
    <t xml:space="preserve">Dispensary slip attached</t>
  </si>
  <si>
    <t xml:space="preserve">Pending — supervisor</t>
  </si>
  <si>
    <t xml:space="preserve">Day status becomes Half day; the LOP for the second half stands</t>
  </si>
  <si>
    <t xml:space="preserve">RG-2026-0214</t>
  </si>
  <si>
    <t xml:space="preserve">On leave</t>
  </si>
  <si>
    <t xml:space="preserve">Returned early from LV-2026-0774 and reported for work</t>
  </si>
  <si>
    <t xml:space="preserve">System generated by the early-return action</t>
  </si>
  <si>
    <t xml:space="preserve">Approved 2026-09-14</t>
  </si>
  <si>
    <t xml:space="preserve">Attendance corrected to Present for 14, 15 and 16 Sep and three EL days credited back in the same commit</t>
  </si>
  <si>
    <t xml:space="preserve">RG-2026-0217</t>
  </si>
  <si>
    <t xml:space="preserve">Out punch missed at the gate on the night shift; security register confirms 08:12</t>
  </si>
  <si>
    <t xml:space="preserve">Gate register extract, night of 05 Sep</t>
  </si>
  <si>
    <t xml:space="preserve">Approved 2026-09-07</t>
  </si>
  <si>
    <t xml:space="preserve">Last out set to 08:12, gross recomputed, the 12-minute OT line on OT-2026-0918 follows from it</t>
  </si>
  <si>
    <t xml:space="preserve">RG-2026-0220</t>
  </si>
  <si>
    <t xml:space="preserve">Worker asked for Sunday to be treated as a rest day</t>
  </si>
  <si>
    <t xml:space="preserve">Rejected 2026-09-14</t>
  </si>
  <si>
    <t xml:space="preserve">No change. His worker class carries no rest day, so a regularisation cannot create one — the entitlement is a policy question, not an attendance correction.</t>
  </si>
  <si>
    <t xml:space="preserve">RG-2026-0222</t>
  </si>
  <si>
    <t xml:space="preserve">In punch recorded on the wrong device after a reader fault</t>
  </si>
  <si>
    <t xml:space="preserve">Device fault log BIO-CHN-01</t>
  </si>
  <si>
    <t xml:space="preserve">Approved 2026-09-12</t>
  </si>
  <si>
    <t xml:space="preserve">Punch reassigned. Note that E1055 can approve this while still being unable to see any salary field on the same record.</t>
  </si>
  <si>
    <t xml:space="preserve">Points 8, 12</t>
  </si>
  <si>
    <t xml:space="preserve">ADDED v1.1 for form F-ATT-04 and screen FRM-TIM-05. Two rows earn their place beyond filling a gap. RG-2026-0214 is the attendance half of demo point 5 — the early return has to write an attendance correction and a ledger credit in one commit, which is what workflow W-02 requires. RG-2026-0220 is the one to open when the client asks whether a supervisor can simply regularise around the rest-day rule: the refusal is the control working.</t>
  </si>
  <si>
    <t xml:space="preserve">Exception</t>
  </si>
  <si>
    <t xml:space="preserve">Exception type</t>
  </si>
  <si>
    <t xml:space="preserve">Detail</t>
  </si>
  <si>
    <t xml:space="preserve">Detected on</t>
  </si>
  <si>
    <t xml:space="preserve">Severity</t>
  </si>
  <si>
    <t xml:space="preserve">Resolution path</t>
  </si>
  <si>
    <t xml:space="preserve">Resolved on</t>
  </si>
  <si>
    <t xml:space="preserve">EX-2026-0341</t>
  </si>
  <si>
    <t xml:space="preserve">Missing out punch</t>
  </si>
  <si>
    <t xml:space="preserve">IN at 20:02 with no matching OUT before the next session opened</t>
  </si>
  <si>
    <t xml:space="preserve">Blocks payroll</t>
  </si>
  <si>
    <t xml:space="preserve">Regularisation RG-2026-0217</t>
  </si>
  <si>
    <t xml:space="preserve">EX-2026-0352</t>
  </si>
  <si>
    <t xml:space="preserve">Short day below the absent threshold</t>
  </si>
  <si>
    <t xml:space="preserve">Net 5h05m against a 6h30m absent threshold on a 12-hour shift</t>
  </si>
  <si>
    <t xml:space="preserve">Regularisation RG-2026-0211 raised, awaiting supervisor</t>
  </si>
  <si>
    <t xml:space="preserve">EX-2026-0358</t>
  </si>
  <si>
    <t xml:space="preserve">Shift differs from roster</t>
  </si>
  <si>
    <t xml:space="preserve">Rostered SH-A, in-punch 20:05 falls inside the SH-B detection window</t>
  </si>
  <si>
    <t xml:space="preserve">Informational</t>
  </si>
  <si>
    <t xml:space="preserve">Auto-resolved — detected shift adopted and the override recorded</t>
  </si>
  <si>
    <t xml:space="preserve">Point 13</t>
  </si>
  <si>
    <t xml:space="preserve">EX-2026-0361</t>
  </si>
  <si>
    <t xml:space="preserve">Session crosses the date boundary</t>
  </si>
  <si>
    <t xml:space="preserve">Last OUT at 03:20 on 09 Sep against an attendance date of 08 Sep</t>
  </si>
  <si>
    <t xml:space="preserve">Auto-resolved — session attributed to the date of the first IN per rule RL-01</t>
  </si>
  <si>
    <t xml:space="preserve">EX-2026-0366</t>
  </si>
  <si>
    <t xml:space="preserve">Vendor claim without attendance</t>
  </si>
  <si>
    <t xml:space="preserve">Day claimed on invoice INV-VN01-2609 with no punch recorded</t>
  </si>
  <si>
    <t xml:space="preserve">Blocks vendor payment</t>
  </si>
  <si>
    <t xml:space="preserve">Held on the invoice reconciliation, query raised with VN-01</t>
  </si>
  <si>
    <t xml:space="preserve">EX-2026-0369</t>
  </si>
  <si>
    <t xml:space="preserve">No punch and no leave</t>
  </si>
  <si>
    <t xml:space="preserve">Apprentice absent with nothing applied</t>
  </si>
  <si>
    <t xml:space="preserve">LOP raised pending supervisor confirmation</t>
  </si>
  <si>
    <t xml:space="preserve">ADDED v1.1 for form FRM-TIM-08. The distinction that matters on screen is severity: two of these resolve themselves and are informational, three block the payroll run, and one blocks a vendor payment rather than an employee payment. A queue that treats all six the same is the reason exception handling gets abandoned in month three. Run this screen immediately before the payroll run in the demo — that is the order it is used in.</t>
  </si>
  <si>
    <t xml:space="preserve">Roster</t>
  </si>
  <si>
    <t xml:space="preserve">From date</t>
  </si>
  <si>
    <t xml:space="preserve">To date</t>
  </si>
  <si>
    <t xml:space="preserve">Rostered shift</t>
  </si>
  <si>
    <t xml:space="preserve">Rotation pattern</t>
  </si>
  <si>
    <t xml:space="preserve">Published on</t>
  </si>
  <si>
    <t xml:space="preserve">Published by</t>
  </si>
  <si>
    <t xml:space="preserve">Overridden by detection</t>
  </si>
  <si>
    <t xml:space="preserve">RS-2026-W36-01</t>
  </si>
  <si>
    <t xml:space="preserve">Fixed A shift</t>
  </si>
  <si>
    <t xml:space="preserve">RS-2026-W36-02</t>
  </si>
  <si>
    <t xml:space="preserve">RS-2026-W36-03</t>
  </si>
  <si>
    <t xml:space="preserve">Fixed A shift, covering B on request</t>
  </si>
  <si>
    <t xml:space="preserve">Yes — 04 and 11 Sep detected as SH-B</t>
  </si>
  <si>
    <t xml:space="preserve">Point 13 — the roster says A and the punch says B; the detected shift governs and the difference is recorded</t>
  </si>
  <si>
    <t xml:space="preserve">RS-2026-W36-04</t>
  </si>
  <si>
    <t xml:space="preserve">Fixed B shift</t>
  </si>
  <si>
    <t xml:space="preserve">RS-2026-W36-05</t>
  </si>
  <si>
    <t xml:space="preserve">Fixed D shift, 17:00 to 03:00</t>
  </si>
  <si>
    <t xml:space="preserve">Every day of hers crosses midnight, which is the ordinary case rule RL-01 has to handle, not the exception</t>
  </si>
  <si>
    <t xml:space="preserve">RS-2026-W36-06</t>
  </si>
  <si>
    <t xml:space="preserve">General shift</t>
  </si>
  <si>
    <t xml:space="preserve">Point 12 — grade-exempt supervisor on the general shift</t>
  </si>
  <si>
    <t xml:space="preserve">RS-2026-W36-07</t>
  </si>
  <si>
    <t xml:space="preserve">Points 3, 4 — same roster line as E1036, different rest-day answer</t>
  </si>
  <si>
    <t xml:space="preserve">RS-2026-W36-08</t>
  </si>
  <si>
    <t xml:space="preserve">Fixed A shift, no rest day</t>
  </si>
  <si>
    <t xml:space="preserve">ADDED v1.1 for form FRM-TIM-02. v1.0 recorded the rostered and the applied shift in sheet 21 but never the roster itself, so auto-detection had nothing to override. Open this alongside E1020's 04 September row: the roster is unchanged and still says SH-A, the day was processed on SH-B, and both facts are visible at once. A product that silently rewrites the roster loses the audit trail that makes the override defensible.</t>
  </si>
  <si>
    <t xml:space="preserve">Opening 01 Jan 2026</t>
  </si>
  <si>
    <t xml:space="preserve">Credited</t>
  </si>
  <si>
    <t xml:space="preserve">Reversed</t>
  </si>
  <si>
    <t xml:space="preserve">Encashed</t>
  </si>
  <si>
    <t xml:space="preserve">Closing as on 15 Sep 2026</t>
  </si>
  <si>
    <t xml:space="preserve">Ledger movements behind it</t>
  </si>
  <si>
    <t xml:space="preserve">What to point out</t>
  </si>
  <si>
    <t xml:space="preserve">LL-0001, LL-0004</t>
  </si>
  <si>
    <t xml:space="preserve">LL-0005, LL-0008</t>
  </si>
  <si>
    <t xml:space="preserve">LL-0009, LL-0011, LL-0012</t>
  </si>
  <si>
    <t xml:space="preserve">Point 5 — 10 days debited on application, 3 reversed on early return. The reversal is a movement against the original availing, not a fresh accrual, so the closing balance is explainable line by line.</t>
  </si>
  <si>
    <t xml:space="preserve">Point 7 — the catch-up lands on 16 September, during the demo window.</t>
  </si>
  <si>
    <t xml:space="preserve">LL-0022, LL-0023, LL-0041</t>
  </si>
  <si>
    <t xml:space="preserve">Point 6 — two credits on separate 60-day clocks, one consumed a day before it expired.</t>
  </si>
  <si>
    <t xml:space="preserve">LL-0024, LL-0025, LL-0042</t>
  </si>
  <si>
    <t xml:space="preserve">LL-0028, LL-0029</t>
  </si>
  <si>
    <t xml:space="preserve">Point 12 — six days intact. The 09 September absence raised LOP and took nothing from this balance.</t>
  </si>
  <si>
    <t xml:space="preserve">LL-0031, LL-0035</t>
  </si>
  <si>
    <t xml:space="preserve">LL-0033, LL-0034</t>
  </si>
  <si>
    <t xml:space="preserve">Point 7 — the 9-day catch-up on completing six months, then 1.5 a month.</t>
  </si>
  <si>
    <t xml:space="preserve">LL-0036, LL-0037, LL-0038</t>
  </si>
  <si>
    <t xml:space="preserve">Point 16 — 9.5 days is the figure encashed in the full and final settlement.</t>
  </si>
  <si>
    <t xml:space="preserve">LL-0039, LL-0040</t>
  </si>
  <si>
    <t xml:space="preserve">Point 16 — encashed in the held settlement.</t>
  </si>
  <si>
    <t xml:space="preserve">LL-0044, LL-0045</t>
  </si>
  <si>
    <t xml:space="preserve">Point 6 — one credit, one lapse, nil balance. The lapse is a movement, not a status change, which is why the balance actually falls.</t>
  </si>
  <si>
    <t xml:space="preserve">ADDED v1.1 for report RP-05. Every figure here is a projection over 17_Leave_Ledger — there is no stored balance column anywhere in this dataset, by design. The column that matters is the second from last: a balance a client disputes has to be explainable movement by movement, and if the product cannot produce that list, the balance is a number nobody can defend. Opening is nil throughout because the demo tenant starts on 1 January 2026.</t>
  </si>
  <si>
    <t xml:space="preserve">Balance as on 15 Sep</t>
  </si>
  <si>
    <t xml:space="preserve">Further accrual to 31 Dec</t>
  </si>
  <si>
    <t xml:space="preserve">Expiring before 31 Dec</t>
  </si>
  <si>
    <t xml:space="preserve">Projected balance at 31 Dec</t>
  </si>
  <si>
    <t xml:space="preserve">Days encashed</t>
  </si>
  <si>
    <t xml:space="preserve">Days lapsed</t>
  </si>
  <si>
    <t xml:space="preserve">Encashment rate per day (INR)</t>
  </si>
  <si>
    <t xml:space="preserve">Encashment amount (INR)</t>
  </si>
  <si>
    <t xml:space="preserve">Lapse on expiry, not at year end</t>
  </si>
  <si>
    <t xml:space="preserve">ADDED v1.1 for form F-LVE-07 and report RP-08. Run mode Preview must produce exactly these figures and write nothing; Commit must produce the same figures again and write the encashment as a payroll input and the lapse as a ledger movement. Run Preview twice in the demo and show the balances unchanged — that is the assurance a payroll head is actually asking for. Encashment rate is (Basic + DA) divided by 26, per component PC-LEAVE-ENC. The comp-off row is here to make the distinction: comp-off lapses on its own 60-day clock, not at year end, so the year-end run must leave it alone.</t>
  </si>
  <si>
    <t xml:space="preserve">Run</t>
  </si>
  <si>
    <t xml:space="preserve">Work location</t>
  </si>
  <si>
    <t xml:space="preserve">Days in period</t>
  </si>
  <si>
    <t xml:space="preserve">Days paid</t>
  </si>
  <si>
    <t xml:space="preserve">LOP days</t>
  </si>
  <si>
    <t xml:space="preserve">DA</t>
  </si>
  <si>
    <t xml:space="preserve">HRA</t>
  </si>
  <si>
    <t xml:space="preserve">Gross</t>
  </si>
  <si>
    <t xml:space="preserve">PF employee</t>
  </si>
  <si>
    <t xml:space="preserve">ESI employee</t>
  </si>
  <si>
    <t xml:space="preserve">PT state</t>
  </si>
  <si>
    <t xml:space="preserve">TDS</t>
  </si>
  <si>
    <t xml:space="preserve">Other recovery</t>
  </si>
  <si>
    <t xml:space="preserve">Total deductions</t>
  </si>
  <si>
    <t xml:space="preserve">Net pay</t>
  </si>
  <si>
    <t xml:space="preserve">Clean full month, no attendance effects</t>
  </si>
  <si>
    <t xml:space="preserve">Clean in August. Compare with her September line below</t>
  </si>
  <si>
    <t xml:space="preserve">Clean in August</t>
  </si>
  <si>
    <t xml:space="preserve">Point 2 — daily wage. 27 days present in a 31-day month, no weekly off generated and none deducted. Paid on days present, not on a monthly salary.</t>
  </si>
  <si>
    <t xml:space="preserve">Point 3 — third-party helper, no rest day, daily wage</t>
  </si>
  <si>
    <t xml:space="preserve">Point 9 — the loan instalment on LN-2026-0041 recovers here, read from the loan record rather than keyed</t>
  </si>
  <si>
    <t xml:space="preserve">Point 8 — payroll group HO, work location Chennai. Professional tax is nil because Tamil Nadu levies it half-yearly through the local body, not monthly. Same run, four different PT answers across the register.</t>
  </si>
  <si>
    <t xml:space="preserve">Points 8, 17</t>
  </si>
  <si>
    <t xml:space="preserve">Added v1.1</t>
  </si>
  <si>
    <t xml:space="preserve">Point 12 — half days on 10 and 14 September from the fourth and fifth late marks, one LOP day between them. Trace it back to rows AD-00025 and AD-00029 in sheet 21.</t>
  </si>
  <si>
    <t xml:space="preserve">Point 12 — five lates beyond grace in the same month and no deduction at all, because her grade rank is 55 and the exempt rank is 50. Put this line next to E1019 above.</t>
  </si>
  <si>
    <t xml:space="preserve">Point 12 — a half day on 02 September and an absence on 09 September. The absence raised LOP, not a leave debit</t>
  </si>
  <si>
    <t xml:space="preserve">Point 5 — ten days of approved leave, returned after seven. Days 14 to 16 are paid as present, not as leave, and three EL days went back to her balance.</t>
  </si>
  <si>
    <t xml:space="preserve">Point 2 — thirty days present including both Sundays, because this worker class generates no weekly off</t>
  </si>
  <si>
    <t xml:space="preserve">Point 8 — invisible to the Chennai plant HR sign-in on the same register</t>
  </si>
  <si>
    <t xml:space="preserve">Point 1 and 10 — 7h20m from 08 September at twice the hourly wage base. Disbursed on 07 October in a run of its own, after the September salary run has closed.</t>
  </si>
  <si>
    <t xml:space="preserve">Point 4 — the whole 12h08m span of 06 September is payable because it fell on his rest day. His 04 September span was just as long and pays nothing.</t>
  </si>
  <si>
    <t xml:space="preserve">Twelve minutes, after the missed out punch was regularised</t>
  </si>
  <si>
    <t xml:space="preserve">Point 2 — a daily-wage worker earns overtime on the same basis as anyone else; 13 September is an ordinary working day for him, not a rest day.</t>
  </si>
  <si>
    <t xml:space="preserve">ADDED v1.1. Eighteen sample lines, not a complete register — PR-2026-08-01 ran 412 employees and PR-2026-09-01 runs 418. The August lines are from the closed run and tie to the journal in 56_GL_Journal and the bank file in 57_Bank_File. The September lines sit at pre-audit and are the ones that carry attendance into pay: put the E1019 and E1021 rows side by side, same month, same late-mark rule, one loses a day and the other loses nothing. The four overtime lines belong to a separate run with its own pay date, which is the whole of demo point 10.</t>
  </si>
  <si>
    <t xml:space="preserve">Journal</t>
  </si>
  <si>
    <t xml:space="preserve">Line</t>
  </si>
  <si>
    <t xml:space="preserve">GL account</t>
  </si>
  <si>
    <t xml:space="preserve">Account name</t>
  </si>
  <si>
    <t xml:space="preserve">Debit (INR)</t>
  </si>
  <si>
    <t xml:space="preserve">Credit (INR)</t>
  </si>
  <si>
    <t xml:space="preserve">Posting status</t>
  </si>
  <si>
    <t xml:space="preserve">ERP posting reference</t>
  </si>
  <si>
    <t xml:space="preserve">JV-2026-08-0441</t>
  </si>
  <si>
    <t xml:space="preserve">Posted 2026-09-02</t>
  </si>
  <si>
    <t xml:space="preserve">ERP-JV-88214</t>
  </si>
  <si>
    <t xml:space="preserve">PF payable — employee and employer</t>
  </si>
  <si>
    <t xml:space="preserve">ESI payable — employee and employer</t>
  </si>
  <si>
    <t xml:space="preserve">JV-2026-10-0007</t>
  </si>
  <si>
    <t xml:space="preserve">Sep 2026 overtime</t>
  </si>
  <si>
    <t xml:space="preserve">Not yet posted — run is in DRAFT</t>
  </si>
  <si>
    <t xml:space="preserve">Points 10, 15</t>
  </si>
  <si>
    <t xml:space="preserve">Both journals balance. 31,720,000 against 31,720,000 for August and 425,390 each way for overtime.</t>
  </si>
  <si>
    <t xml:space="preserve">ADDED v1.1 for form F-INT-02 and report RP-15. Demo point 15 asks for a balanced journal and its reconciliation to the bank file, and v1.0 had only the mapping table — no journal existed to show. Three things to do on screen: post once and show the ERP reference come back; re-run the same period and show no second posting created, which is what idempotency means here; and note that the overtime run carries its own journal with its own date, so overtime never reaches the ledger inside the salary journal. The gratuity and leave-encashment credit lines use the two accounts added to sheet 35 in v1.1 — without them this journal was short by 700,000 on the credit side.</t>
  </si>
  <si>
    <t xml:space="preserve">File</t>
  </si>
  <si>
    <t xml:space="preserve">Bank</t>
  </si>
  <si>
    <t xml:space="preserve">Format</t>
  </si>
  <si>
    <t xml:space="preserve">Value date</t>
  </si>
  <si>
    <t xml:space="preserve">Records</t>
  </si>
  <si>
    <t xml:space="preserve">Total amount (INR)</t>
  </si>
  <si>
    <t xml:space="preserve">Reconciles to</t>
  </si>
  <si>
    <t xml:space="preserve">Variance</t>
  </si>
  <si>
    <t xml:space="preserve">BF-2026-08-0412</t>
  </si>
  <si>
    <t xml:space="preserve">HDFC Bank</t>
  </si>
  <si>
    <t xml:space="preserve">Corporate bulk payment, fixed width</t>
  </si>
  <si>
    <t xml:space="preserve">Released and acknowledged</t>
  </si>
  <si>
    <t xml:space="preserve">Salary payable credit on journal JV-2026-08-0441, line 10</t>
  </si>
  <si>
    <t xml:space="preserve">BF-2026-08-0188</t>
  </si>
  <si>
    <t xml:space="preserve">ICICI Bank</t>
  </si>
  <si>
    <t xml:space="preserve">Salary payable credit on the LE-02 August journal</t>
  </si>
  <si>
    <t xml:space="preserve">BF-2026-10-0096</t>
  </si>
  <si>
    <t xml:space="preserve">Not generated — run is in DRAFT</t>
  </si>
  <si>
    <t xml:space="preserve">Salary payable credit on journal JV-2026-10-0007, line 3</t>
  </si>
  <si>
    <t xml:space="preserve">Point 10 — a second file, a second value date, a week after the salary file</t>
  </si>
  <si>
    <t xml:space="preserve">BF-2026-09-0002</t>
  </si>
  <si>
    <t xml:space="preserve">Held — one of the two settlements is not cleared</t>
  </si>
  <si>
    <t xml:space="preserve">Full and final settlement for E1068; E1042 is excluded until his clearance closes</t>
  </si>
  <si>
    <t xml:space="preserve">Point 16 — the no-dues gate reaches the bank file, not just the screen</t>
  </si>
  <si>
    <t xml:space="preserve">ADDED v1.1 for form FRM-PAY-07. The last row is the one worth dwelling on: E1042's settlement is held at the clearance checklist and therefore never reaches the payment file at all. A no-dues process that only greys out a button on a screen is not a control; one that keeps the amount out of the bank file is.</t>
  </si>
  <si>
    <t xml:space="preserve">Settlement</t>
  </si>
  <si>
    <t xml:space="preserve">Notice required</t>
  </si>
  <si>
    <t xml:space="preserve">Completed years of service</t>
  </si>
  <si>
    <t xml:space="preserve">No dues status</t>
  </si>
  <si>
    <t xml:space="preserve">Component</t>
  </si>
  <si>
    <t xml:space="preserve">Amount (INR)</t>
  </si>
  <si>
    <t xml:space="preserve">Basis</t>
  </si>
  <si>
    <t xml:space="preserve">FF-2026-0021</t>
  </si>
  <si>
    <t xml:space="preserve">Cleared — all 6 lines</t>
  </si>
  <si>
    <t xml:space="preserve">September salary, 01 to 30 Sep</t>
  </si>
  <si>
    <t xml:space="preserve">Full month worked to the last working day</t>
  </si>
  <si>
    <t xml:space="preserve">15/26 of Basic plus DA, 43,120, for 7 completed years</t>
  </si>
  <si>
    <t xml:space="preserve">9.5 EL days at 1,658.46, the wage base divided by 26. The balance is the one in sheet 53 and includes the September accrual credited on the last working day.</t>
  </si>
  <si>
    <t xml:space="preserve">Points 7, 16</t>
  </si>
  <si>
    <t xml:space="preserve">30 days required and 30 served — nothing either way</t>
  </si>
  <si>
    <t xml:space="preserve">12% of the wage base</t>
  </si>
  <si>
    <t xml:space="preserve">Maharashtra, Chakan Works</t>
  </si>
  <si>
    <t xml:space="preserve">Asset recovery</t>
  </si>
  <si>
    <t xml:space="preserve">Laptop AST-L-0298 returned on 24 September in good condition</t>
  </si>
  <si>
    <t xml:space="preserve">Points 16, 23</t>
  </si>
  <si>
    <t xml:space="preserve">NET SETTLEMENT</t>
  </si>
  <si>
    <t xml:space="preserve">Net</t>
  </si>
  <si>
    <t xml:space="preserve">Released on the last working day, 30 September, in run PR-2026-09-03</t>
  </si>
  <si>
    <t xml:space="preserve">FF-2026-0018</t>
  </si>
  <si>
    <t xml:space="preserve">Held — 2 blocking lines open</t>
  </si>
  <si>
    <t xml:space="preserve">September salary, 01 to 18 Sep</t>
  </si>
  <si>
    <t xml:space="preserve">18 of 30 days</t>
  </si>
  <si>
    <t xml:space="preserve">Not payable. Four years of continuous service against the five-year qualifying period — put this next to E1068 above, because the rule is the same and the answer is opposite.</t>
  </si>
  <si>
    <t xml:space="preserve">6 EL days at 1,680, the wage base divided by 26</t>
  </si>
  <si>
    <t xml:space="preserve">12% of the prorated wage base</t>
  </si>
  <si>
    <t xml:space="preserve">Tool kit AST-T-0077 at 12,000 and locker key AST-K-0231 at 500, both still out. The figures come from the recovery value added to sheet 33 in v1.1, and the same two items are the blocking clearance lines in sheet 27.</t>
  </si>
  <si>
    <t xml:space="preserve">Computed but not released. Clear the tool kit and the knowledge transfer line in sheet 27, then release and watch it join the bank file.</t>
  </si>
  <si>
    <t xml:space="preserve">ADDED v1.1 for form FRM-PAY-08. v1.0 had the clearance checklist in sheet 27 and a settlement run in sheet 26, but nothing in between — no amounts, so the same-day settlement in demo point 16 could be described and not shown. Run the two side by side. E1068 clears and settles on his last working day, which is the promise. E1042 is computed to the rupee and held, and the 12,500 of unreturned assets only exists as a number because the checklist found them. The gratuity contrast between the two is worth naming out loud: seven years pays, four does not, and no one had to remember the rule.</t>
  </si>
  <si>
    <t xml:space="preserve">Candidate</t>
  </si>
  <si>
    <t xml:space="preserve">Referred by</t>
  </si>
  <si>
    <t xml:space="preserve">Stage</t>
  </si>
  <si>
    <t xml:space="preserve">Rounds completed</t>
  </si>
  <si>
    <t xml:space="preserve">Verdict</t>
  </si>
  <si>
    <t xml:space="preserve">Offer</t>
  </si>
  <si>
    <t xml:space="preserve">Offered CTC (INR pa)</t>
  </si>
  <si>
    <t xml:space="preserve">Offer status</t>
  </si>
  <si>
    <t xml:space="preserve">Proposed joining date</t>
  </si>
  <si>
    <t xml:space="preserve">Becomes employee</t>
  </si>
  <si>
    <t xml:space="preserve">CN-2026-0188</t>
  </si>
  <si>
    <t xml:space="preserve">Employee referral</t>
  </si>
  <si>
    <t xml:space="preserve">E1044 Rahul Gaikwad</t>
  </si>
  <si>
    <t xml:space="preserve">Joined</t>
  </si>
  <si>
    <t xml:space="preserve">Screening, Technical 1, HR</t>
  </si>
  <si>
    <t xml:space="preserve">Hire</t>
  </si>
  <si>
    <t xml:space="preserve">OF-2026-0066</t>
  </si>
  <si>
    <t xml:space="preserve">Accepted</t>
  </si>
  <si>
    <t xml:space="preserve">Points 19, 24 — referral through to a joiner against a replacement requisition</t>
  </si>
  <si>
    <t xml:space="preserve">CN-2026-0171</t>
  </si>
  <si>
    <t xml:space="preserve">E1019 Sneha Nair</t>
  </si>
  <si>
    <t xml:space="preserve">Screening, Technical 1, Technical 2, HR</t>
  </si>
  <si>
    <t xml:space="preserve">Strong hire</t>
  </si>
  <si>
    <t xml:space="preserve">OF-2026-0058</t>
  </si>
  <si>
    <t xml:space="preserve">Point 19 — the referral whose balance award matures on confirmation in February</t>
  </si>
  <si>
    <t xml:space="preserve">CN-2026-0204</t>
  </si>
  <si>
    <t xml:space="preserve">Girish Kamat</t>
  </si>
  <si>
    <t xml:space="preserve">Job portal</t>
  </si>
  <si>
    <t xml:space="preserve">Interview complete</t>
  </si>
  <si>
    <t xml:space="preserve">Screening, Technical 1</t>
  </si>
  <si>
    <t xml:space="preserve">Hold</t>
  </si>
  <si>
    <t xml:space="preserve">Point 24 — the open replacement against vacated position POS-2214, at panel round 2</t>
  </si>
  <si>
    <t xml:space="preserve">CN-2026-0206</t>
  </si>
  <si>
    <t xml:space="preserve">Sunil Marathe</t>
  </si>
  <si>
    <t xml:space="preserve">Recruitment agency</t>
  </si>
  <si>
    <t xml:space="preserve">Interview scheduled</t>
  </si>
  <si>
    <t xml:space="preserve">Screening</t>
  </si>
  <si>
    <t xml:space="preserve">CN-2026-0211</t>
  </si>
  <si>
    <t xml:space="preserve">Basanti Naik</t>
  </si>
  <si>
    <t xml:space="preserve">E1013 Tanvi Deshmukh</t>
  </si>
  <si>
    <t xml:space="preserve">Offered</t>
  </si>
  <si>
    <t xml:space="preserve">OF-2026-0071</t>
  </si>
  <si>
    <t xml:space="preserve">Points 19, 24, 25 — the candidate is ready but the requisition is blocked because Machining is at sanctioned strength. Show the offer held by a headcount control rather than by a hiring decision.</t>
  </si>
  <si>
    <t xml:space="preserve">CN-2026-0215</t>
  </si>
  <si>
    <t xml:space="preserve">Pooja Sawant</t>
  </si>
  <si>
    <t xml:space="preserve">Walk-in</t>
  </si>
  <si>
    <t xml:space="preserve">Screened</t>
  </si>
  <si>
    <t xml:space="preserve">CN-2026-0219</t>
  </si>
  <si>
    <t xml:space="preserve">Imtiaz Sayed</t>
  </si>
  <si>
    <t xml:space="preserve">OF-2026-0069</t>
  </si>
  <si>
    <t xml:space="preserve">Negotiating</t>
  </si>
  <si>
    <t xml:space="preserve">2026-10-12</t>
  </si>
  <si>
    <t xml:space="preserve">CN-2026-0222</t>
  </si>
  <si>
    <t xml:space="preserve">Kavitha Rajan</t>
  </si>
  <si>
    <t xml:space="preserve">Campus</t>
  </si>
  <si>
    <t xml:space="preserve">No hire</t>
  </si>
  <si>
    <t xml:space="preserve">Point 24 — rejection reason recorded so the requisition ageing is explainable</t>
  </si>
  <si>
    <t xml:space="preserve">ADDED v1.1 for forms FRM-TAL-02, TAL-03 and TAL-04. v1.0 had requisitions and referral awards but no candidates, so the two ends of the story were joined by nothing — "Open, panel round 2" on REQ-2026-0037 pointed at no one. CN-2026-0211 is the row worth opening: a candidate with an accepted verdict and an offer that cannot issue because sanctioned strength is full. That is demo point 25 arriving where it actually bites, at the offer, rather than as a number on a budget screen.</t>
  </si>
  <si>
    <t xml:space="preserve">Probation months</t>
  </si>
  <si>
    <t xml:space="preserve">Confirmation due</t>
  </si>
  <si>
    <t xml:space="preserve">Mandatory induction complete</t>
  </si>
  <si>
    <t xml:space="preserve">Manager recommendation</t>
  </si>
  <si>
    <t xml:space="preserve">Action</t>
  </si>
  <si>
    <t xml:space="preserve">Blocked by</t>
  </si>
  <si>
    <t xml:space="preserve">Letter issued</t>
  </si>
  <si>
    <t xml:space="preserve">CF-2026-0041</t>
  </si>
  <si>
    <t xml:space="preserve">2026-03-01</t>
  </si>
  <si>
    <t xml:space="preserve">Confirm</t>
  </si>
  <si>
    <t xml:space="preserve">Confirmed 2026-09-01</t>
  </si>
  <si>
    <t xml:space="preserve">CF-2026-0052</t>
  </si>
  <si>
    <t xml:space="preserve">Not due</t>
  </si>
  <si>
    <t xml:space="preserve">POSH awareness IND-2026-0090 is still in progress. Confirmation cannot be actioned while a mandatory induction item is open, whatever the manager recommends.</t>
  </si>
  <si>
    <t xml:space="preserve">CF-2026-0049</t>
  </si>
  <si>
    <t xml:space="preserve">Nothing blocking. Her referral award balance matures on this date, which is why the two records have to agree.</t>
  </si>
  <si>
    <t xml:space="preserve">Points 19, 23</t>
  </si>
  <si>
    <t xml:space="preserve">CF-2026-0047</t>
  </si>
  <si>
    <t xml:space="preserve">Pending HR action</t>
  </si>
  <si>
    <t xml:space="preserve">Point 7 — her six-month EL credit and her confirmation fall on the same day, from the same date of joining</t>
  </si>
  <si>
    <t xml:space="preserve">CF-2026-0038</t>
  </si>
  <si>
    <t xml:space="preserve">Extend probation</t>
  </si>
  <si>
    <t xml:space="preserve">Recommended for extension</t>
  </si>
  <si>
    <t xml:space="preserve">Performance below the line at the mid-probation review</t>
  </si>
  <si>
    <t xml:space="preserve">ADDED v1.1 for form FRM-LCY-02. This is the sheet that makes the second half of demo point 23 real: the acceptance test says confirmation must be blocked while a mandatory induction item is pending, and CF-2026-0052 is that case sitting live in the tenant. E1067 is worth naming too — the same date of joining drives her leave catch-up and her confirmation, and a product that derives both from one field is making a point about itself.</t>
  </si>
  <si>
    <t xml:space="preserve">Joining date</t>
  </si>
  <si>
    <t xml:space="preserve">Chain step</t>
  </si>
  <si>
    <t xml:space="preserve">Blocks joining</t>
  </si>
  <si>
    <t xml:space="preserve">PB-2026-0071</t>
  </si>
  <si>
    <t xml:space="preserve">Offer acceptance recorded</t>
  </si>
  <si>
    <t xml:space="preserve">Waiting on the requisition block</t>
  </si>
  <si>
    <t xml:space="preserve">Points 24, 25 — the chain cannot start while the requisition is held at sanctioned strength</t>
  </si>
  <si>
    <t xml:space="preserve">Document collection</t>
  </si>
  <si>
    <t xml:space="preserve">Medical fitness certificate</t>
  </si>
  <si>
    <t xml:space="preserve">Factory Act requirement, not an HR nicety</t>
  </si>
  <si>
    <t xml:space="preserve">Employee code and Form F generation</t>
  </si>
  <si>
    <t xml:space="preserve">Point 26 — Form F is produced inside this chain, not chased later. She is also the October joiner that proration rule PR-06 has no employee for: 1 CL and 1 SL on joining.</t>
  </si>
  <si>
    <t xml:space="preserve">PB-2026-0066</t>
  </si>
  <si>
    <t xml:space="preserve">Complete 2026-08-18</t>
  </si>
  <si>
    <t xml:space="preserve">Complete 2026-08-27</t>
  </si>
  <si>
    <t xml:space="preserve">Complete 2026-09-01 — FRM-F-2026-0112</t>
  </si>
  <si>
    <t xml:space="preserve">Induction path and asset allocation</t>
  </si>
  <si>
    <t xml:space="preserve">Complete 2026-09-01 — 3 assets issued</t>
  </si>
  <si>
    <t xml:space="preserve">New joiner announcement</t>
  </si>
  <si>
    <t xml:space="preserve">Complete — AN-2026-0091</t>
  </si>
  <si>
    <t xml:space="preserve">ADDED v1.1 for form FRM-LCY-01. Run the two candidates in parallel. Abhinav Rastogi is the completed chain, and every downstream record in the dataset — the Form F instance, the three assets, the induction items, the announcement, the appointment letter — was raised by a step in it rather than typed afterwards. Basanti Naik is the same chain stopped at step one by a headcount control, and she is also the October joiner that the proration table in sheet 16 had no record for.</t>
  </si>
  <si>
    <t xml:space="preserve">Document</t>
  </si>
  <si>
    <t xml:space="preserve">Document class</t>
  </si>
  <si>
    <t xml:space="preserve">Reference (masked)</t>
  </si>
  <si>
    <t xml:space="preserve">Uploaded on</t>
  </si>
  <si>
    <t xml:space="preserve">Verified by</t>
  </si>
  <si>
    <t xml:space="preserve">Verification status</t>
  </si>
  <si>
    <t xml:space="preserve">Blocks</t>
  </si>
  <si>
    <t xml:space="preserve">DOC-2026-1188</t>
  </si>
  <si>
    <t xml:space="preserve">Aadhaar</t>
  </si>
  <si>
    <t xml:space="preserve">XXXX XXXX 4417</t>
  </si>
  <si>
    <t xml:space="preserve">2026-08-27</t>
  </si>
  <si>
    <t xml:space="preserve">Verified</t>
  </si>
  <si>
    <t xml:space="preserve">Joining</t>
  </si>
  <si>
    <t xml:space="preserve">DOC-2026-1189</t>
  </si>
  <si>
    <t xml:space="preserve">XXXXX1194F</t>
  </si>
  <si>
    <t xml:space="preserve">Payroll — no TDS without it</t>
  </si>
  <si>
    <t xml:space="preserve">DOC-2026-1190</t>
  </si>
  <si>
    <t xml:space="preserve">MFC/PUN/2026/0881</t>
  </si>
  <si>
    <t xml:space="preserve">2026-08-29</t>
  </si>
  <si>
    <t xml:space="preserve">2027-08-29</t>
  </si>
  <si>
    <t xml:space="preserve">Joining at a factory establishment</t>
  </si>
  <si>
    <t xml:space="preserve">Points 23, 26</t>
  </si>
  <si>
    <t xml:space="preserve">DOC-2026-1191</t>
  </si>
  <si>
    <t xml:space="preserve">Previous employer</t>
  </si>
  <si>
    <t xml:space="preserve">2026-08-30</t>
  </si>
  <si>
    <t xml:space="preserve">DOC-2026-1204</t>
  </si>
  <si>
    <t xml:space="preserve">Contract / agreement</t>
  </si>
  <si>
    <t xml:space="preserve">VN-01 deployment letter</t>
  </si>
  <si>
    <t xml:space="preserve">2026-04-02</t>
  </si>
  <si>
    <t xml:space="preserve">Deployment at the establishment</t>
  </si>
  <si>
    <t xml:space="preserve">DOC-2026-1205</t>
  </si>
  <si>
    <t xml:space="preserve">MFC/BLR/2025/1902</t>
  </si>
  <si>
    <t xml:space="preserve">2025-09-14</t>
  </si>
  <si>
    <t xml:space="preserve">Deployment — expires 14 September, renewal not received</t>
  </si>
  <si>
    <t xml:space="preserve">Point 17 — a third-party worker whose fitness certificate lapses inside the demo window. The principal employer carries this, not the contractor.</t>
  </si>
  <si>
    <t xml:space="preserve">DOC-2026-1211</t>
  </si>
  <si>
    <t xml:space="preserve">Educational certificate</t>
  </si>
  <si>
    <t xml:space="preserve">Diploma, 2025</t>
  </si>
  <si>
    <t xml:space="preserve">Apprentice registration under NAPS</t>
  </si>
  <si>
    <t xml:space="preserve">ADDED v1.1 for form FRM-PPL-05. Identifiers are masked here and format-valid dummies in the tenant, per the rule in the README — never demo with a real Aadhaar or PAN. DOC-2026-1205 is the row to open on the compliance walk: a contractor's worker whose medical fitness certificate expires on 14 September, one day before the demo clock. The obligation is the principal employer's, which is exactly the argument for holding third-party workers in the same system as everyone else.</t>
  </si>
  <si>
    <t xml:space="preserve">Ticket</t>
  </si>
  <si>
    <t xml:space="preserve">Category</t>
  </si>
  <si>
    <t xml:space="preserve">Subject</t>
  </si>
  <si>
    <t xml:space="preserve">Priority</t>
  </si>
  <si>
    <t xml:space="preserve">SLA due</t>
  </si>
  <si>
    <t xml:space="preserve">Assigned to</t>
  </si>
  <si>
    <t xml:space="preserve">Resolution</t>
  </si>
  <si>
    <t xml:space="preserve">TK-2026-0912</t>
  </si>
  <si>
    <t xml:space="preserve">Attendance</t>
  </si>
  <si>
    <t xml:space="preserve">Half day marked on 10 September</t>
  </si>
  <si>
    <t xml:space="preserve">Normal</t>
  </si>
  <si>
    <t xml:space="preserve">Resolved</t>
  </si>
  <si>
    <t xml:space="preserve">Fourth late in the month beyond the 15-minute grace. The late history was shown from her own record and the half day stands.</t>
  </si>
  <si>
    <t xml:space="preserve">TK-2026-0918</t>
  </si>
  <si>
    <t xml:space="preserve">Payroll</t>
  </si>
  <si>
    <t xml:space="preserve">Comp-off credit from 31 May has disappeared</t>
  </si>
  <si>
    <t xml:space="preserve">2026-08-08</t>
  </si>
  <si>
    <t xml:space="preserve">It lapsed unconsumed on 30 July, 60 days from the credit date. The ledger movement and the lapse run reference were shown to him. This ticket is the argument for report RP-06, the expiry forecast.</t>
  </si>
  <si>
    <t xml:space="preserve">TK-2026-0925</t>
  </si>
  <si>
    <t xml:space="preserve">Third gate pass request rejected</t>
  </si>
  <si>
    <t xml:space="preserve">Low</t>
  </si>
  <si>
    <t xml:space="preserve">Four hours and two instances already used in September. The entitlement counter was shown against her record.</t>
  </si>
  <si>
    <t xml:space="preserve">TK-2026-0931</t>
  </si>
  <si>
    <t xml:space="preserve">Loan application rejected without explanation</t>
  </si>
  <si>
    <t xml:space="preserve">High</t>
  </si>
  <si>
    <t xml:space="preserve">He is an active guarantor on LN-2026-0041 and is therefore blocked from borrowing until that loan closes. The reason was in the rejection; the ticket exists because nobody had told him he was a guarantor.</t>
  </si>
  <si>
    <t xml:space="preserve">TK-2026-0940</t>
  </si>
  <si>
    <t xml:space="preserve">No weekly off shown for September</t>
  </si>
  <si>
    <t xml:space="preserve">Awaiting employee</t>
  </si>
  <si>
    <t xml:space="preserve">Working as configured — his worker class carries no rest day and he is paid on days present. Referred to HR as a policy question rather than closed as a defect.</t>
  </si>
  <si>
    <t xml:space="preserve">TK-2026-0944</t>
  </si>
  <si>
    <t xml:space="preserve">Payslip not visible to plant HR</t>
  </si>
  <si>
    <t xml:space="preserve">Working as configured. He is payrolled at head office, so plant roles cannot see compensation on his record.</t>
  </si>
  <si>
    <t xml:space="preserve">ADDED v1.1 for form FRM-SSV-01. Every ticket here is a question the demo itself raises, answered from the record rather than from a policy document — which is the only argument for a helpdesk sitting inside the HRMS instead of beside it. TK-2026-0918 is the best of them: a worker asking where his comp-off went, answered by a ledger movement with a lapse run reference against it.</t>
  </si>
  <si>
    <t xml:space="preserve">Workflow</t>
  </si>
  <si>
    <t xml:space="preserve">Chain</t>
  </si>
  <si>
    <t xml:space="preserve">Sequential or parallel</t>
  </si>
  <si>
    <t xml:space="preserve">Recorded per level</t>
  </si>
  <si>
    <t xml:space="preserve">Escalation</t>
  </si>
  <si>
    <t xml:space="preserve">Delegation allowed</t>
  </si>
  <si>
    <t xml:space="preserve">Return to applicant</t>
  </si>
  <si>
    <t xml:space="preserve">Live demo record</t>
  </si>
  <si>
    <t xml:space="preserve">W-01</t>
  </si>
  <si>
    <t xml:space="preserve">Leave application</t>
  </si>
  <si>
    <t xml:space="preserve">F-LVE-03 / FRM-LVE-02</t>
  </si>
  <si>
    <t xml:space="preserve">Supervisor → HOD → HR Head</t>
  </si>
  <si>
    <t xml:space="preserve">Sequential</t>
  </si>
  <si>
    <t xml:space="preserve">Actor, decision, timestamp, comment</t>
  </si>
  <si>
    <t xml:space="preserve">After 3 days to the next level</t>
  </si>
  <si>
    <t xml:space="preserve">HR Head only, with a reason</t>
  </si>
  <si>
    <t xml:space="preserve">LV-2026-0774 — E1039, then E1039 as HOD, then E1004 on 06 Sep</t>
  </si>
  <si>
    <t xml:space="preserve">W-02</t>
  </si>
  <si>
    <t xml:space="preserve">Leave early return</t>
  </si>
  <si>
    <t xml:space="preserve">F-LVE-04</t>
  </si>
  <si>
    <t xml:space="preserve">Single level</t>
  </si>
  <si>
    <t xml:space="preserve">Actor, decision, timestamp, days released</t>
  </si>
  <si>
    <t xml:space="preserve">LV-2026-0774 closed by E1006 on 14 Sep with 3 days credited back, and RG-2026-0214 written in the same commit</t>
  </si>
  <si>
    <t xml:space="preserve">W-03</t>
  </si>
  <si>
    <t xml:space="preserve">F-OTM-01</t>
  </si>
  <si>
    <t xml:space="preserve">Supervisor → HOD</t>
  </si>
  <si>
    <t xml:space="preserve">Actor, decision, timestamp, hours approved</t>
  </si>
  <si>
    <t xml:space="preserve">After 2 days</t>
  </si>
  <si>
    <t xml:space="preserve">OT-2026-0912 — E1017 approved 7h20m on 09 Sep</t>
  </si>
  <si>
    <t xml:space="preserve">W-04</t>
  </si>
  <si>
    <t xml:space="preserve">F-GPS-01</t>
  </si>
  <si>
    <t xml:space="preserve">Actor, decision, timestamp</t>
  </si>
  <si>
    <t xml:space="preserve">GP-2026-0163 rejected by E1024 on the monthly ceiling. The entitlement is checked at submission and again at approval, because another pass may have been approved in between.</t>
  </si>
  <si>
    <t xml:space="preserve">W-05</t>
  </si>
  <si>
    <t xml:space="preserve">Loan application</t>
  </si>
  <si>
    <t xml:space="preserve">F-LON-01</t>
  </si>
  <si>
    <t xml:space="preserve">HOD → HR Head → Finance</t>
  </si>
  <si>
    <t xml:space="preserve">Actor, decision, timestamp, eligibility snapshot</t>
  </si>
  <si>
    <t xml:space="preserve">After 5 days</t>
  </si>
  <si>
    <t xml:space="preserve">LN-APP-2026-0014 rejected at eligibility before the chain started</t>
  </si>
  <si>
    <t xml:space="preserve">W-06</t>
  </si>
  <si>
    <t xml:space="preserve">Loan special terms</t>
  </si>
  <si>
    <t xml:space="preserve">Inserted step, cannot be skipped</t>
  </si>
  <si>
    <t xml:space="preserve">Actor, decision, timestamp, override reason</t>
  </si>
  <si>
    <t xml:space="preserve">LN-2026-0012 — E1001 sanctioned 150,000 against an 86,000 ceiling as a recorded approval, not an edit</t>
  </si>
  <si>
    <t xml:space="preserve">W-07</t>
  </si>
  <si>
    <t xml:space="preserve">No dues clearance</t>
  </si>
  <si>
    <t xml:space="preserve">F-FNF-02</t>
  </si>
  <si>
    <t xml:space="preserve">One sign-off per department</t>
  </si>
  <si>
    <t xml:space="preserve">Parallel</t>
  </si>
  <si>
    <t xml:space="preserve">Actor, decision, timestamp, recovery amount, waiver reason</t>
  </si>
  <si>
    <t xml:space="preserve">After 5 days to HR</t>
  </si>
  <si>
    <t xml:space="preserve">E1042 — four cleared, two open, both blocking</t>
  </si>
  <si>
    <t xml:space="preserve">W-08</t>
  </si>
  <si>
    <t xml:space="preserve">Full and final settlement</t>
  </si>
  <si>
    <t xml:space="preserve">F-FNF-01</t>
  </si>
  <si>
    <t xml:space="preserve">HR Head → Finance</t>
  </si>
  <si>
    <t xml:space="preserve">FF-2026-0021 released on the last working day; FF-2026-0018 held</t>
  </si>
  <si>
    <t xml:space="preserve">W-09</t>
  </si>
  <si>
    <t xml:space="preserve">Manpower requisition</t>
  </si>
  <si>
    <t xml:space="preserve">F-REC-02</t>
  </si>
  <si>
    <t xml:space="preserve">HOD → HR Head, plus a level when sanction is exceeded</t>
  </si>
  <si>
    <t xml:space="preserve">Actor, decision, timestamp, sanction check result</t>
  </si>
  <si>
    <t xml:space="preserve">REQ-2026-0041 blocked at approval because Machining is at full sanction</t>
  </si>
  <si>
    <t xml:space="preserve">Points 24, 25</t>
  </si>
  <si>
    <t xml:space="preserve">W-10</t>
  </si>
  <si>
    <t xml:space="preserve">F-ATT-04</t>
  </si>
  <si>
    <t xml:space="preserve">Actor, decision, timestamp, original and corrected status</t>
  </si>
  <si>
    <t xml:space="preserve">After 3 days</t>
  </si>
  <si>
    <t xml:space="preserve">RG-2026-0220 rejected — a regularisation cannot create a rest-day entitlement the worker class does not carry</t>
  </si>
  <si>
    <t xml:space="preserve">ADDED v1.1, expanding sheet 07 of the build workbook into records that exist in this dataset. Two rows carry the weight. W-02 is a single approval level that must commit an attendance correction and a ledger credit together or not at all — show it and then show both records. W-06 is an approval that cannot be skipped and cannot be replaced by editing the amount, which is the difference between a policy and a control. W-10 was added beyond the build sheet's nine because regularisation is where most attendance rules quietly get bypassed.</t>
  </si>
  <si>
    <t xml:space="preserve">Enum code</t>
  </si>
  <si>
    <t xml:space="preserve">Enum name</t>
  </si>
  <si>
    <t xml:space="preserve">Module</t>
  </si>
  <si>
    <t xml:space="preserve">System or Config</t>
  </si>
  <si>
    <t xml:space="preserve">Complete value set</t>
  </si>
  <si>
    <t xml:space="preserve">Default in this tenant</t>
  </si>
  <si>
    <t xml:space="preserve">EN_EMPLOYMENT_CATEGORY</t>
  </si>
  <si>
    <t xml:space="preserve">EMP</t>
  </si>
  <si>
    <t xml:space="preserve">Config</t>
  </si>
  <si>
    <t xml:space="preserve">Permanent · Probation · Contractual · Third party · Trainee · Retainer</t>
  </si>
  <si>
    <t xml:space="preserve">R-03, R-04</t>
  </si>
  <si>
    <t xml:space="preserve">EN_EMPLOYMENT_SUBCATEGORY</t>
  </si>
  <si>
    <t xml:space="preserve">Employee · Helper · Supervisor · Skilled · Semi-skilled · Unskilled</t>
  </si>
  <si>
    <t xml:space="preserve">R-04</t>
  </si>
  <si>
    <t xml:space="preserve">EN_WAGE_BASIS</t>
  </si>
  <si>
    <t xml:space="preserve">Monthly · Daily · Hourly · Piece rate</t>
  </si>
  <si>
    <t xml:space="preserve">R-03</t>
  </si>
  <si>
    <t xml:space="preserve">EN_OT_ELIGIBILITY_BASIS</t>
  </si>
  <si>
    <t xml:space="preserve">All days · Rest days and holidays only · Holidays only · Not eligible</t>
  </si>
  <si>
    <t xml:space="preserve">R-05</t>
  </si>
  <si>
    <t xml:space="preserve">EN_TRAINEE_TYPE</t>
  </si>
  <si>
    <t xml:space="preserve">DET · GET · Apprentice · Intern</t>
  </si>
  <si>
    <t xml:space="preserve">R-08</t>
  </si>
  <si>
    <t xml:space="preserve">EN_DAY_STATUS</t>
  </si>
  <si>
    <t xml:space="preserve">Day status</t>
  </si>
  <si>
    <t xml:space="preserve">ATT</t>
  </si>
  <si>
    <t xml:space="preserve">Present · Half day · Absent · Weekly off · Holiday · On leave · On gate pass · Not processed</t>
  </si>
  <si>
    <t xml:space="preserve">R-13</t>
  </si>
  <si>
    <t xml:space="preserve">EN_DAY_TYPE</t>
  </si>
  <si>
    <t xml:space="preserve">Working day · Rest day · Holiday · National holiday</t>
  </si>
  <si>
    <t xml:space="preserve">Working day</t>
  </si>
  <si>
    <t xml:space="preserve">EN_BREAK_TYPE</t>
  </si>
  <si>
    <t xml:space="preserve">Meal · Personal · Gate pass · Shift break · Unclassified</t>
  </si>
  <si>
    <t xml:space="preserve">Unclassified</t>
  </si>
  <si>
    <t xml:space="preserve">R-01</t>
  </si>
  <si>
    <t xml:space="preserve">EN_LATE_CONSEQUENCE</t>
  </si>
  <si>
    <t xml:space="preserve">Late mark consequence</t>
  </si>
  <si>
    <t xml:space="preserve">Half day · Leave deduction · Warning only · No action</t>
  </si>
  <si>
    <t xml:space="preserve">EN_COUNTER_RESET</t>
  </si>
  <si>
    <t xml:space="preserve">Calendar month · Payroll month · Quarter · Year</t>
  </si>
  <si>
    <t xml:space="preserve">EN_LEAVE_APPROVAL_LEVEL</t>
  </si>
  <si>
    <t xml:space="preserve">Leave approval level</t>
  </si>
  <si>
    <t xml:space="preserve">LVE</t>
  </si>
  <si>
    <t xml:space="preserve">Supervisor · HOD · HR Head · Director</t>
  </si>
  <si>
    <t xml:space="preserve">Supervisor</t>
  </si>
  <si>
    <t xml:space="preserve">R-06</t>
  </si>
  <si>
    <t xml:space="preserve">EN_ACCRUAL_FREQUENCY</t>
  </si>
  <si>
    <t xml:space="preserve">Annual · Half yearly · Quarterly · Monthly · On earning</t>
  </si>
  <si>
    <t xml:space="preserve">EN_YEAR_END_TREATMENT</t>
  </si>
  <si>
    <t xml:space="preserve">Year end treatment</t>
  </si>
  <si>
    <t xml:space="preserve">Encash · Carry forward · Lapse · Carry forward with cap</t>
  </si>
  <si>
    <t xml:space="preserve">EN_LEAVE_DISPLAY_UNIT</t>
  </si>
  <si>
    <t xml:space="preserve">Leave display unit</t>
  </si>
  <si>
    <t xml:space="preserve">Days · Months</t>
  </si>
  <si>
    <t xml:space="preserve">EN_COFF_STATUS</t>
  </si>
  <si>
    <t xml:space="preserve">COFF status</t>
  </si>
  <si>
    <t xml:space="preserve">Available · Availed · Lapsed · Encashed</t>
  </si>
  <si>
    <t xml:space="preserve">Available</t>
  </si>
  <si>
    <t xml:space="preserve">R-07</t>
  </si>
  <si>
    <t xml:space="preserve">EN_EARLY_RETURN_ACTION</t>
  </si>
  <si>
    <t xml:space="preserve">Early return attendance action</t>
  </si>
  <si>
    <t xml:space="preserve">Mark present · Leave unchanged · Mark as on duty</t>
  </si>
  <si>
    <t xml:space="preserve">Mark present</t>
  </si>
  <si>
    <t xml:space="preserve">EN_RUN_MODE</t>
  </si>
  <si>
    <t xml:space="preserve">Processing run mode</t>
  </si>
  <si>
    <t xml:space="preserve">Preview · Commit · Rollback</t>
  </si>
  <si>
    <t xml:space="preserve">Preview</t>
  </si>
  <si>
    <t xml:space="preserve">EN_GATEPASS_TYPE</t>
  </si>
  <si>
    <t xml:space="preserve">Gate pass type</t>
  </si>
  <si>
    <t xml:space="preserve">GPS</t>
  </si>
  <si>
    <t xml:space="preserve">Personal · Official · Medical · Emergency</t>
  </si>
  <si>
    <t xml:space="preserve">R-12</t>
  </si>
  <si>
    <t xml:space="preserve">EN_GUARANTEE_STATUS</t>
  </si>
  <si>
    <t xml:space="preserve">Guarantee status</t>
  </si>
  <si>
    <t xml:space="preserve">LON</t>
  </si>
  <si>
    <t xml:space="preserve">Active · Released</t>
  </si>
  <si>
    <t xml:space="preserve">R-10</t>
  </si>
  <si>
    <t xml:space="preserve">EN_NO_DUES_STATUS</t>
  </si>
  <si>
    <t xml:space="preserve">FNF</t>
  </si>
  <si>
    <t xml:space="preserve">Pending · Cleared · Waived</t>
  </si>
  <si>
    <t xml:space="preserve">R-17</t>
  </si>
  <si>
    <t xml:space="preserve">EN_STATE_VARIANT</t>
  </si>
  <si>
    <t xml:space="preserve">Statutory state variant</t>
  </si>
  <si>
    <t xml:space="preserve">STA</t>
  </si>
  <si>
    <t xml:space="preserve">A jurisdiction pack per state, not a fixed list. Karnataka and Tamil Nadu are both seeded in this tenant.</t>
  </si>
  <si>
    <t xml:space="preserve">R-18, R-27</t>
  </si>
  <si>
    <t xml:space="preserve">EN_SCOPE_DIMENSION</t>
  </si>
  <si>
    <t xml:space="preserve">Data scope dimension</t>
  </si>
  <si>
    <t xml:space="preserve">SEC</t>
  </si>
  <si>
    <t xml:space="preserve">Attendance location · Payroll processing location · Department · Legal entity</t>
  </si>
  <si>
    <t xml:space="preserve">R-09</t>
  </si>
  <si>
    <t xml:space="preserve">EN_MASTER_OWNER</t>
  </si>
  <si>
    <t xml:space="preserve">Master owning system</t>
  </si>
  <si>
    <t xml:space="preserve">INT</t>
  </si>
  <si>
    <t xml:space="preserve">ERP · Nucleus · Both with field-level ownership</t>
  </si>
  <si>
    <t xml:space="preserve">R-15</t>
  </si>
  <si>
    <t xml:space="preserve">EN_SYNC_STATUS</t>
  </si>
  <si>
    <t xml:space="preserve">Sync status</t>
  </si>
  <si>
    <t xml:space="preserve">Success · Failed · Pending · Skipped</t>
  </si>
  <si>
    <t xml:space="preserve">EN_REQUISITION_REASON</t>
  </si>
  <si>
    <t xml:space="preserve">Requisition reason</t>
  </si>
  <si>
    <t xml:space="preserve">REC</t>
  </si>
  <si>
    <t xml:space="preserve">Replacement · New position · Temporary cover · Project</t>
  </si>
  <si>
    <t xml:space="preserve">R-25</t>
  </si>
  <si>
    <t xml:space="preserve">ADDED v1.1. These are the 25 value sets from sheet 06 of the build workbook, seeded so the demo tenant can be built without going back to the specification. Config sets are tenant-editable and System sets are not, and the difference is worth showing once: add a value to EN_BREAK_TYPE live and watch it appear on the break register, then try the same on EN_DAY_STATUS and find it refused.</t>
  </si>
  <si>
    <t xml:space="preserve">Picklist code</t>
  </si>
  <si>
    <t xml:space="preserve">Seeded by</t>
  </si>
  <si>
    <t xml:space="preserve">Values</t>
  </si>
  <si>
    <t xml:space="preserve">PL_ACCOMMODATION</t>
  </si>
  <si>
    <t xml:space="preserve">Accommodation type</t>
  </si>
  <si>
    <t xml:space="preserve">Own · Rented · Company provided · Parental · Hostel</t>
  </si>
  <si>
    <t xml:space="preserve">PL_ACCOUNT_TYPE</t>
  </si>
  <si>
    <t xml:space="preserve">Bank account type</t>
  </si>
  <si>
    <t xml:space="preserve">Savings · Current · Salary · NRE · NRO</t>
  </si>
  <si>
    <t xml:space="preserve">PL_ACCRUAL_DAY</t>
  </si>
  <si>
    <t xml:space="preserve">Accrual timing</t>
  </si>
  <si>
    <t xml:space="preserve">Period start · Period end</t>
  </si>
  <si>
    <t xml:space="preserve">PL_ACCRUAL_METHOD</t>
  </si>
  <si>
    <t xml:space="preserve">Accrual method</t>
  </si>
  <si>
    <t xml:space="preserve">Annual credit · Monthly accrual · Per days worked · No accrual (entitlement based)</t>
  </si>
  <si>
    <t xml:space="preserve">PL_ACTIVE_STATUS</t>
  </si>
  <si>
    <t xml:space="preserve">Record status</t>
  </si>
  <si>
    <t xml:space="preserve">Active · Inactive</t>
  </si>
  <si>
    <t xml:space="preserve">PL_ANNOUNCEMENT_CHANNEL</t>
  </si>
  <si>
    <t xml:space="preserve">Announcement channel</t>
  </si>
  <si>
    <t xml:space="preserve">Employee portal · Mobile push · Email · WhatsApp · Notice board display</t>
  </si>
  <si>
    <t xml:space="preserve">PL_ANNOUNCEMENT_TYPE</t>
  </si>
  <si>
    <t xml:space="preserve">Announcement type</t>
  </si>
  <si>
    <t xml:space="preserve">General · Policy · Emergency · Celebration · Statutory notice</t>
  </si>
  <si>
    <t xml:space="preserve">PL_APPROVAL_STATUS</t>
  </si>
  <si>
    <t xml:space="preserve">Draft · Pending approval · Approved · Rejected · Withdrawn</t>
  </si>
  <si>
    <t xml:space="preserve">PL_ASSET_CONDITION</t>
  </si>
  <si>
    <t xml:space="preserve">Asset condition at issue</t>
  </si>
  <si>
    <t xml:space="preserve">New · Good · Fair</t>
  </si>
  <si>
    <t xml:space="preserve">PL_ASSET_RETURN_CONDITION</t>
  </si>
  <si>
    <t xml:space="preserve">Asset condition at return</t>
  </si>
  <si>
    <t xml:space="preserve">Good · Damaged · Lost · Not returned</t>
  </si>
  <si>
    <t xml:space="preserve">PL_ASSET_TYPE</t>
  </si>
  <si>
    <t xml:space="preserve">Asset type</t>
  </si>
  <si>
    <t xml:space="preserve">Laptop · Desktop · Mobile phone · SIM card · Access card · Vehicle · Tool kit · Safety equipment · Uniform · Footwear · Locker key · Other</t>
  </si>
  <si>
    <t xml:space="preserve">PL_ASSIGNMENT_CHANGE</t>
  </si>
  <si>
    <t xml:space="preserve">Assignment change type</t>
  </si>
  <si>
    <t xml:space="preserve">New hire · Promotion · Transfer — location · Transfer — org unit · Redesignation · Worker class change · Manager change · Payroll group change · Data correction · Rehire</t>
  </si>
  <si>
    <t xml:space="preserve">PL_ATTENDANCE_MODE</t>
  </si>
  <si>
    <t xml:space="preserve">Attendance capture mode</t>
  </si>
  <si>
    <t xml:space="preserve">Biometric device · Mobile app · Kiosk · WhatsApp · Web · Exempt</t>
  </si>
  <si>
    <t xml:space="preserve">PL_ATTENDANCE_STATUS</t>
  </si>
  <si>
    <t xml:space="preserve">Attendance day status</t>
  </si>
  <si>
    <t xml:space="preserve">Present · Half day · Absent · Weekly off · Holiday · On leave · On duty · Work from home · Not scheduled</t>
  </si>
  <si>
    <t xml:space="preserve">PL_AUTH_METHOD</t>
  </si>
  <si>
    <t xml:space="preserve">Authentication method</t>
  </si>
  <si>
    <t xml:space="preserve">SSO (SAML) · SSO (OIDC) · Password · OTP · Biometric (device)</t>
  </si>
  <si>
    <t xml:space="preserve">PL_AWARD_CATEGORY</t>
  </si>
  <si>
    <t xml:space="preserve">Recognition category</t>
  </si>
  <si>
    <t xml:space="preserve">Star performer · Safety champion · Quality champion · Innovation · Long service · Team award · Customer delight · Spot award</t>
  </si>
  <si>
    <t xml:space="preserve">PL_BANK_FORMAT</t>
  </si>
  <si>
    <t xml:space="preserve">Bank file format</t>
  </si>
  <si>
    <t xml:space="preserve">HDFC ENet · ICICI CIB · SBI CINB · Axis Corporate · Kotak FYN · Yes Bank · NPCI NACH · Generic CSV</t>
  </si>
  <si>
    <t xml:space="preserve">PL_BLOOD_GROUP</t>
  </si>
  <si>
    <t xml:space="preserve">Blood group</t>
  </si>
  <si>
    <t xml:space="preserve">A+ · A- · B+ · B- · AB+ · AB- · O+ · O- · Not known</t>
  </si>
  <si>
    <t xml:space="preserve">PL_CALC_METHOD</t>
  </si>
  <si>
    <t xml:space="preserve">Calculation method</t>
  </si>
  <si>
    <t xml:space="preserve">Fixed amount · Percentage of component · Formula · Slab table · Attendance driven · Rate x quantity</t>
  </si>
  <si>
    <t xml:space="preserve">PL_CANDIDATE_STAGE</t>
  </si>
  <si>
    <t xml:space="preserve">Candidate stage</t>
  </si>
  <si>
    <t xml:space="preserve">Applied · Screened · Interview scheduled · Interview complete · Selected · Offered · Offer accepted · Joined · Rejected · Withdrawn · On hold</t>
  </si>
  <si>
    <t xml:space="preserve">PL_CAP_STATUS</t>
  </si>
  <si>
    <t xml:space="preserve">Statutory cap status</t>
  </si>
  <si>
    <t xml:space="preserve">Within limit · Approaching limit · Breach</t>
  </si>
  <si>
    <t xml:space="preserve">PL_CLAIM_TYPE</t>
  </si>
  <si>
    <t xml:space="preserve">Reimbursement claim type</t>
  </si>
  <si>
    <t xml:space="preserve">Fuel / conveyance · Telephone / internet · Medical · Books and periodicals · Travel · Relocation · Professional development · Meal · Other</t>
  </si>
  <si>
    <t xml:space="preserve">PL_CLEARANCE_ITEM_STATUS</t>
  </si>
  <si>
    <t xml:space="preserve">Clearance item status</t>
  </si>
  <si>
    <t xml:space="preserve">Open · Cleared · Waived</t>
  </si>
  <si>
    <t xml:space="preserve">PL_CLEARANCE_STATUS</t>
  </si>
  <si>
    <t xml:space="preserve">Clearance status</t>
  </si>
  <si>
    <t xml:space="preserve">Not started · In progress · Blocked · Cleared</t>
  </si>
  <si>
    <t xml:space="preserve">PL_COMPONENT_TYPE</t>
  </si>
  <si>
    <t xml:space="preserve">Pay component type</t>
  </si>
  <si>
    <t xml:space="preserve">Earning · Deduction · Employer contribution · Reimbursement · Information only</t>
  </si>
  <si>
    <t xml:space="preserve">PL_CONFIRMATION_ACTION</t>
  </si>
  <si>
    <t xml:space="preserve">Confirmation action</t>
  </si>
  <si>
    <t xml:space="preserve">Confirm · Extend probation · Terminate</t>
  </si>
  <si>
    <t xml:space="preserve">PL_CONFLICT_POLICY</t>
  </si>
  <si>
    <t xml:space="preserve">Conflict policy</t>
  </si>
  <si>
    <t xml:space="preserve">Owner wins · Hold for review · Latest wins</t>
  </si>
  <si>
    <t xml:space="preserve">PL_COUNTRY</t>
  </si>
  <si>
    <t xml:space="preserve">Country</t>
  </si>
  <si>
    <t xml:space="preserve">India · (full ISO 3166-1 list seeded at install)</t>
  </si>
  <si>
    <t xml:space="preserve">PL_CURRENCY</t>
  </si>
  <si>
    <t xml:space="preserve">Currency</t>
  </si>
  <si>
    <t xml:space="preserve">INR · USD · EUR · GBP · AED · SGD · (full ISO 4217 list seeded at install)</t>
  </si>
  <si>
    <t xml:space="preserve">PL_DAY_TYPE</t>
  </si>
  <si>
    <t xml:space="preserve">Working day · Weekly off / rest day · Holiday · National holiday</t>
  </si>
  <si>
    <t xml:space="preserve">PL_DECISION</t>
  </si>
  <si>
    <t xml:space="preserve">Approval decision</t>
  </si>
  <si>
    <t xml:space="preserve">Approve · Reject · Return for correction · Delegate</t>
  </si>
  <si>
    <t xml:space="preserve">PL_DECLARATION_STATUS</t>
  </si>
  <si>
    <t xml:space="preserve">Declaration status</t>
  </si>
  <si>
    <t xml:space="preserve">Draft · Submitted · Proof pending · Verified · Partially verified</t>
  </si>
  <si>
    <t xml:space="preserve">PL_DECLINE_REASON</t>
  </si>
  <si>
    <t xml:space="preserve">Offer decline reason</t>
  </si>
  <si>
    <t xml:space="preserve">Compensation · Counter offer accepted · Role mismatch · Location · Joining date · Family reasons · Other offer · Not disclosed</t>
  </si>
  <si>
    <t xml:space="preserve">PL_DISABILITY_TYPE</t>
  </si>
  <si>
    <t xml:space="preserve">Disability type</t>
  </si>
  <si>
    <t xml:space="preserve">Locomotor · Visual · Hearing · Speech · Intellectual · Multiple · Other</t>
  </si>
  <si>
    <t xml:space="preserve">PL_DOCUMENT_CLASS</t>
  </si>
  <si>
    <t xml:space="preserve">Aadhaar · PAN · Passport · Driving licence · Voter ID · Bank proof · Educational certificate · Experience letter · Relieving letter · Payslip (previous employer) · Medical fitness certificate · Disability certificate · Photograph · Signature · Police verification · Contract / agreement · Other</t>
  </si>
  <si>
    <t xml:space="preserve">PL_EDUCATION_LEVEL</t>
  </si>
  <si>
    <t xml:space="preserve">Qualification level</t>
  </si>
  <si>
    <t xml:space="preserve">Below 10th · 10th / SSLC · 12th / PUC · ITI · Diploma · Graduate · Post graduate · Doctorate · Professional certification</t>
  </si>
  <si>
    <t xml:space="preserve">PL_EMPLOYMENT_TYPE</t>
  </si>
  <si>
    <t xml:space="preserve">Employment type</t>
  </si>
  <si>
    <t xml:space="preserve">Permanent · Probation · Fixed term contract · Trainee · Apprentice (NAPS/NATS) · Intern · Retainer · Consultant · Contract (through vendor) · Part time</t>
  </si>
  <si>
    <t xml:space="preserve">PL_ENCASHMENT_BASIS</t>
  </si>
  <si>
    <t xml:space="preserve">Encashment rate basis</t>
  </si>
  <si>
    <t xml:space="preserve">Basic · Basic + DA · Gross</t>
  </si>
  <si>
    <t xml:space="preserve">PL_ENTITY_TYPE</t>
  </si>
  <si>
    <t xml:space="preserve">Legal entity type</t>
  </si>
  <si>
    <t xml:space="preserve">Private Limited · Public Limited · LLP · Partnership · Proprietorship · Society · Trust · Branch Office</t>
  </si>
  <si>
    <t xml:space="preserve">PL_ERP_SYSTEM</t>
  </si>
  <si>
    <t xml:space="preserve">ERP system</t>
  </si>
  <si>
    <t xml:space="preserve">SAP · Oracle · Microsoft Dynamics · Tally · Odoo · Custom / file based</t>
  </si>
  <si>
    <t xml:space="preserve">PL_ESTB_TYPE</t>
  </si>
  <si>
    <t xml:space="preserve">Factory · Shops &amp; Establishment · Mine · Plantation · Motor Transport · Construction · Beedi &amp; Cigar · Contract Establishment</t>
  </si>
  <si>
    <t xml:space="preserve">PL_EXCEPTION_ACTION</t>
  </si>
  <si>
    <t xml:space="preserve">Exception resolution action</t>
  </si>
  <si>
    <t xml:space="preserve">Accept proposal · Amend · Reject · Escalate</t>
  </si>
  <si>
    <t xml:space="preserve">PL_EXCEPTION_TYPE</t>
  </si>
  <si>
    <t xml:space="preserve">Attendance exception type</t>
  </si>
  <si>
    <t xml:space="preserve">Unpaired punch · Missing attendance day · Device failure · Shift inferred · Geofence breach · Duplicate punch · Punch outside roster · Late beyond allowance</t>
  </si>
  <si>
    <t xml:space="preserve">PL_EXEMPTION_SECTION</t>
  </si>
  <si>
    <t xml:space="preserve">Tax exemption section</t>
  </si>
  <si>
    <t xml:space="preserve">10(5) LTA · 10(13A) HRA · 10(14) special allowance · 16(ia) standard deduction · 16(ii) entertainment · 16(iii) professional tax · 17(2) perquisite · Not exempt</t>
  </si>
  <si>
    <t xml:space="preserve">PL_EXIT_REASON</t>
  </si>
  <si>
    <t xml:space="preserve">Exit reason category</t>
  </si>
  <si>
    <t xml:space="preserve">Better opportunity · Compensation · Career growth · Relocation · Higher studies · Personal / family · Health · Work environment · Manager relationship · Performance · Disciplinary · Not disclosed</t>
  </si>
  <si>
    <t xml:space="preserve">PL_EXIT_TYPE</t>
  </si>
  <si>
    <t xml:space="preserve">Exit type</t>
  </si>
  <si>
    <t xml:space="preserve">Resignation · Termination · Retirement · Contract end · Abandonment · Death in service · Redundancy</t>
  </si>
  <si>
    <t xml:space="preserve">PL_FIELD_OWNER</t>
  </si>
  <si>
    <t xml:space="preserve">Nucleus · ERP</t>
  </si>
  <si>
    <t xml:space="preserve">PL_FITNESS_STATUS</t>
  </si>
  <si>
    <t xml:space="preserve">Medical fitness status</t>
  </si>
  <si>
    <t xml:space="preserve">Fit · Fit with restriction · Unfit · Pending</t>
  </si>
  <si>
    <t xml:space="preserve">PL_FLAG_DISPOSITION</t>
  </si>
  <si>
    <t xml:space="preserve">Audit flag disposition</t>
  </si>
  <si>
    <t xml:space="preserve">Resolve · Waive · Escalate</t>
  </si>
  <si>
    <t xml:space="preserve">PL_FREQUENCY</t>
  </si>
  <si>
    <t xml:space="preserve">Frequency</t>
  </si>
  <si>
    <t xml:space="preserve">Monthly · Quarterly · Half-yearly · Annual · Event-based</t>
  </si>
  <si>
    <t xml:space="preserve">PL_GATE_PASS_TYPE</t>
  </si>
  <si>
    <t xml:space="preserve">Personal · Official</t>
  </si>
  <si>
    <t xml:space="preserve">PL_GENDER</t>
  </si>
  <si>
    <t xml:space="preserve">Male · Female · Other · Prefer not to say</t>
  </si>
  <si>
    <t xml:space="preserve">PL_GEOFENCE_RESULT</t>
  </si>
  <si>
    <t xml:space="preserve">Geofence result</t>
  </si>
  <si>
    <t xml:space="preserve">Inside · Outside · Unavailable</t>
  </si>
  <si>
    <t xml:space="preserve">PL_HALF_DAY_SESSION</t>
  </si>
  <si>
    <t xml:space="preserve">Half day session</t>
  </si>
  <si>
    <t xml:space="preserve">First half · Second half</t>
  </si>
  <si>
    <t xml:space="preserve">PL_INTERVIEW_MODE</t>
  </si>
  <si>
    <t xml:space="preserve">Interview mode</t>
  </si>
  <si>
    <t xml:space="preserve">In person · Video · Telephone</t>
  </si>
  <si>
    <t xml:space="preserve">PL_INTERVIEW_ROUND</t>
  </si>
  <si>
    <t xml:space="preserve">Interview round</t>
  </si>
  <si>
    <t xml:space="preserve">Screening · Technical 1 · Technical 2 · Functional · HR · Final / leadership</t>
  </si>
  <si>
    <t xml:space="preserve">PL_INTERVIEW_VERDICT</t>
  </si>
  <si>
    <t xml:space="preserve">Interview verdict</t>
  </si>
  <si>
    <t xml:space="preserve">Strong hire · Hire · Hold · No hire</t>
  </si>
  <si>
    <t xml:space="preserve">PL_LANGUAGE</t>
  </si>
  <si>
    <t xml:space="preserve">Language</t>
  </si>
  <si>
    <t xml:space="preserve">English · Hindi · Kannada · Tamil · Telugu · Malayalam · Marathi · Gujarati · Bengali · Odia · Punjabi · Assamese · Urdu · Other</t>
  </si>
  <si>
    <t xml:space="preserve">PL_LEAVE_TYPE</t>
  </si>
  <si>
    <t xml:space="preserve">Earned leave · Casual leave · Sick leave · Maternity leave · Paternity leave · Compensatory off · Leave without pay · Bereavement leave · Marriage leave · Birthday leave · Special leave</t>
  </si>
  <si>
    <t xml:space="preserve">PL_LEAVE_UNIT</t>
  </si>
  <si>
    <t xml:space="preserve">Leave unit</t>
  </si>
  <si>
    <t xml:space="preserve">Days · Hours</t>
  </si>
  <si>
    <t xml:space="preserve">PL_LETTER_TYPE</t>
  </si>
  <si>
    <t xml:space="preserve">Letter type</t>
  </si>
  <si>
    <t xml:space="preserve">Offer · Appointment · Confirmation · Salary revision · Promotion · Transfer · Warning · Show cause · Experience · Relieving · No objection certificate · Address proof · Bank introduction · Visa support</t>
  </si>
  <si>
    <t xml:space="preserve">PL_LOAN_PURPOSE</t>
  </si>
  <si>
    <t xml:space="preserve">Loan purpose</t>
  </si>
  <si>
    <t xml:space="preserve">Medical · Education · Housing · Marriage · Vehicle · Festival · Personal · Emergency</t>
  </si>
  <si>
    <t xml:space="preserve">PL_LOCATION_TYPE</t>
  </si>
  <si>
    <t xml:space="preserve">Location type</t>
  </si>
  <si>
    <t xml:space="preserve">Head office · Corporate office · Plant · Factory · Warehouse · Depot · Branch · Site · Project site · Retail outlet · Remote</t>
  </si>
  <si>
    <t xml:space="preserve">PL_MARITAL_STATUS</t>
  </si>
  <si>
    <t xml:space="preserve">Marital status</t>
  </si>
  <si>
    <t xml:space="preserve">Single · Married · Widowed · Divorced · Separated</t>
  </si>
  <si>
    <t xml:space="preserve">PL_MASTER_MODE</t>
  </si>
  <si>
    <t xml:space="preserve">Master data mode</t>
  </si>
  <si>
    <t xml:space="preserve">Nucleus owns · ERP owns · Co-owned</t>
  </si>
  <si>
    <t xml:space="preserve">PL_MATURITY_STATUS</t>
  </si>
  <si>
    <t xml:space="preserve">Referral award maturity</t>
  </si>
  <si>
    <t xml:space="preserve">Pending · Part matured · Fully matured · Forfeited</t>
  </si>
  <si>
    <t xml:space="preserve">PL_MONTH</t>
  </si>
  <si>
    <t xml:space="preserve">Month</t>
  </si>
  <si>
    <t xml:space="preserve">January · February · March · April · May · June · July · August · September · October · November · December</t>
  </si>
  <si>
    <t xml:space="preserve">PL_NATIONALITY</t>
  </si>
  <si>
    <t xml:space="preserve">Nationality</t>
  </si>
  <si>
    <t xml:space="preserve">Indian · (derived from the ISO 3166-1 country list)</t>
  </si>
  <si>
    <t xml:space="preserve">PL_NOMINEE_SCHEME</t>
  </si>
  <si>
    <t xml:space="preserve">Nominee scheme</t>
  </si>
  <si>
    <t xml:space="preserve">Provident fund · Gratuity · Group insurance · Superannuation · ESI dependant</t>
  </si>
  <si>
    <t xml:space="preserve">PL_OBLIGATION_STATUS</t>
  </si>
  <si>
    <t xml:space="preserve">Obligation status</t>
  </si>
  <si>
    <t xml:space="preserve">Open · In progress · Filed · Filed late · Not applicable</t>
  </si>
  <si>
    <t xml:space="preserve">PL_OFFER_RESPONSE</t>
  </si>
  <si>
    <t xml:space="preserve">Offer response</t>
  </si>
  <si>
    <t xml:space="preserve">Pending · Accepted · Declined · Negotiating · Lapsed</t>
  </si>
  <si>
    <t xml:space="preserve">PL_OT_BASIS</t>
  </si>
  <si>
    <t xml:space="preserve">Overtime basis</t>
  </si>
  <si>
    <t xml:space="preserve">Gross minutes · Net minutes</t>
  </si>
  <si>
    <t xml:space="preserve">PL_OT_ELIGIBILITY</t>
  </si>
  <si>
    <t xml:space="preserve">Always · Rest day and holiday only · Beyond weekly hours only · None</t>
  </si>
  <si>
    <t xml:space="preserve">PL_PAYMENT_MODE</t>
  </si>
  <si>
    <t xml:space="preserve">Payment mode</t>
  </si>
  <si>
    <t xml:space="preserve">Bank transfer (NEFT) · Bank transfer (IMPS) · Bank transfer (RTGS) · Cheque · Cash · Demand draft</t>
  </si>
  <si>
    <t xml:space="preserve">PL_PERSON_STATUS</t>
  </si>
  <si>
    <t xml:space="preserve">Person record status</t>
  </si>
  <si>
    <t xml:space="preserve">Draft · Active · Suspended · On notice · Exited</t>
  </si>
  <si>
    <t xml:space="preserve">PL_POSITION_STATUS</t>
  </si>
  <si>
    <t xml:space="preserve">Position status</t>
  </si>
  <si>
    <t xml:space="preserve">Vacant · Filled · Frozen · Abolished</t>
  </si>
  <si>
    <t xml:space="preserve">PL_PRINCIPAL_TYPE</t>
  </si>
  <si>
    <t xml:space="preserve">Principal type</t>
  </si>
  <si>
    <t xml:space="preserve">User · Service account · Agent</t>
  </si>
  <si>
    <t xml:space="preserve">PL_PRIORITY</t>
  </si>
  <si>
    <t xml:space="preserve">Low · Normal · High · Urgent</t>
  </si>
  <si>
    <t xml:space="preserve">PL_PROOF_STATUS</t>
  </si>
  <si>
    <t xml:space="preserve">Proof verification status</t>
  </si>
  <si>
    <t xml:space="preserve">Pending · Accepted · Rejected · Partially accepted</t>
  </si>
  <si>
    <t xml:space="preserve">PL_PRORATION_BASIS</t>
  </si>
  <si>
    <t xml:space="preserve">Calendar days · Payable days · Working days</t>
  </si>
  <si>
    <t xml:space="preserve">PL_PUBLISH_STATUS</t>
  </si>
  <si>
    <t xml:space="preserve">Roster publish status</t>
  </si>
  <si>
    <t xml:space="preserve">Draft · Published</t>
  </si>
  <si>
    <t xml:space="preserve">PL_PUNCH_DIRECTION</t>
  </si>
  <si>
    <t xml:space="preserve">Punch direction</t>
  </si>
  <si>
    <t xml:space="preserve">IN · OUT</t>
  </si>
  <si>
    <t xml:space="preserve">PL_PUNCH_SOURCE</t>
  </si>
  <si>
    <t xml:space="preserve">Punch source</t>
  </si>
  <si>
    <t xml:space="preserve">Biometric device · Mobile app · Kiosk · WhatsApp · Web · Manual (regularised)</t>
  </si>
  <si>
    <t xml:space="preserve">PL_RATING_SCALE</t>
  </si>
  <si>
    <t xml:space="preserve">Rating scale</t>
  </si>
  <si>
    <t xml:space="preserve">Outstanding · Exceeds expectations · Meets expectations · Needs improvement · Unsatisfactory</t>
  </si>
  <si>
    <t xml:space="preserve">PL_REFERRAL_RELATION</t>
  </si>
  <si>
    <t xml:space="preserve">Referrer relationship</t>
  </si>
  <si>
    <t xml:space="preserve">Former colleague · Friend · Relative · Academic contact · Professional network · Other</t>
  </si>
  <si>
    <t xml:space="preserve">PL_REGISTRATION_STATUS</t>
  </si>
  <si>
    <t xml:space="preserve">Statutory registration status</t>
  </si>
  <si>
    <t xml:space="preserve">Not required · Pending · Registered · Failed</t>
  </si>
  <si>
    <t xml:space="preserve">PL_REGULARISATION_TYPE</t>
  </si>
  <si>
    <t xml:space="preserve">Regularisation type</t>
  </si>
  <si>
    <t xml:space="preserve">Missing punch · Wrong shift applied · On duty · Work from home · Late waiver · Device failure</t>
  </si>
  <si>
    <t xml:space="preserve">PL_REHIRE_ELIGIBILITY</t>
  </si>
  <si>
    <t xml:space="preserve">Rehire eligibility</t>
  </si>
  <si>
    <t xml:space="preserve">Yes · No · With approval</t>
  </si>
  <si>
    <t xml:space="preserve">PL_REJECTION_REASON</t>
  </si>
  <si>
    <t xml:space="preserve">Candidate rejection reason</t>
  </si>
  <si>
    <t xml:space="preserve">Skill mismatch · Experience mismatch · Compensation mismatch · Location constraint · Notice period · Failed assessment · Background check · Position closed · Other</t>
  </si>
  <si>
    <t xml:space="preserve">PL_RELATION</t>
  </si>
  <si>
    <t xml:space="preserve">Relationship</t>
  </si>
  <si>
    <t xml:space="preserve">Spouse · Father · Mother · Son · Daughter · Brother · Sister · Father-in-law · Mother-in-law · Grandfather · Grandmother · Guardian · Friend · Other</t>
  </si>
  <si>
    <t xml:space="preserve">PL_RELEASE_CHANNEL</t>
  </si>
  <si>
    <t xml:space="preserve">Delivery channel</t>
  </si>
  <si>
    <t xml:space="preserve">Email · Employee portal · WhatsApp · Printed copy</t>
  </si>
  <si>
    <t xml:space="preserve">PL_RELIGION</t>
  </si>
  <si>
    <t xml:space="preserve">Religion</t>
  </si>
  <si>
    <t xml:space="preserve">Hindu · Muslim · Christian · Sikh · Buddhist · Jain · Parsi · Jewish · Other · Not disclosed</t>
  </si>
  <si>
    <t xml:space="preserve">PL_REQUISITION_TYPE</t>
  </si>
  <si>
    <t xml:space="preserve">Requisition type</t>
  </si>
  <si>
    <t xml:space="preserve">Replacement · Addition</t>
  </si>
  <si>
    <t xml:space="preserve">PL_REST_DAY_PATTERN</t>
  </si>
  <si>
    <t xml:space="preserve">Fixed weekly day · Two fixed days · Rotating · None</t>
  </si>
  <si>
    <t xml:space="preserve">PL_REVISION_TYPE</t>
  </si>
  <si>
    <t xml:space="preserve">Salary revision type</t>
  </si>
  <si>
    <t xml:space="preserve">Annual increment · Promotion · Market correction · Wage settlement · Data correction · Retention · Confirmation</t>
  </si>
  <si>
    <t xml:space="preserve">PL_ROLE</t>
  </si>
  <si>
    <t xml:space="preserve">Tenant admin · HR head · HR ops · HR business partner · Payroll manager · Payroll executive · Finance · Compliance owner · Compliance engineer · Implementation consultant · Plant HR · Supervisor · Manager · Employee · Security / gate · Admin / facilities · IT admin · Auditor (read only) · Director · Recruiter · Interviewer · Vendor coordinator</t>
  </si>
  <si>
    <t xml:space="preserve">PL_ROUNDING</t>
  </si>
  <si>
    <t xml:space="preserve">Rounding rule</t>
  </si>
  <si>
    <t xml:space="preserve">Nearest rupee · Round up · Round down · No rounding</t>
  </si>
  <si>
    <t xml:space="preserve">PL_RUN_STATE</t>
  </si>
  <si>
    <t xml:space="preserve">Payroll run state</t>
  </si>
  <si>
    <t xml:space="preserve">Draft · Inputs locked · Calculated · Audited · Approved · Disbursement prepared · Disbursed · Posted to GL · Closed</t>
  </si>
  <si>
    <t xml:space="preserve">PL_RUN_TYPE</t>
  </si>
  <si>
    <t xml:space="preserve">Payroll run type</t>
  </si>
  <si>
    <t xml:space="preserve">Regular · Off-cycle overtime · Arrears · Full and final · Bonus · Reimbursement</t>
  </si>
  <si>
    <t xml:space="preserve">PL_SALUTATION</t>
  </si>
  <si>
    <t xml:space="preserve">Salutation</t>
  </si>
  <si>
    <t xml:space="preserve">Mr. · Ms. · Mrs. · Dr. · Prof. · Shri · Smt.</t>
  </si>
  <si>
    <t xml:space="preserve">PL_SANDWICH_RULE</t>
  </si>
  <si>
    <t xml:space="preserve">Sandwich rule</t>
  </si>
  <si>
    <t xml:space="preserve">Exclude holidays and rest days · Include holidays · Include rest days · Include both</t>
  </si>
  <si>
    <t xml:space="preserve">PL_SETTLEMENT_STATUS</t>
  </si>
  <si>
    <t xml:space="preserve">Settlement status</t>
  </si>
  <si>
    <t xml:space="preserve">Draft · Computed · Approved · Paid · Recovery pending</t>
  </si>
  <si>
    <t xml:space="preserve">PL_SEVERITY</t>
  </si>
  <si>
    <t xml:space="preserve">Critical · Warning · Info</t>
  </si>
  <si>
    <t xml:space="preserve">PL_SOCIAL_CATEGORY</t>
  </si>
  <si>
    <t xml:space="preserve">Social category</t>
  </si>
  <si>
    <t xml:space="preserve">General · OBC · SC · ST · EWS · Not disclosed</t>
  </si>
  <si>
    <t xml:space="preserve">PL_SOURCE_CHANNEL</t>
  </si>
  <si>
    <t xml:space="preserve">Candidate source</t>
  </si>
  <si>
    <t xml:space="preserve">Employee referral · Job portal · Recruitment agency · Walk-in · Campus · Internal transfer · Social media · Direct application · Rehire</t>
  </si>
  <si>
    <t xml:space="preserve">PL_STATE</t>
  </si>
  <si>
    <t xml:space="preserve">Indian state / union territory</t>
  </si>
  <si>
    <t xml:space="preserve">Andhra Pradesh · Arunachal Pradesh · Assam · Bihar · Chhattisgarh · Goa · Gujarat · Haryana · Himachal Pradesh · Jharkhand · Karnataka · Kerala · Madhya Pradesh · Maharashtra · Manipur · Meghalaya · Mizoram · Nagaland · Odisha · Punjab · Rajasthan · Sikkim · Tamil Nadu · Telangana · Tripura · Uttar Pradesh · Uttarakhand · West Bengal · Andaman &amp; Nicobar Islands · Chandigarh · Dadra &amp; Nagar Haveli and Daman &amp; Diu · Delhi · Jammu &amp; Kashmir · Ladakh · Lakshadweep · Puducherry</t>
  </si>
  <si>
    <t xml:space="preserve">PL_SYNC_FREQUENCY</t>
  </si>
  <si>
    <t xml:space="preserve">Sync frequency</t>
  </si>
  <si>
    <t xml:space="preserve">Real time · Hourly · Daily · On demand</t>
  </si>
  <si>
    <t xml:space="preserve">PL_TASK_STATUS</t>
  </si>
  <si>
    <t xml:space="preserve">Task status</t>
  </si>
  <si>
    <t xml:space="preserve">Open · In progress · Done · Waived · Overdue</t>
  </si>
  <si>
    <t xml:space="preserve">PL_TAX_REGIME</t>
  </si>
  <si>
    <t xml:space="preserve">Tax regime</t>
  </si>
  <si>
    <t xml:space="preserve">Old regime · New regime</t>
  </si>
  <si>
    <t xml:space="preserve">PL_TEST_RESULT</t>
  </si>
  <si>
    <t xml:space="preserve">Compliance test result</t>
  </si>
  <si>
    <t xml:space="preserve">Pass · Fail</t>
  </si>
  <si>
    <t xml:space="preserve">PL_TICKET_CATEGORY</t>
  </si>
  <si>
    <t xml:space="preserve">Helpdesk category</t>
  </si>
  <si>
    <t xml:space="preserve">Payroll · Attendance · Leave · Documents · Statutory / PF / ESI · IT · Facilities · Transport · Canteen · Policy query · Grievance · Other</t>
  </si>
  <si>
    <t xml:space="preserve">PL_TICKET_STATUS</t>
  </si>
  <si>
    <t xml:space="preserve">Ticket status</t>
  </si>
  <si>
    <t xml:space="preserve">Open · In progress · Awaiting employee · Resolved · Closed · Reopened</t>
  </si>
  <si>
    <t xml:space="preserve">PL_TIMEZONE</t>
  </si>
  <si>
    <t xml:space="preserve">Time zone</t>
  </si>
  <si>
    <t xml:space="preserve">Asia/Kolkata · (full IANA tz database seeded at install)</t>
  </si>
  <si>
    <t xml:space="preserve">PL_UNMATCHED_ACTION</t>
  </si>
  <si>
    <t xml:space="preserve">Unmatched record action</t>
  </si>
  <si>
    <t xml:space="preserve">Hold · Create · Reject</t>
  </si>
  <si>
    <t xml:space="preserve">PL_VARIANCE_ACTION</t>
  </si>
  <si>
    <t xml:space="preserve">Invoice variance action</t>
  </si>
  <si>
    <t xml:space="preserve">Accept · Query · Reduce</t>
  </si>
  <si>
    <t xml:space="preserve">PL_VERIFICATION_STATUS</t>
  </si>
  <si>
    <t xml:space="preserve">Pending · Verified · Rejected</t>
  </si>
  <si>
    <t xml:space="preserve">PL_WAGE_TYPE</t>
  </si>
  <si>
    <t xml:space="preserve">Monthly · Daily · Hourly · Piece rate · Stipend · Retainer</t>
  </si>
  <si>
    <t xml:space="preserve">PL_WEEKDAY</t>
  </si>
  <si>
    <t xml:space="preserve">Day of week</t>
  </si>
  <si>
    <t xml:space="preserve">Monday · Tuesday · Wednesday · Thursday · Friday · Saturday · Sunday</t>
  </si>
  <si>
    <t xml:space="preserve">PL_WORKER_CLASS</t>
  </si>
  <si>
    <t xml:space="preserve">Staff — monthly · Staff — probation · Workman — permanent · Workman — badli / substitute · Workman — temporary · Contract labour · Apprentice · Trainee · Retainer / consultant</t>
  </si>
  <si>
    <t xml:space="preserve">ADDED v1.1. Carried across unchanged from sheet 03 of the Forms and Fields workbook so this dataset is self-sufficient — the demo tenant can be seeded from this one file. Config sets are tenant-editable, System sets are fixed. Where a set is marked as seeded at install (country, currency, time zone) only the head of the list is shown.</t>
  </si>
  <si>
    <t xml:space="preserve">Report</t>
  </si>
  <si>
    <t xml:space="preserve">Build action</t>
  </si>
  <si>
    <t xml:space="preserve">Sheets that feed it</t>
  </si>
  <si>
    <t xml:space="preserve">Filters to set in the demo</t>
  </si>
  <si>
    <t xml:space="preserve">RP-01</t>
  </si>
  <si>
    <t xml:space="preserve">Break register</t>
  </si>
  <si>
    <t xml:space="preserve">New</t>
  </si>
  <si>
    <t xml:space="preserve">49_Break_Register, 20_Punch_Events</t>
  </si>
  <si>
    <t xml:space="preserve">E1018, 08 September</t>
  </si>
  <si>
    <t xml:space="preserve">The 45-minute dinner break as its own row, and gate-to-gate hours unchanged at 19h20m</t>
  </si>
  <si>
    <t xml:space="preserve">RP-02</t>
  </si>
  <si>
    <t xml:space="preserve">Team attendance history</t>
  </si>
  <si>
    <t xml:space="preserve">R-02</t>
  </si>
  <si>
    <t xml:space="preserve">21_Expected_Attendance, 44_Demo_Users</t>
  </si>
  <si>
    <t xml:space="preserve">Signed in as E1017, 01 to 15 September, all reportees</t>
  </si>
  <si>
    <t xml:space="preserve">A range that crosses a month boundary, and a non-reportee that cannot be selected</t>
  </si>
  <si>
    <t xml:space="preserve">RP-03</t>
  </si>
  <si>
    <t xml:space="preserve">Daily attendance register</t>
  </si>
  <si>
    <t xml:space="preserve">R-01, R-13</t>
  </si>
  <si>
    <t xml:space="preserve">Edit existing</t>
  </si>
  <si>
    <t xml:space="preserve">21_Expected_Attendance, 52_Shift_Roster</t>
  </si>
  <si>
    <t xml:space="preserve">LOC-PLA, 01 to 15 September</t>
  </si>
  <si>
    <t xml:space="preserve">Detected shift shown beside rostered shift on E1020's 04 September row</t>
  </si>
  <si>
    <t xml:space="preserve">RP-04</t>
  </si>
  <si>
    <t xml:space="preserve">Overtime statement</t>
  </si>
  <si>
    <t xml:space="preserve">OTM</t>
  </si>
  <si>
    <t xml:space="preserve">R-01, R-05, R-11</t>
  </si>
  <si>
    <t xml:space="preserve">23_Overtime_Register, 55_Payroll_Register</t>
  </si>
  <si>
    <t xml:space="preserve">September OT period, LOC-PLA</t>
  </si>
  <si>
    <t xml:space="preserve">E1034's two rows — the same 12-hour span, one on a working day paying nothing and one on a rest day paying in full</t>
  </si>
  <si>
    <t xml:space="preserve">Points 4, 10</t>
  </si>
  <si>
    <t xml:space="preserve">RP-05</t>
  </si>
  <si>
    <t xml:space="preserve">Leave balance and ledger</t>
  </si>
  <si>
    <t xml:space="preserve">R-06, R-07, R-08</t>
  </si>
  <si>
    <t xml:space="preserve">53_Leave_Balance_AsOn, 17_Leave_Ledger</t>
  </si>
  <si>
    <t xml:space="preserve">As on 15 September, all employees</t>
  </si>
  <si>
    <t xml:space="preserve">Drill any closing balance to the movements behind it</t>
  </si>
  <si>
    <t xml:space="preserve">Points 5, 6, 7</t>
  </si>
  <si>
    <t xml:space="preserve">RP-06</t>
  </si>
  <si>
    <t xml:space="preserve">COFF expiry forecast</t>
  </si>
  <si>
    <t xml:space="preserve">19_CompOff_Ledger, 17_Leave_Ledger</t>
  </si>
  <si>
    <t xml:space="preserve">Expiring within 60 days</t>
  </si>
  <si>
    <t xml:space="preserve">E1028 holds two credits nine weeks apart. E1044's lapsed credit is the complaint this report prevents.</t>
  </si>
  <si>
    <t xml:space="preserve">RP-07</t>
  </si>
  <si>
    <t xml:space="preserve">Leave accrual audit</t>
  </si>
  <si>
    <t xml:space="preserve">15_Leave_Accrual_Policy, 16_Leave_Proration, 17_Leave_Ledger</t>
  </si>
  <si>
    <t xml:space="preserve">January to September 2026, all schemes</t>
  </si>
  <si>
    <t xml:space="preserve">Which rule credited what to whom. Walk E1069 and E1067 — same rule, six months apart.</t>
  </si>
  <si>
    <t xml:space="preserve">RP-08</t>
  </si>
  <si>
    <t xml:space="preserve">Year end encashment and lapse statement</t>
  </si>
  <si>
    <t xml:space="preserve">54_Year_End_Leave_Preview</t>
  </si>
  <si>
    <t xml:space="preserve">2026, run mode Preview</t>
  </si>
  <si>
    <t xml:space="preserve">Run Preview twice and show nothing changed</t>
  </si>
  <si>
    <t xml:space="preserve">RP-09</t>
  </si>
  <si>
    <t xml:space="preserve">Gate pass utilisation</t>
  </si>
  <si>
    <t xml:space="preserve">22_Gate_Pass</t>
  </si>
  <si>
    <t xml:space="preserve">September, LOC-PLA</t>
  </si>
  <si>
    <t xml:space="preserve">E1023 at 240 minutes and two instances, with the third request refused</t>
  </si>
  <si>
    <t xml:space="preserve">RP-10</t>
  </si>
  <si>
    <t xml:space="preserve">Loan and guarantor exposure</t>
  </si>
  <si>
    <t xml:space="preserve">As on 15 September</t>
  </si>
  <si>
    <t xml:space="preserve">Who guarantees whom, and who is therefore blocked. The interlock is invisible without this.</t>
  </si>
  <si>
    <t xml:space="preserve">RP-11</t>
  </si>
  <si>
    <t xml:space="preserve">27_Exit_Clearance, 58_FnF_Settlement</t>
  </si>
  <si>
    <t xml:space="preserve">Last working day within September</t>
  </si>
  <si>
    <t xml:space="preserve">E1042 held at two lines, with the 12,500 recovery already priced</t>
  </si>
  <si>
    <t xml:space="preserve">RP-12</t>
  </si>
  <si>
    <t xml:space="preserve">Statutory registers and returns</t>
  </si>
  <si>
    <t xml:space="preserve">R-18</t>
  </si>
  <si>
    <t xml:space="preserve">29_Statutory_Forms, 28_Statutory_Calendar</t>
  </si>
  <si>
    <t xml:space="preserve">September, LOC-PLA and then LOC-CHN</t>
  </si>
  <si>
    <t xml:space="preserve">The Karnataka and Tamil Nadu register sets are different</t>
  </si>
  <si>
    <t xml:space="preserve">RP-13</t>
  </si>
  <si>
    <t xml:space="preserve">Form F register</t>
  </si>
  <si>
    <t xml:space="preserve">R-27</t>
  </si>
  <si>
    <t xml:space="preserve">29_Statutory_Forms, 61_Preboarding_Chain</t>
  </si>
  <si>
    <t xml:space="preserve">LOC-PLA, joining dates in 2026</t>
  </si>
  <si>
    <t xml:space="preserve">A gapless serial per establishment</t>
  </si>
  <si>
    <t xml:space="preserve">RP-14</t>
  </si>
  <si>
    <t xml:space="preserve">Salary register</t>
  </si>
  <si>
    <t xml:space="preserve">PAY</t>
  </si>
  <si>
    <t xml:space="preserve">55_Payroll_Register, 43_Roles_and_Data_Scope</t>
  </si>
  <si>
    <t xml:space="preserve">September, run as U-001 and then as U-002</t>
  </si>
  <si>
    <t xml:space="preserve">The same register, two sign-ins, and E1056 missing from one of them</t>
  </si>
  <si>
    <t xml:space="preserve">RP-15</t>
  </si>
  <si>
    <t xml:space="preserve">Payroll posting log</t>
  </si>
  <si>
    <t xml:space="preserve">R-16</t>
  </si>
  <si>
    <t xml:space="preserve">56_GL_Journal, 35_GL_Mapping</t>
  </si>
  <si>
    <t xml:space="preserve">August 2026, all posting statuses</t>
  </si>
  <si>
    <t xml:space="preserve">The blocked run with GL-023 unmapped, then the balanced journal, then the re-run that creates no second posting</t>
  </si>
  <si>
    <t xml:space="preserve">RP-16</t>
  </si>
  <si>
    <t xml:space="preserve">Contractor reconciliation</t>
  </si>
  <si>
    <t xml:space="preserve">CTG</t>
  </si>
  <si>
    <t xml:space="preserve">New — added v1.1</t>
  </si>
  <si>
    <t xml:space="preserve">46_Contractor_Invoices, 21_Expected_Attendance</t>
  </si>
  <si>
    <t xml:space="preserve">VN-01, September</t>
  </si>
  <si>
    <t xml:space="preserve">Three claimed days with no attendance behind them, held rather than paid</t>
  </si>
  <si>
    <t xml:space="preserve">RP-17</t>
  </si>
  <si>
    <t xml:space="preserve">Attendance exception queue</t>
  </si>
  <si>
    <t xml:space="preserve">51_Attendance_Exceptions</t>
  </si>
  <si>
    <t xml:space="preserve">Open exceptions, all severities</t>
  </si>
  <si>
    <t xml:space="preserve">Three block payroll, one blocks a vendor payment, two resolve themselves. Run it before the payroll run.</t>
  </si>
  <si>
    <t xml:space="preserve">ADDED v1.1, expanding sheet 08 of the build workbook and naming the demo sheet behind each report. Fifteen reports come from the build sheet; RP-16 and RP-17 are added here because v1.1 introduced the data for them. Column F is the one to check before the demo: if a report has no sheet feeding it, there is nothing to show.</t>
  </si>
  <si>
    <t xml:space="preserve">Test</t>
  </si>
  <si>
    <t xml:space="preserve">Demo records to use</t>
  </si>
  <si>
    <t xml:space="preserve">Expected result</t>
  </si>
  <si>
    <t xml:space="preserve">Data readiness</t>
  </si>
  <si>
    <t xml:space="preserve">T-01</t>
  </si>
  <si>
    <t xml:space="preserve">Work session crossing midnight is one session</t>
  </si>
  <si>
    <t xml:space="preserve">E1018, 08 Sep — AD-00008, PE-00013 to PE-00016</t>
  </si>
  <si>
    <t xml:space="preserve">One record on 08 Sep. Gross 19:20, break 45, Present. 09 Sep is not absent.</t>
  </si>
  <si>
    <t xml:space="preserve">Ready</t>
  </si>
  <si>
    <t xml:space="preserve">T-02</t>
  </si>
  <si>
    <t xml:space="preserve">Break appears in the break register</t>
  </si>
  <si>
    <t xml:space="preserve">BR-0001 in 49_Break_Register</t>
  </si>
  <si>
    <t xml:space="preserve">20:30 to 21:15, 45 minutes, break type Meal</t>
  </si>
  <si>
    <t xml:space="preserve">Ready — sheet added v1.1</t>
  </si>
  <si>
    <t xml:space="preserve">T-03</t>
  </si>
  <si>
    <t xml:space="preserve">OT is computed on gross hours</t>
  </si>
  <si>
    <t xml:space="preserve">OT hours 7:20</t>
  </si>
  <si>
    <t xml:space="preserve">T-04</t>
  </si>
  <si>
    <t xml:space="preserve">OT suppressed on a working day for rest-day-only employees</t>
  </si>
  <si>
    <t xml:space="preserve">E1034 — OT-2026-0932 against OT-2026-0931</t>
  </si>
  <si>
    <t xml:space="preserve">Nil on 04 Sep, the whole span on 06 Sep</t>
  </si>
  <si>
    <t xml:space="preserve">T-05</t>
  </si>
  <si>
    <t xml:space="preserve">Team calendar range spans more than one month</t>
  </si>
  <si>
    <t xml:space="preserve">Sign in U-003 (E1017), 01 Jan to 15 Mar</t>
  </si>
  <si>
    <t xml:space="preserve">History for the full range; a non-reportee cannot be selected</t>
  </si>
  <si>
    <t xml:space="preserve">Ready — users added v1.1</t>
  </si>
  <si>
    <t xml:space="preserve">T-06</t>
  </si>
  <si>
    <t xml:space="preserve">Contractual employee gets no rest day</t>
  </si>
  <si>
    <t xml:space="preserve">E1032, 06 and 13 Sep — AD-00111 and AD-00118</t>
  </si>
  <si>
    <t xml:space="preserve">Both Sundays are Working. Paid on days present in 55_Payroll_Register.</t>
  </si>
  <si>
    <t xml:space="preserve">T-07</t>
  </si>
  <si>
    <t xml:space="preserve">Helper and Employee differ within the same third-party category</t>
  </si>
  <si>
    <t xml:space="preserve">E1034 (SUB-EMP) against E1036 (SUB-HLP), 06 Sep</t>
  </si>
  <si>
    <t xml:space="preserve">Weekly Off for one, Working for the other, resolved from 38_Employment_Categories</t>
  </si>
  <si>
    <t xml:space="preserve">T-08</t>
  </si>
  <si>
    <t xml:space="preserve">Early return credits the balance and marks present</t>
  </si>
  <si>
    <t xml:space="preserve">LV-2026-0774, LL-0011, LL-0012, RG-2026-0214</t>
  </si>
  <si>
    <t xml:space="preserve">Three days credited back and 14 to 16 Sep marked present, in one commit</t>
  </si>
  <si>
    <t xml:space="preserve">Ready — regularisation added v1.1</t>
  </si>
  <si>
    <t xml:space="preserve">T-09</t>
  </si>
  <si>
    <t xml:space="preserve">Three-level approval is enforced</t>
  </si>
  <si>
    <t xml:space="preserve">LV-2026-0774, workflow W-01</t>
  </si>
  <si>
    <t xml:space="preserve">Supervisor, HOD then HR Head, each with actor and timestamp; out-of-order approval refused</t>
  </si>
  <si>
    <t xml:space="preserve">T-10</t>
  </si>
  <si>
    <t xml:space="preserve">COFF lapses on schedule</t>
  </si>
  <si>
    <t xml:space="preserve">CO-2026-0198 and LL-0045</t>
  </si>
  <si>
    <t xml:space="preserve">Status Lapsed on 30 Jul with a ledger movement naming the lapse run, and the balance falls</t>
  </si>
  <si>
    <t xml:space="preserve">Ready — the ledger movement was missing in v1.0</t>
  </si>
  <si>
    <t xml:space="preserve">T-11</t>
  </si>
  <si>
    <t xml:space="preserve">Senior grade annual credit</t>
  </si>
  <si>
    <t xml:space="preserve">E1004 — LL-0001 to LL-0003</t>
  </si>
  <si>
    <t xml:space="preserve">18 EL, 6 CL and 6 SL in one movement</t>
  </si>
  <si>
    <t xml:space="preserve">T-12</t>
  </si>
  <si>
    <t xml:space="preserve">Monthly EL accrual for other employees</t>
  </si>
  <si>
    <t xml:space="preserve">E1019 — LL-0007</t>
  </si>
  <si>
    <t xml:space="preserve">1.5 a month, 18 across the year</t>
  </si>
  <si>
    <t xml:space="preserve">T-13</t>
  </si>
  <si>
    <t xml:space="preserve">New joiner EL hold and catch-up</t>
  </si>
  <si>
    <t xml:space="preserve">E1069 (already past it) and E1067 (lands 16 Sep)</t>
  </si>
  <si>
    <t xml:space="preserve">No EL for six months, then a single 9-day credit</t>
  </si>
  <si>
    <t xml:space="preserve">Ready — E1069 added v1.1</t>
  </si>
  <si>
    <t xml:space="preserve">T-14</t>
  </si>
  <si>
    <t xml:space="preserve">New joiner CL and SL proration</t>
  </si>
  <si>
    <t xml:space="preserve">E1069 Jan, E1067 Mar, E1060 Apr, E1030 Jul, E1065 Aug</t>
  </si>
  <si>
    <t xml:space="preserve">6, 5, 4, 3 and 2 days. December onwards awaits open question Q-02.</t>
  </si>
  <si>
    <t xml:space="preserve">Ready — the January rung and two corrected examples were added in v1.1</t>
  </si>
  <si>
    <t xml:space="preserve">T-15</t>
  </si>
  <si>
    <t xml:space="preserve">CL cannot be combined with EL or SL</t>
  </si>
  <si>
    <t xml:space="preserve">LV-2026-0802 for the single application; run the two-application case live</t>
  </si>
  <si>
    <t xml:space="preserve">Both blocked, including where the two types are applied for separately</t>
  </si>
  <si>
    <t xml:space="preserve">Partly ready — the contiguous-absence case has no stored record and must be created live</t>
  </si>
  <si>
    <t xml:space="preserve">T-16</t>
  </si>
  <si>
    <t xml:space="preserve">Monthly caps hold</t>
  </si>
  <si>
    <t xml:space="preserve">Blocked at the eleventh EL day</t>
  </si>
  <si>
    <t xml:space="preserve">T-17</t>
  </si>
  <si>
    <t xml:space="preserve">Year end encashes EL and lapses CL and SL</t>
  </si>
  <si>
    <t xml:space="preserve">Preview and Commit report identical figures</t>
  </si>
  <si>
    <t xml:space="preserve">T-18</t>
  </si>
  <si>
    <t xml:space="preserve">Plant user cannot see head office salary</t>
  </si>
  <si>
    <t xml:space="preserve">U-001 against U-002, on E1056</t>
  </si>
  <si>
    <t xml:space="preserve">Attendance visible, salary and rate structure not, in screen, report, export and API</t>
  </si>
  <si>
    <t xml:space="preserve">Ready — roles and users added v1.1; this test could not be run from v1.0 at all</t>
  </si>
  <si>
    <t xml:space="preserve">T-19</t>
  </si>
  <si>
    <t xml:space="preserve">Second loan blocked until repayment</t>
  </si>
  <si>
    <t xml:space="preserve">LN-APP-2026-0019 and LN-2026-0041</t>
  </si>
  <si>
    <t xml:space="preserve">Both the loan and the advance blocked, and both clear when the first closes</t>
  </si>
  <si>
    <t xml:space="preserve">T-20</t>
  </si>
  <si>
    <t xml:space="preserve">Guarantor interlock works both ways</t>
  </si>
  <si>
    <t xml:space="preserve">LN-APP-2026-0014, E1041; released case LN-2025-0112</t>
  </si>
  <si>
    <t xml:space="preserve">Blocked both ways, cleared on full repayment</t>
  </si>
  <si>
    <t xml:space="preserve">T-21</t>
  </si>
  <si>
    <t xml:space="preserve">Loan ceiling by service</t>
  </si>
  <si>
    <t xml:space="preserve">E1044 at 4x and E1056 at 6x on 8 years</t>
  </si>
  <si>
    <t xml:space="preserve">Ceilings computed from basic and continuous service; exceeding either needs a recorded Director approval</t>
  </si>
  <si>
    <t xml:space="preserve">Ready — continuous service years added to the employee record in v1.1</t>
  </si>
  <si>
    <t xml:space="preserve">T-22</t>
  </si>
  <si>
    <t xml:space="preserve">R-11</t>
  </si>
  <si>
    <t xml:space="preserve">OT cannot be paid with salary</t>
  </si>
  <si>
    <t xml:space="preserve">PR-2026-09-01 and PR-2026-09-02, plus 57_Bank_File</t>
  </si>
  <si>
    <t xml:space="preserve">The OT run refuses to execute before the salary run closes, then posts and pays separately</t>
  </si>
  <si>
    <t xml:space="preserve">Ready — the second journal and bank file were added in v1.1</t>
  </si>
  <si>
    <t xml:space="preserve">T-23</t>
  </si>
  <si>
    <t xml:space="preserve">Gate pass entitlement and credit</t>
  </si>
  <si>
    <t xml:space="preserve">GP-2026-0141, 0155 and 0163</t>
  </si>
  <si>
    <t xml:space="preserve">The third is blocked; approved hours are credited back so net hours are unchanged</t>
  </si>
  <si>
    <t xml:space="preserve">T-24</t>
  </si>
  <si>
    <t xml:space="preserve">Shift thresholds produce the right day status</t>
  </si>
  <si>
    <t xml:space="preserve">E1022 02 and 09 Sep; E1041 on the 10-hour shift</t>
  </si>
  <si>
    <t xml:space="preserve">Present, Half day and Absent against each shift length</t>
  </si>
  <si>
    <t xml:space="preserve">T-25</t>
  </si>
  <si>
    <t xml:space="preserve">Grace, late count and grade exemption</t>
  </si>
  <si>
    <t xml:space="preserve">E1019 (rank 35) against E1021 (rank 55), same month</t>
  </si>
  <si>
    <t xml:space="preserve">The fourth late is a half day for one and nothing for the other; the counter resets on the first</t>
  </si>
  <si>
    <t xml:space="preserve">Ready — E1021 had no attendance in v1.0, so half of this test could not be run</t>
  </si>
  <si>
    <t xml:space="preserve">T-26</t>
  </si>
  <si>
    <t xml:space="preserve">Night extension gives a full day</t>
  </si>
  <si>
    <t xml:space="preserve">E1018, 09 Sep — AD-00009</t>
  </si>
  <si>
    <t xml:space="preserve">Full day after a 03:20 finish, no late mark, no grace deduction</t>
  </si>
  <si>
    <t xml:space="preserve">T-27</t>
  </si>
  <si>
    <t xml:space="preserve">R-14</t>
  </si>
  <si>
    <t xml:space="preserve">Shift detected from the in-punch</t>
  </si>
  <si>
    <t xml:space="preserve">E1020, 04 and 11 Sep, against roster RS-2026-W36-03</t>
  </si>
  <si>
    <t xml:space="preserve">Processed on SH-B, the override recorded, the roster unchanged</t>
  </si>
  <si>
    <t xml:space="preserve">Ready — roster added v1.1</t>
  </si>
  <si>
    <t xml:space="preserve">T-28</t>
  </si>
  <si>
    <t xml:space="preserve">Employee master sync and failure handling</t>
  </si>
  <si>
    <t xml:space="preserve">Batch ERP-SYNC-2026-09-14, SY-0001 to SY-0008</t>
  </si>
  <si>
    <t xml:space="preserve">Clean upserts applied, conflicts held, unmatched and duplicate rejected with reasons</t>
  </si>
  <si>
    <t xml:space="preserve">T-29</t>
  </si>
  <si>
    <t xml:space="preserve">Payroll posting is idempotent</t>
  </si>
  <si>
    <t xml:space="preserve">JV-2026-08-0441 against PR-2026-08-01</t>
  </si>
  <si>
    <t xml:space="preserve">Debits equal credits at 31,720,000; the re-run creates no second posting</t>
  </si>
  <si>
    <t xml:space="preserve">Ready — the journal was added in v1.1 and needed two new GL accounts to balance</t>
  </si>
  <si>
    <t xml:space="preserve">T-30</t>
  </si>
  <si>
    <t xml:space="preserve">No dues gates the settlement, and the save defect is gone</t>
  </si>
  <si>
    <t xml:space="preserve">E1042 (held) and E1068 (released)</t>
  </si>
  <si>
    <t xml:space="preserve">Release blocked while any line is Pending; the record saves without error at every step</t>
  </si>
  <si>
    <t xml:space="preserve">Ready — settlement amounts added v1.1. The save defect itself is a code fix, not a data item.</t>
  </si>
  <si>
    <t xml:space="preserve">T-31</t>
  </si>
  <si>
    <t xml:space="preserve">Form F generates from the employee record</t>
  </si>
  <si>
    <t xml:space="preserve">FRM-F-2026-0112 for E1066, via PB-2026-0066</t>
  </si>
  <si>
    <t xml:space="preserve">Populated from the record, correct state variant, gapless serial</t>
  </si>
  <si>
    <t xml:space="preserve">Ready — the joining chain was added in v1.1</t>
  </si>
  <si>
    <t xml:space="preserve">T-32</t>
  </si>
  <si>
    <t xml:space="preserve">Statutory forms generate in the right state variant</t>
  </si>
  <si>
    <t xml:space="preserve">FRM-36-2026-H1 against FRM-36-2026-H1T</t>
  </si>
  <si>
    <t xml:space="preserve">Different form sets for Karnataka and Tamil Nadu, generated from live data</t>
  </si>
  <si>
    <t xml:space="preserve">T-33</t>
  </si>
  <si>
    <t xml:space="preserve">R-19</t>
  </si>
  <si>
    <t xml:space="preserve">Star employee flows through to the announcement</t>
  </si>
  <si>
    <t xml:space="preserve">RC-2026-Q2-004 and AN-2026-0089</t>
  </si>
  <si>
    <t xml:space="preserve">Selection raises the announcement with no second manual step</t>
  </si>
  <si>
    <t xml:space="preserve">T-34</t>
  </si>
  <si>
    <t xml:space="preserve">R-20</t>
  </si>
  <si>
    <t xml:space="preserve">Referral award reaches payroll</t>
  </si>
  <si>
    <t xml:space="preserve">RF-2026-0021 and 0021B, candidate CN-2026-0171, confirmation CF-2026-0049</t>
  </si>
  <si>
    <t xml:space="preserve">The award appears as a payroll input in a named run; the balance matures on confirmation</t>
  </si>
  <si>
    <t xml:space="preserve">Ready — the candidate and the confirmation record were added in v1.1</t>
  </si>
  <si>
    <t xml:space="preserve">T-35</t>
  </si>
  <si>
    <t xml:space="preserve">R-21</t>
  </si>
  <si>
    <t xml:space="preserve">Birthday and new joiner announcements raise themselves</t>
  </si>
  <si>
    <t xml:space="preserve">AN-2026-0088 and AN-2026-0091</t>
  </si>
  <si>
    <t xml:space="preserve">Both appear without anyone typing them, scoped to the configured audience</t>
  </si>
  <si>
    <t xml:space="preserve">T-36</t>
  </si>
  <si>
    <t xml:space="preserve">R-22</t>
  </si>
  <si>
    <t xml:space="preserve">Letter issues from a template and is reproducible</t>
  </si>
  <si>
    <t xml:space="preserve">LTR-2026-0341 against TPL-APPT-02 v2.1</t>
  </si>
  <si>
    <t xml:space="preserve">Reproduces exactly as sent; a bad merge field fails on save, not at issue</t>
  </si>
  <si>
    <t xml:space="preserve">T-37</t>
  </si>
  <si>
    <t xml:space="preserve">R-23</t>
  </si>
  <si>
    <t xml:space="preserve">Organisation chart follows the employee record</t>
  </si>
  <si>
    <t xml:space="preserve">E1017 and his six reportees</t>
  </si>
  <si>
    <t xml:space="preserve">The chart reflects a manager change with no separate hierarchy to maintain</t>
  </si>
  <si>
    <t xml:space="preserve">T-38</t>
  </si>
  <si>
    <t xml:space="preserve">R-24</t>
  </si>
  <si>
    <t xml:space="preserve">Induction and asset issue gate confirmation</t>
  </si>
  <si>
    <t xml:space="preserve">E1066 — IND-2026-0090 open, CF-2026-0052 blocked</t>
  </si>
  <si>
    <t xml:space="preserve">Confirmation blocked; issued assets reappear at F&amp;F with their recovery value</t>
  </si>
  <si>
    <t xml:space="preserve">Ready — the confirmation record and the asset recovery value were added in v1.1</t>
  </si>
  <si>
    <t xml:space="preserve">T-39</t>
  </si>
  <si>
    <t xml:space="preserve">Replacement does not add headcount</t>
  </si>
  <si>
    <t xml:space="preserve">REQ-2026-0037 against vacated POS-2214</t>
  </si>
  <si>
    <t xml:space="preserve">Departmental headcount unchanged; an addition increases it</t>
  </si>
  <si>
    <t xml:space="preserve">T-40</t>
  </si>
  <si>
    <t xml:space="preserve">R-26</t>
  </si>
  <si>
    <t xml:space="preserve">Requisition beyond sanctioned strength is stopped</t>
  </si>
  <si>
    <t xml:space="preserve">REQ-2026-0041, plus offer OF-2026-0071 held</t>
  </si>
  <si>
    <t xml:space="preserve">Blocked or escalated, never a warning that passes. The held offer shows where it bites.</t>
  </si>
  <si>
    <t xml:space="preserve">Ready — the candidate and offer were added in v1.1</t>
  </si>
  <si>
    <t xml:space="preserve">ADDED v1.1. All forty acceptance tests from sheet 10 of the build workbook, each bound to the records in this dataset that prove it. Work the last column before anything else: against v1.0, tests T-02, T-05, T-07, T-13, T-17, T-18, T-22, T-25, T-27, T-29, T-31, T-34, T-38 and T-40 had no data behind them and could not have been run. T-15 is still only partly ready — the contiguous-absence case has to be created live, which is worth doing in front of the client because it is the case most products fail.</t>
  </si>
  <si>
    <t xml:space="preserve">Form ID</t>
  </si>
  <si>
    <t xml:space="preserve">Form or screen</t>
  </si>
  <si>
    <t xml:space="preserve">Specified in</t>
  </si>
  <si>
    <t xml:space="preserve">Demo sheet that supplies the data</t>
  </si>
  <si>
    <t xml:space="preserve">FRM-PLT-01</t>
  </si>
  <si>
    <t xml:space="preserve">Legal Entity Master</t>
  </si>
  <si>
    <t xml:space="preserve">PLT</t>
  </si>
  <si>
    <t xml:space="preserve">Forms</t>
  </si>
  <si>
    <t xml:space="preserve">02_Legal_Entities</t>
  </si>
  <si>
    <t xml:space="preserve">Covered in v1.0</t>
  </si>
  <si>
    <t xml:space="preserve">FRM-PLT-02</t>
  </si>
  <si>
    <t xml:space="preserve">Location / Work Site Master</t>
  </si>
  <si>
    <t xml:space="preserve">03_Locations</t>
  </si>
  <si>
    <t xml:space="preserve">FRM-PLT-03</t>
  </si>
  <si>
    <t xml:space="preserve">User, Role and Scope Grant</t>
  </si>
  <si>
    <t xml:space="preserve">43_Roles_and_Data_Scope, 44_Demo_Users</t>
  </si>
  <si>
    <t xml:space="preserve">ADDED in v1.1</t>
  </si>
  <si>
    <t xml:space="preserve">FRM-PPL-01</t>
  </si>
  <si>
    <t xml:space="preserve">Add / Edit Employee — Identity and Personal</t>
  </si>
  <si>
    <t xml:space="preserve">PPL</t>
  </si>
  <si>
    <t xml:space="preserve">12_Employees</t>
  </si>
  <si>
    <t xml:space="preserve">FRM-PPL-02</t>
  </si>
  <si>
    <t xml:space="preserve">Employment, Assignment and Policy</t>
  </si>
  <si>
    <t xml:space="preserve">12_Employees columns V to AQ</t>
  </si>
  <si>
    <t xml:space="preserve">EXTENDED in v1.1</t>
  </si>
  <si>
    <t xml:space="preserve">FRM-PPL-03</t>
  </si>
  <si>
    <t xml:space="preserve">Position Master</t>
  </si>
  <si>
    <t xml:space="preserve">11_Positions</t>
  </si>
  <si>
    <t xml:space="preserve">FRM-PPL-04</t>
  </si>
  <si>
    <t xml:space="preserve">Sanctioned Strength</t>
  </si>
  <si>
    <t xml:space="preserve">FRM-PPL-05</t>
  </si>
  <si>
    <t xml:space="preserve">Document Upload and Verification</t>
  </si>
  <si>
    <t xml:space="preserve">62_Documents</t>
  </si>
  <si>
    <t xml:space="preserve">FRM-PPL-06</t>
  </si>
  <si>
    <t xml:space="preserve">Asset Allocation and Return</t>
  </si>
  <si>
    <t xml:space="preserve">33_Assets</t>
  </si>
  <si>
    <t xml:space="preserve">EXTENDED in v1.1 — recovery value</t>
  </si>
  <si>
    <t xml:space="preserve">FRM-TIM-01</t>
  </si>
  <si>
    <t xml:space="preserve">Shift Master</t>
  </si>
  <si>
    <t xml:space="preserve">TIM</t>
  </si>
  <si>
    <t xml:space="preserve">07_Shifts</t>
  </si>
  <si>
    <t xml:space="preserve">EXTENDED in v1.1 — thresholds on the shift</t>
  </si>
  <si>
    <t xml:space="preserve">FRM-TIM-02</t>
  </si>
  <si>
    <t xml:space="preserve">Roster / Shift Schedule</t>
  </si>
  <si>
    <t xml:space="preserve">52_Shift_Roster</t>
  </si>
  <si>
    <t xml:space="preserve">FRM-TIM-03</t>
  </si>
  <si>
    <t xml:space="preserve">Check In / Check Out</t>
  </si>
  <si>
    <t xml:space="preserve">20_Punch_Events</t>
  </si>
  <si>
    <t xml:space="preserve">EXTENDED in v1.1 — E1021</t>
  </si>
  <si>
    <t xml:space="preserve">FRM-TIM-04</t>
  </si>
  <si>
    <t xml:space="preserve">Attendance Day Detail and Override</t>
  </si>
  <si>
    <t xml:space="preserve">FRM-TIM-05</t>
  </si>
  <si>
    <t xml:space="preserve">Attendance Regularisation Request</t>
  </si>
  <si>
    <t xml:space="preserve">50_Attendance_Regularisation</t>
  </si>
  <si>
    <t xml:space="preserve">FRM-TIM-06</t>
  </si>
  <si>
    <t xml:space="preserve">Gate Pass</t>
  </si>
  <si>
    <t xml:space="preserve">FRM-TIM-07</t>
  </si>
  <si>
    <t xml:space="preserve">Overtime Register and Approval</t>
  </si>
  <si>
    <t xml:space="preserve">23_Overtime_Register</t>
  </si>
  <si>
    <t xml:space="preserve">FRM-TIM-08</t>
  </si>
  <si>
    <t xml:space="preserve">Attendance Exception Resolution</t>
  </si>
  <si>
    <t xml:space="preserve">FRM-LVE-01</t>
  </si>
  <si>
    <t xml:space="preserve">Leave Type Configuration</t>
  </si>
  <si>
    <t xml:space="preserve">14_Leave_Types, 40_Leave_Rules_Matrix</t>
  </si>
  <si>
    <t xml:space="preserve">FRM-LVE-02</t>
  </si>
  <si>
    <t xml:space="preserve">Apply for Leave</t>
  </si>
  <si>
    <t xml:space="preserve">18_Leave_Requests</t>
  </si>
  <si>
    <t xml:space="preserve">FRM-LVE-03</t>
  </si>
  <si>
    <t xml:space="preserve">Compensatory Off Claim</t>
  </si>
  <si>
    <t xml:space="preserve">FRM-LVE-04</t>
  </si>
  <si>
    <t xml:space="preserve">Leave Encashment Request</t>
  </si>
  <si>
    <t xml:space="preserve">54_Year_End_Leave_Preview, 58_FnF_Settlement</t>
  </si>
  <si>
    <t xml:space="preserve">FRM-PAY-01</t>
  </si>
  <si>
    <t xml:space="preserve">Pay Component Master</t>
  </si>
  <si>
    <t xml:space="preserve">47_Pay_Components</t>
  </si>
  <si>
    <t xml:space="preserve">FRM-PAY-02</t>
  </si>
  <si>
    <t xml:space="preserve">Salary Structure</t>
  </si>
  <si>
    <t xml:space="preserve">13_Salary_Structure</t>
  </si>
  <si>
    <t xml:space="preserve">FRM-PAY-03</t>
  </si>
  <si>
    <t xml:space="preserve">Payroll Run</t>
  </si>
  <si>
    <t xml:space="preserve">26_Payroll_Runs, 55_Payroll_Register</t>
  </si>
  <si>
    <t xml:space="preserve">FRM-PAY-04</t>
  </si>
  <si>
    <t xml:space="preserve">Pre-Payroll Audit Resolution</t>
  </si>
  <si>
    <t xml:space="preserve">FRM-PAY-05</t>
  </si>
  <si>
    <t xml:space="preserve">Investment Declaration and Tax</t>
  </si>
  <si>
    <t xml:space="preserve">Not supplied</t>
  </si>
  <si>
    <t xml:space="preserve">Out of scope — no demo point touches investment declarations. Flag it if the client raises tax.</t>
  </si>
  <si>
    <t xml:space="preserve">FRM-PAY-06</t>
  </si>
  <si>
    <t xml:space="preserve">Reimbursement Claim</t>
  </si>
  <si>
    <t xml:space="preserve">Out of scope — no demo point touches reimbursements</t>
  </si>
  <si>
    <t xml:space="preserve">FRM-PAY-07</t>
  </si>
  <si>
    <t xml:space="preserve">Disbursement and Bank File</t>
  </si>
  <si>
    <t xml:space="preserve">57_Bank_File</t>
  </si>
  <si>
    <t xml:space="preserve">FRM-PAY-08</t>
  </si>
  <si>
    <t xml:space="preserve">Full and Final Settlement</t>
  </si>
  <si>
    <t xml:space="preserve">58_FnF_Settlement</t>
  </si>
  <si>
    <t xml:space="preserve">FRM-CMB-01</t>
  </si>
  <si>
    <t xml:space="preserve">Loan Application</t>
  </si>
  <si>
    <t xml:space="preserve">CMB</t>
  </si>
  <si>
    <t xml:space="preserve">FRM-CMB-02</t>
  </si>
  <si>
    <t xml:space="preserve">Salary Advance Request</t>
  </si>
  <si>
    <t xml:space="preserve">24_Loans — LN-APP-2026-0019</t>
  </si>
  <si>
    <t xml:space="preserve">FRM-TAL-01</t>
  </si>
  <si>
    <t xml:space="preserve">Manpower Requisition</t>
  </si>
  <si>
    <t xml:space="preserve">TAL</t>
  </si>
  <si>
    <t xml:space="preserve">37_Requisitions</t>
  </si>
  <si>
    <t xml:space="preserve">FRM-TAL-02</t>
  </si>
  <si>
    <t xml:space="preserve">Candidate Record and Application</t>
  </si>
  <si>
    <t xml:space="preserve">FRM-TAL-03</t>
  </si>
  <si>
    <t xml:space="preserve">Interview Feedback</t>
  </si>
  <si>
    <t xml:space="preserve">ADDED in v1.1 — summary level only</t>
  </si>
  <si>
    <t xml:space="preserve">FRM-TAL-04</t>
  </si>
  <si>
    <t xml:space="preserve">FRM-TAL-05</t>
  </si>
  <si>
    <t xml:space="preserve">Employee Referral</t>
  </si>
  <si>
    <t xml:space="preserve">FRM-LCY-01</t>
  </si>
  <si>
    <t xml:space="preserve">Pre-boarding and Joining Chain</t>
  </si>
  <si>
    <t xml:space="preserve">LCY</t>
  </si>
  <si>
    <t xml:space="preserve">FRM-LCY-02</t>
  </si>
  <si>
    <t xml:space="preserve">Confirmation</t>
  </si>
  <si>
    <t xml:space="preserve">60_Confirmations</t>
  </si>
  <si>
    <t xml:space="preserve">FRM-LCY-03</t>
  </si>
  <si>
    <t xml:space="preserve">Resignation and Exit</t>
  </si>
  <si>
    <t xml:space="preserve">FRM-LCY-04</t>
  </si>
  <si>
    <t xml:space="preserve">Exit Clearance</t>
  </si>
  <si>
    <t xml:space="preserve">FRM-EXP-01</t>
  </si>
  <si>
    <t xml:space="preserve">Letter Generation</t>
  </si>
  <si>
    <t xml:space="preserve">EXP</t>
  </si>
  <si>
    <t xml:space="preserve">FRM-EXP-02</t>
  </si>
  <si>
    <t xml:space="preserve">Recognition Nomination</t>
  </si>
  <si>
    <t xml:space="preserve">FRM-EXP-03</t>
  </si>
  <si>
    <t xml:space="preserve">Announcement</t>
  </si>
  <si>
    <t xml:space="preserve">FRM-SSV-01</t>
  </si>
  <si>
    <t xml:space="preserve">Helpdesk Ticket</t>
  </si>
  <si>
    <t xml:space="preserve">SSV</t>
  </si>
  <si>
    <t xml:space="preserve">63_Helpdesk_Tickets</t>
  </si>
  <si>
    <t xml:space="preserve">FRM-CMP-01</t>
  </si>
  <si>
    <t xml:space="preserve">Obligation Calendar Entry</t>
  </si>
  <si>
    <t xml:space="preserve">CMP</t>
  </si>
  <si>
    <t xml:space="preserve">28_Statutory_Calendar</t>
  </si>
  <si>
    <t xml:space="preserve">FRM-CTG-01</t>
  </si>
  <si>
    <t xml:space="preserve">Contractor Engagement</t>
  </si>
  <si>
    <t xml:space="preserve">45_Vendors_Contractors</t>
  </si>
  <si>
    <t xml:space="preserve">FRM-CTG-02</t>
  </si>
  <si>
    <t xml:space="preserve">Contractor Invoice Reconciliation</t>
  </si>
  <si>
    <t xml:space="preserve">46_Contractor_Invoices</t>
  </si>
  <si>
    <t xml:space="preserve">FRM-FIN-01</t>
  </si>
  <si>
    <t xml:space="preserve">GL Mapping</t>
  </si>
  <si>
    <t xml:space="preserve">FIN</t>
  </si>
  <si>
    <t xml:space="preserve">35_GL_Mapping</t>
  </si>
  <si>
    <t xml:space="preserve">EXTENDED in v1.1 — four missing accounts</t>
  </si>
  <si>
    <t xml:space="preserve">FRM-FIN-02</t>
  </si>
  <si>
    <t xml:space="preserve">ERP Integration and Field Ownership</t>
  </si>
  <si>
    <t xml:space="preserve">F-EMP-01</t>
  </si>
  <si>
    <t xml:space="preserve">Employee Master</t>
  </si>
  <si>
    <t xml:space="preserve">Build</t>
  </si>
  <si>
    <t xml:space="preserve">ADDED in v1.1 — 22 policy columns</t>
  </si>
  <si>
    <t xml:space="preserve">F-EMP-02</t>
  </si>
  <si>
    <t xml:space="preserve">Employment Category &amp; Sub-category Master</t>
  </si>
  <si>
    <t xml:space="preserve">38_Employment_Categories</t>
  </si>
  <si>
    <t xml:space="preserve">F-EMP-03</t>
  </si>
  <si>
    <t xml:space="preserve">Leave Scheme Master</t>
  </si>
  <si>
    <t xml:space="preserve">39_Leave_Schemes, 40_Leave_Rules_Matrix</t>
  </si>
  <si>
    <t xml:space="preserve">F-EMP-04</t>
  </si>
  <si>
    <t xml:space="preserve">Designation &amp; Grade Master</t>
  </si>
  <si>
    <t xml:space="preserve">05_Designations</t>
  </si>
  <si>
    <t xml:space="preserve">EXTENDED in v1.1 — grade rank</t>
  </si>
  <si>
    <t xml:space="preserve">F-ATT-01</t>
  </si>
  <si>
    <t xml:space="preserve">Daily Attendance Processing</t>
  </si>
  <si>
    <t xml:space="preserve">F-ATT-02</t>
  </si>
  <si>
    <t xml:space="preserve">Punch Register</t>
  </si>
  <si>
    <t xml:space="preserve">F-ATT-03</t>
  </si>
  <si>
    <t xml:space="preserve">Break Register</t>
  </si>
  <si>
    <t xml:space="preserve">49_Break_Register</t>
  </si>
  <si>
    <t xml:space="preserve">Attendance Regularisation</t>
  </si>
  <si>
    <t xml:space="preserve">F-ATT-05</t>
  </si>
  <si>
    <t xml:space="preserve">Team Calendar</t>
  </si>
  <si>
    <t xml:space="preserve">F-ATT-06</t>
  </si>
  <si>
    <t xml:space="preserve">Grace &amp; Late Policy Setup</t>
  </si>
  <si>
    <t xml:space="preserve">41_Grace_Late_Policy</t>
  </si>
  <si>
    <t xml:space="preserve">F-SHF-01</t>
  </si>
  <si>
    <t xml:space="preserve">SHF</t>
  </si>
  <si>
    <t xml:space="preserve">F-SHF-02</t>
  </si>
  <si>
    <t xml:space="preserve">Shift Roster</t>
  </si>
  <si>
    <t xml:space="preserve">F-SHF-03</t>
  </si>
  <si>
    <t xml:space="preserve">Night Extension Rule Setup</t>
  </si>
  <si>
    <t xml:space="preserve">42_Night_Extension_Rule</t>
  </si>
  <si>
    <t xml:space="preserve">F-LVE-01</t>
  </si>
  <si>
    <t xml:space="preserve">Leave Type Master</t>
  </si>
  <si>
    <t xml:space="preserve">14_Leave_Types</t>
  </si>
  <si>
    <t xml:space="preserve">F-LVE-02</t>
  </si>
  <si>
    <t xml:space="preserve">Leave Accrual Rule Setup</t>
  </si>
  <si>
    <t xml:space="preserve">15_Leave_Accrual_Policy, 16_Leave_Proration</t>
  </si>
  <si>
    <t xml:space="preserve">EXTENDED in v1.1 — scheme link, caps, corrected examples</t>
  </si>
  <si>
    <t xml:space="preserve">F-LVE-03</t>
  </si>
  <si>
    <t xml:space="preserve">Leave Application</t>
  </si>
  <si>
    <t xml:space="preserve">Leave Cancellation &amp; Early Return</t>
  </si>
  <si>
    <t xml:space="preserve">18_Leave_Requests, 50_Attendance_Regularisation</t>
  </si>
  <si>
    <t xml:space="preserve">EXTENDED in v1.1 — the attendance half of the action</t>
  </si>
  <si>
    <t xml:space="preserve">F-LVE-05</t>
  </si>
  <si>
    <t xml:space="preserve">Leave Balance &amp; Ledger</t>
  </si>
  <si>
    <t xml:space="preserve">ADDED in v1.1 — and the ledger reconciled</t>
  </si>
  <si>
    <t xml:space="preserve">F-LVE-06</t>
  </si>
  <si>
    <t xml:space="preserve">COFF Register</t>
  </si>
  <si>
    <t xml:space="preserve">F-LVE-07</t>
  </si>
  <si>
    <t xml:space="preserve">Year End Leave Processing</t>
  </si>
  <si>
    <t xml:space="preserve">OT Computation &amp; Approval</t>
  </si>
  <si>
    <t xml:space="preserve">F-OTM-02</t>
  </si>
  <si>
    <t xml:space="preserve">OT Payment Run</t>
  </si>
  <si>
    <t xml:space="preserve">26_Payroll_Runs, 55_Payroll_Register, 57_Bank_File</t>
  </si>
  <si>
    <t xml:space="preserve">Gate Pass Request</t>
  </si>
  <si>
    <t xml:space="preserve">F-PAY-01</t>
  </si>
  <si>
    <t xml:space="preserve">F-PAY-02</t>
  </si>
  <si>
    <t xml:space="preserve">55_Payroll_Register</t>
  </si>
  <si>
    <t xml:space="preserve">24_Loans</t>
  </si>
  <si>
    <t xml:space="preserve">F-LON-02</t>
  </si>
  <si>
    <t xml:space="preserve">Guarantor Register</t>
  </si>
  <si>
    <t xml:space="preserve">25_Loan_Guarantors</t>
  </si>
  <si>
    <t xml:space="preserve">F-LON-03</t>
  </si>
  <si>
    <t xml:space="preserve">Salary Advance</t>
  </si>
  <si>
    <t xml:space="preserve">Full &amp; Final Settlement</t>
  </si>
  <si>
    <t xml:space="preserve">No Dues Clearance Checklist</t>
  </si>
  <si>
    <t xml:space="preserve">F-STA-01</t>
  </si>
  <si>
    <t xml:space="preserve">Statutory Registers &amp; Returns</t>
  </si>
  <si>
    <t xml:space="preserve">29_Statutory_Forms, 48_PT_Slabs</t>
  </si>
  <si>
    <t xml:space="preserve">F-STA-02</t>
  </si>
  <si>
    <t xml:space="preserve">Form F — Joining Form</t>
  </si>
  <si>
    <t xml:space="preserve">F-REC-01</t>
  </si>
  <si>
    <t xml:space="preserve">Approved Manpower Budget</t>
  </si>
  <si>
    <t xml:space="preserve">37_Requisitions, 59_Candidates_and_Offers</t>
  </si>
  <si>
    <t xml:space="preserve">F-ONB-01</t>
  </si>
  <si>
    <t xml:space="preserve">Induction Checklist</t>
  </si>
  <si>
    <t xml:space="preserve">ONB</t>
  </si>
  <si>
    <t xml:space="preserve">34_Induction_Learning, 60_Confirmations</t>
  </si>
  <si>
    <t xml:space="preserve">F-ONB-02</t>
  </si>
  <si>
    <t xml:space="preserve">Asset Allocation</t>
  </si>
  <si>
    <t xml:space="preserve">F-ENG-01</t>
  </si>
  <si>
    <t xml:space="preserve">Star Employee Nomination</t>
  </si>
  <si>
    <t xml:space="preserve">ENG</t>
  </si>
  <si>
    <t xml:space="preserve">F-ENG-02</t>
  </si>
  <si>
    <t xml:space="preserve">30_Recognition_Referral, 59_Candidates_and_Offers</t>
  </si>
  <si>
    <t xml:space="preserve">F-ENG-03</t>
  </si>
  <si>
    <t xml:space="preserve">Announcements</t>
  </si>
  <si>
    <t xml:space="preserve">F-DOC-01</t>
  </si>
  <si>
    <t xml:space="preserve">Letter Template &amp; Issue</t>
  </si>
  <si>
    <t xml:space="preserve">DOC</t>
  </si>
  <si>
    <t xml:space="preserve">F-ORG-01</t>
  </si>
  <si>
    <t xml:space="preserve">Organisation Chart</t>
  </si>
  <si>
    <t xml:space="preserve">ORG</t>
  </si>
  <si>
    <t xml:space="preserve">F-INT-01</t>
  </si>
  <si>
    <t xml:space="preserve">ERP Employee Master Sync</t>
  </si>
  <si>
    <t xml:space="preserve">F-INT-02</t>
  </si>
  <si>
    <t xml:space="preserve">Payroll Account Posting</t>
  </si>
  <si>
    <t xml:space="preserve">F-SEC-01</t>
  </si>
  <si>
    <t xml:space="preserve">Role &amp; Data Scope Setup</t>
  </si>
  <si>
    <t xml:space="preserve">43_Roles_and_Data_Scope</t>
  </si>
  <si>
    <t xml:space="preserve">ADDED v1.1. Every form in both specification workbooks, checked against this dataset. Of 95 form entries, 60 were already covered, 26 have been added and 7 extended; two are deliberately out of scope because no demo point touches them — investment declarations and reimbursement claims. If the client raises either in the room, say so plainly rather than improvising. This is the sheet to read first when the next version of the demo is planned.</t>
  </si>
  <si>
    <t xml:space="preserve">Sheet or area</t>
  </si>
  <si>
    <t xml:space="preserve">What was wrong or missing in v1.0</t>
  </si>
  <si>
    <t xml:space="preserve">What v1.1 does about it</t>
  </si>
  <si>
    <t xml:space="preserve">Demo point affected</t>
  </si>
  <si>
    <t xml:space="preserve">Defect</t>
  </si>
  <si>
    <t xml:space="preserve">16_Leave_Proration</t>
  </si>
  <si>
    <t xml:space="preserve">The January and February to March examples named E1038 and E1046 — a third-party helper and a contractual daily-wage worker, neither of whom is leave eligible and neither of whom could carry a proration credit.</t>
  </si>
  <si>
    <t xml:space="preserve">Examples corrected. E1069 added as a leave-eligible January joiner, and a leave-eligibility check column added so the same mistake is visible next time.</t>
  </si>
  <si>
    <t xml:space="preserve">17_Leave_Ledger</t>
  </si>
  <si>
    <t xml:space="preserve">Sheet 19 held six comp-off credits; the ledger carried three of them, none of the consumptions and not the lapse. A balance built from the ledger disagreed with the comp-off register for four of five workers.</t>
  </si>
  <si>
    <t xml:space="preserve">Five movements added and the two sheets reconciled. 53_Leave_Balance_AsOn is derived from the ledger alone.</t>
  </si>
  <si>
    <t xml:space="preserve">LL-0029 was a two-day casual leave debit whose own narration said no leave was applied and LOP was raised instead — two days silently removed from a balance.</t>
  </si>
  <si>
    <t xml:space="preserve">Changed to a zero-day no-movement row so the rejected application stays visible without touching the balance.</t>
  </si>
  <si>
    <t xml:space="preserve">GL-009 and GL-010 debit the gratuity and leave-encashment provisions with no credit account anywhere in the map, so any journal containing them was short by 700,000 and could not balance. LE-02 had no professional tax credit account at all.</t>
  </si>
  <si>
    <t xml:space="preserve">Four mappings added: GL-024, GL-025, GL-026 and GL-027.</t>
  </si>
  <si>
    <t xml:space="preserve">Points 15, 17</t>
  </si>
  <si>
    <t xml:space="preserve">Gap</t>
  </si>
  <si>
    <t xml:space="preserve">21_Expected_Attendance and 20_Punch_Events</t>
  </si>
  <si>
    <t xml:space="preserve">E1021 Rekha Deshpande is named in the demo script as the grade-exempt case for demo point 12 and had no punches and no attendance, so half of that point could not be shown.</t>
  </si>
  <si>
    <t xml:space="preserve">26 punch events and 15 attendance days added — five lates beyond grace in one month, every day still Present.</t>
  </si>
  <si>
    <t xml:space="preserve">The record carried 21 columns and none of the attributes the WIP requirements are about: rest-day applicability, OT eligibility basis, leave scheme, COFF lapse, payroll versus attendance location, continuous service or gate-pass entitlement.</t>
  </si>
  <si>
    <t xml:space="preserve">22 policy columns added, every value derived from the category, designation and worker class masters so the resolution order can be shown rather than asserted.</t>
  </si>
  <si>
    <t xml:space="preserve">R-03 to R-12</t>
  </si>
  <si>
    <t xml:space="preserve">A band letter but no numeric grade rank, so every "and above" rule had nothing to compare against and would have had to match a designation name.</t>
  </si>
  <si>
    <t xml:space="preserve">Grade rank and default leave scheme added. AGM and above is rank 70; Assistant Manager and above is rank 50.</t>
  </si>
  <si>
    <t xml:space="preserve">Points 7, 12</t>
  </si>
  <si>
    <t xml:space="preserve">Roles and users</t>
  </si>
  <si>
    <t xml:space="preserve">No roles, no users, no data scope anywhere in the dataset — demo point 8 is about who is signed in, and it could not be run at all.</t>
  </si>
  <si>
    <t xml:space="preserve">43_Roles_and_Data_Scope and 44_Demo_Users added, ten sign-ins each tied to a point in the script.</t>
  </si>
  <si>
    <t xml:space="preserve">Vendors</t>
  </si>
  <si>
    <t xml:space="preserve">VN-01 to VN-05 were referenced on the employee record and in the contract-labour register but never defined.</t>
  </si>
  <si>
    <t xml:space="preserve">45_Vendors_Contractors and 46_Contractor_Invoices added.</t>
  </si>
  <si>
    <t xml:space="preserve">Points 3, 4, 17</t>
  </si>
  <si>
    <t xml:space="preserve">Demo point 1 asks for the dinner break to be reported separately and there was no break-level data.</t>
  </si>
  <si>
    <t xml:space="preserve">49_Break_Register added, distinguishing punched breaks from the scheduled shift break.</t>
  </si>
  <si>
    <t xml:space="preserve">Payroll outputs</t>
  </si>
  <si>
    <t xml:space="preserve">Runs existed at header level only — no employee lines, no journal, no bank file — so demo points 10 and 15 could be described but not shown.</t>
  </si>
  <si>
    <t xml:space="preserve">55_Payroll_Register, 56_GL_Journal and 57_Bank_File added. Both journals balance and reconcile to the bank files.</t>
  </si>
  <si>
    <t xml:space="preserve">Points 8, 10, 15</t>
  </si>
  <si>
    <t xml:space="preserve">The clearance checklist and the settlement run existed with nothing in between — no amounts.</t>
  </si>
  <si>
    <t xml:space="preserve">58_FnF_Settlement added for both cases, including the gratuity contrast at seven years against four.</t>
  </si>
  <si>
    <t xml:space="preserve">Every location named a professional tax slab set and no slabs existed anywhere.</t>
  </si>
  <si>
    <t xml:space="preserve">48_PT_Slabs added for four states. Values are demo figures and must be confirmed against current notifications.</t>
  </si>
  <si>
    <t xml:space="preserve">Recruitment and lifecycle</t>
  </si>
  <si>
    <t xml:space="preserve">Requisitions pointed at candidates who did not exist; confirmation and pre-boarding had no records.</t>
  </si>
  <si>
    <t xml:space="preserve">59_Candidates_and_Offers, 60_Confirmations and 61_Preboarding_Chain added.</t>
  </si>
  <si>
    <t xml:space="preserve">Points 19, 23, 24, 25, 26</t>
  </si>
  <si>
    <t xml:space="preserve">Configuration masters</t>
  </si>
  <si>
    <t xml:space="preserve">Employment categories, leave schemes, the combination matrix, the grace policy and the night extension rule were all stated as rules with no configuration behind them.</t>
  </si>
  <si>
    <t xml:space="preserve">38, 39, 40, 41 and 42 added. Every number the client stated as policy now sits in a row rather than in the engine.</t>
  </si>
  <si>
    <t xml:space="preserve">Points 2, 3, 4, 6, 7, 12</t>
  </si>
  <si>
    <t xml:space="preserve">Tenant seeding</t>
  </si>
  <si>
    <t xml:space="preserve">The dataset could not seed a tenant on its own — the value sets lived only in the specification workbooks.</t>
  </si>
  <si>
    <t xml:space="preserve">65_Enum_Seed_Values and 66_Picklist_Seed_Values added, 25 enums and 119 picklists.</t>
  </si>
  <si>
    <t xml:space="preserve">Traceability</t>
  </si>
  <si>
    <t xml:space="preserve">Nothing tied the dataset back to the specifications, so there was no way to tell what was missing.</t>
  </si>
  <si>
    <t xml:space="preserve">67_Reports_Register, 68_Acceptance_Test_Data and 69_Coverage_Matrix added.</t>
  </si>
  <si>
    <t xml:space="preserve">v1.1, September 2026. Four defects and thirteen gaps. The four defects matter more than the gaps: a missing sheet is visible while you prepare, but a leave ledger that does not reconcile to the comp-off register only shows up when a client asks you to explain a balance, and an unbalanced journal only shows up in front of a finance head. LOAD ORDER for the new sheets: 38, 39, 40, 41, 42, 43, 44, 45, 47, 48 and 65, 66 are configuration and must be loaded before 12_Employees. Everything from 46 and 49 upward is transaction or output data and loads after 37.</t>
  </si>
</sst>
</file>

<file path=xl/styles.xml><?xml version="1.0" encoding="utf-8"?>
<styleSheet xmlns="http://schemas.openxmlformats.org/spreadsheetml/2006/main">
  <numFmts count="3">
    <numFmt numFmtId="164" formatCode="General"/>
    <numFmt numFmtId="165" formatCode="#,##0;\(#,##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3"/>
      <color rgb="FF0B1B2E"/>
      <name val="Arial"/>
      <family val="0"/>
      <charset val="1"/>
    </font>
    <font>
      <sz val="9"/>
      <name val="Arial"/>
      <family val="0"/>
      <charset val="1"/>
    </font>
    <font>
      <b val="true"/>
      <sz val="9"/>
      <name val="Arial"/>
      <family val="0"/>
      <charset val="1"/>
    </font>
    <font>
      <b val="true"/>
      <sz val="9"/>
      <color rgb="FFFFFFFF"/>
      <name val="Arial"/>
      <family val="0"/>
      <charset val="1"/>
    </font>
    <font>
      <i val="true"/>
      <sz val="8"/>
      <color rgb="FF5E7590"/>
      <name val="Arial"/>
      <family val="0"/>
      <charset val="1"/>
    </font>
    <font>
      <b val="true"/>
      <i val="true"/>
      <sz val="8"/>
      <color rgb="FF5E7590"/>
      <name val="Arial"/>
      <family val="0"/>
      <charset val="1"/>
    </font>
  </fonts>
  <fills count="5">
    <fill>
      <patternFill patternType="none"/>
    </fill>
    <fill>
      <patternFill patternType="gray125"/>
    </fill>
    <fill>
      <patternFill patternType="solid">
        <fgColor rgb="FF0B1B2E"/>
        <bgColor rgb="FF000000"/>
      </patternFill>
    </fill>
    <fill>
      <patternFill patternType="solid">
        <fgColor rgb="FFF2F5F8"/>
        <bgColor rgb="FFFDF6E8"/>
      </patternFill>
    </fill>
    <fill>
      <patternFill patternType="solid">
        <fgColor rgb="FFFDF6E8"/>
        <bgColor rgb="FFF2F5F8"/>
      </patternFill>
    </fill>
  </fills>
  <borders count="3">
    <border diagonalUp="false" diagonalDown="false">
      <left/>
      <right/>
      <top/>
      <bottom/>
      <diagonal/>
    </border>
    <border diagonalUp="false" diagonalDown="false">
      <left/>
      <right/>
      <top/>
      <bottom style="thin">
        <color rgb="FFDDE4EB"/>
      </bottom>
      <diagonal/>
    </border>
    <border diagonalUp="false" diagonalDown="false">
      <left/>
      <right/>
      <top/>
      <bottom style="thin">
        <color rgb="FFD8DF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5" fillId="4" borderId="2"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3" borderId="2" xfId="0" applyFont="true" applyBorder="true" applyAlignment="true" applyProtection="false">
      <alignment horizontal="general" vertical="top" textRotation="0" wrapText="true" indent="0" shrinkToFit="false"/>
      <protection locked="true" hidden="false"/>
    </xf>
    <xf numFmtId="166" fontId="5" fillId="3" borderId="2"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B1B2E"/>
          <bgColor rgb="FF000000"/>
        </patternFill>
      </fill>
    </dxf>
    <dxf>
      <fill>
        <patternFill patternType="solid">
          <fgColor rgb="FFF2F5F8"/>
          <bgColor rgb="FF000000"/>
        </patternFill>
      </fill>
    </dxf>
    <dxf>
      <fill>
        <patternFill patternType="solid">
          <bgColor rgb="FF000000"/>
        </patternFill>
      </fill>
    </dxf>
    <dxf>
      <fill>
        <patternFill patternType="solid">
          <fgColor rgb="FFFFFFFF"/>
          <bgColor rgb="FF000000"/>
        </patternFill>
      </fill>
    </dxf>
    <dxf>
      <fill>
        <patternFill patternType="solid">
          <fgColor rgb="FFFDF6E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6E8"/>
      <rgbColor rgb="FFF2F5F8"/>
      <rgbColor rgb="FF660066"/>
      <rgbColor rgb="FFFF8080"/>
      <rgbColor rgb="FF0066CC"/>
      <rgbColor rgb="FFD8DFE7"/>
      <rgbColor rgb="FF000080"/>
      <rgbColor rgb="FFFF00FF"/>
      <rgbColor rgb="FFFFFF00"/>
      <rgbColor rgb="FF00FFFF"/>
      <rgbColor rgb="FF800080"/>
      <rgbColor rgb="FF800000"/>
      <rgbColor rgb="FF008080"/>
      <rgbColor rgb="FF0000FF"/>
      <rgbColor rgb="FF00CCFF"/>
      <rgbColor rgb="FFDDE4EB"/>
      <rgbColor rgb="FFCCFFCC"/>
      <rgbColor rgb="FFFFFF99"/>
      <rgbColor rgb="FF99CCFF"/>
      <rgbColor rgb="FFFF99CC"/>
      <rgbColor rgb="FFCC99FF"/>
      <rgbColor rgb="FFFFCC99"/>
      <rgbColor rgb="FF3366FF"/>
      <rgbColor rgb="FF33CCCC"/>
      <rgbColor rgb="FF99CC00"/>
      <rgbColor rgb="FFFFCC00"/>
      <rgbColor rgb="FFFF9900"/>
      <rgbColor rgb="FFFF6600"/>
      <rgbColor rgb="FF5E7590"/>
      <rgbColor rgb="FF969696"/>
      <rgbColor rgb="FF003366"/>
      <rgbColor rgb="FF339966"/>
      <rgbColor rgb="FF0B1B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_rels/sheet29.xml.rels><?xml version="1.0" encoding="UTF-8"?>
<Relationships xmlns="http://schemas.openxmlformats.org/package/2006/relationships"><Relationship Id="rId1" Type="http://schemas.openxmlformats.org/officeDocument/2006/relationships/drawing" Target="../drawings/drawing28.xml"/>
</Relationships>
</file>

<file path=xl/worksheets/_rels/sheet30.xml.rels><?xml version="1.0" encoding="UTF-8"?>
<Relationships xmlns="http://schemas.openxmlformats.org/package/2006/relationships"><Relationship Id="rId1" Type="http://schemas.openxmlformats.org/officeDocument/2006/relationships/drawing" Target="../drawings/drawing29.xml"/>
</Relationships>
</file>

<file path=xl/worksheets/_rels/sheet31.xml.rels><?xml version="1.0" encoding="UTF-8"?>
<Relationships xmlns="http://schemas.openxmlformats.org/package/2006/relationships"><Relationship Id="rId1" Type="http://schemas.openxmlformats.org/officeDocument/2006/relationships/drawing" Target="../drawings/drawing30.xml"/>
</Relationships>
</file>

<file path=xl/worksheets/_rels/sheet32.xml.rels><?xml version="1.0" encoding="UTF-8"?>
<Relationships xmlns="http://schemas.openxmlformats.org/package/2006/relationships"><Relationship Id="rId1" Type="http://schemas.openxmlformats.org/officeDocument/2006/relationships/drawing" Target="../drawings/drawing31.xml"/>
</Relationships>
</file>

<file path=xl/worksheets/_rels/sheet33.xml.rels><?xml version="1.0" encoding="UTF-8"?>
<Relationships xmlns="http://schemas.openxmlformats.org/package/2006/relationships"><Relationship Id="rId1" Type="http://schemas.openxmlformats.org/officeDocument/2006/relationships/drawing" Target="../drawings/drawing32.xml"/>
</Relationships>
</file>

<file path=xl/worksheets/_rels/sheet34.xml.rels><?xml version="1.0" encoding="UTF-8"?>
<Relationships xmlns="http://schemas.openxmlformats.org/package/2006/relationships"><Relationship Id="rId1" Type="http://schemas.openxmlformats.org/officeDocument/2006/relationships/drawing" Target="../drawings/drawing33.xml"/>
</Relationships>
</file>

<file path=xl/worksheets/_rels/sheet35.xml.rels><?xml version="1.0" encoding="UTF-8"?>
<Relationships xmlns="http://schemas.openxmlformats.org/package/2006/relationships"><Relationship Id="rId1" Type="http://schemas.openxmlformats.org/officeDocument/2006/relationships/drawing" Target="../drawings/drawing34.xml"/>
</Relationships>
</file>

<file path=xl/worksheets/_rels/sheet36.xml.rels><?xml version="1.0" encoding="UTF-8"?>
<Relationships xmlns="http://schemas.openxmlformats.org/package/2006/relationships"><Relationship Id="rId1" Type="http://schemas.openxmlformats.org/officeDocument/2006/relationships/drawing" Target="../drawings/drawing35.xml"/>
</Relationships>
</file>

<file path=xl/worksheets/_rels/sheet37.xml.rels><?xml version="1.0" encoding="UTF-8"?>
<Relationships xmlns="http://schemas.openxmlformats.org/package/2006/relationships"><Relationship Id="rId1" Type="http://schemas.openxmlformats.org/officeDocument/2006/relationships/drawing" Target="../drawings/drawing36.xml"/>
</Relationships>
</file>

<file path=xl/worksheets/_rels/sheet38.xml.rels><?xml version="1.0" encoding="UTF-8"?>
<Relationships xmlns="http://schemas.openxmlformats.org/package/2006/relationships"><Relationship Id="rId1" Type="http://schemas.openxmlformats.org/officeDocument/2006/relationships/drawing" Target="../drawings/drawing3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8"/>
  </cols>
  <sheetData>
    <row r="1" customFormat="false" ht="15.75" hidden="false" customHeight="true" outlineLevel="0" collapsed="false">
      <c r="A1" s="2" t="s">
        <v>0</v>
      </c>
    </row>
    <row r="2" customFormat="false" ht="15" hidden="false" customHeight="true" outlineLevel="0" collapsed="false">
      <c r="A2" s="3"/>
      <c r="B2" s="4"/>
    </row>
    <row r="3" customFormat="false" ht="30" hidden="false" customHeight="true" outlineLevel="0" collapsed="false">
      <c r="A3" s="5" t="s">
        <v>1</v>
      </c>
      <c r="B3" s="4" t="s">
        <v>2</v>
      </c>
    </row>
    <row r="4" customFormat="false" ht="30" hidden="false" customHeight="true" outlineLevel="0" collapsed="false">
      <c r="A4" s="6" t="s">
        <v>3</v>
      </c>
      <c r="B4" s="4" t="s">
        <v>4</v>
      </c>
    </row>
    <row r="5" customFormat="false" ht="30" hidden="false" customHeight="true" outlineLevel="0" collapsed="false">
      <c r="A5" s="6" t="s">
        <v>5</v>
      </c>
      <c r="B5" s="4" t="s">
        <v>6</v>
      </c>
    </row>
    <row r="6" customFormat="false" ht="15" hidden="false" customHeight="true" outlineLevel="0" collapsed="false">
      <c r="A6" s="6" t="s">
        <v>7</v>
      </c>
      <c r="B6" s="4" t="s">
        <v>8</v>
      </c>
    </row>
    <row r="7" customFormat="false" ht="15" hidden="false" customHeight="true" outlineLevel="0" collapsed="false">
      <c r="A7" s="3"/>
      <c r="B7" s="4"/>
    </row>
    <row r="8" customFormat="false" ht="30" hidden="false" customHeight="true" outlineLevel="0" collapsed="false">
      <c r="A8" s="3" t="s">
        <v>9</v>
      </c>
      <c r="B8" s="4"/>
    </row>
    <row r="9" customFormat="false" ht="30" hidden="false" customHeight="true" outlineLevel="0" collapsed="false">
      <c r="A9" s="3" t="s">
        <v>10</v>
      </c>
      <c r="B9" s="4" t="s">
        <v>11</v>
      </c>
    </row>
    <row r="10" customFormat="false" ht="30" hidden="false" customHeight="true" outlineLevel="0" collapsed="false">
      <c r="A10" s="3" t="s">
        <v>12</v>
      </c>
      <c r="B10" s="4" t="s">
        <v>13</v>
      </c>
    </row>
    <row r="11" customFormat="false" ht="30" hidden="false" customHeight="true" outlineLevel="0" collapsed="false">
      <c r="A11" s="3" t="s">
        <v>14</v>
      </c>
      <c r="B11" s="4" t="s">
        <v>15</v>
      </c>
    </row>
    <row r="12" customFormat="false" ht="15" hidden="false" customHeight="true" outlineLevel="0" collapsed="false">
      <c r="A12" s="3" t="s">
        <v>16</v>
      </c>
      <c r="B12" s="4" t="s">
        <v>17</v>
      </c>
    </row>
    <row r="13" customFormat="false" ht="15" hidden="false" customHeight="true" outlineLevel="0" collapsed="false">
      <c r="A13" s="3"/>
      <c r="B13" s="4"/>
    </row>
    <row r="14" customFormat="false" ht="15" hidden="false" customHeight="true" outlineLevel="0" collapsed="false">
      <c r="A14" s="3" t="s">
        <v>18</v>
      </c>
      <c r="B14" s="4"/>
    </row>
    <row r="15" customFormat="false" ht="30" hidden="false" customHeight="true" outlineLevel="0" collapsed="false">
      <c r="A15" s="6" t="s">
        <v>19</v>
      </c>
      <c r="B15" s="4" t="s">
        <v>20</v>
      </c>
    </row>
    <row r="16" customFormat="false" ht="15" hidden="false" customHeight="true" outlineLevel="0" collapsed="false">
      <c r="A16" s="6" t="s">
        <v>21</v>
      </c>
      <c r="B16" s="4" t="s">
        <v>22</v>
      </c>
    </row>
    <row r="17" customFormat="false" ht="15" hidden="false" customHeight="true" outlineLevel="0" collapsed="false">
      <c r="A17" s="6" t="s">
        <v>23</v>
      </c>
      <c r="B17" s="4" t="s">
        <v>24</v>
      </c>
    </row>
    <row r="18" customFormat="false" ht="30" hidden="false" customHeight="true" outlineLevel="0" collapsed="false">
      <c r="A18" s="6" t="s">
        <v>25</v>
      </c>
      <c r="B18" s="4" t="s">
        <v>26</v>
      </c>
    </row>
    <row r="19" customFormat="false" ht="30" hidden="false" customHeight="true" outlineLevel="0" collapsed="false">
      <c r="A19" s="6" t="s">
        <v>27</v>
      </c>
      <c r="B19" s="4" t="s">
        <v>28</v>
      </c>
    </row>
    <row r="20" customFormat="false" ht="15" hidden="false" customHeight="true" outlineLevel="0" collapsed="false">
      <c r="A20" s="6" t="s">
        <v>29</v>
      </c>
      <c r="B20" s="4" t="s">
        <v>30</v>
      </c>
    </row>
    <row r="21" customFormat="false" ht="15" hidden="false" customHeight="true" outlineLevel="0" collapsed="false">
      <c r="A21" s="3"/>
      <c r="B21" s="4"/>
    </row>
    <row r="22" customFormat="false" ht="15" hidden="false" customHeight="true" outlineLevel="0" collapsed="false">
      <c r="A22" s="3" t="s">
        <v>31</v>
      </c>
      <c r="B22" s="4"/>
    </row>
    <row r="23" customFormat="false" ht="15" hidden="false" customHeight="true" outlineLevel="0" collapsed="false">
      <c r="A23" s="6" t="s">
        <v>32</v>
      </c>
      <c r="B23" s="4" t="s">
        <v>33</v>
      </c>
    </row>
    <row r="24" customFormat="false" ht="15" hidden="false" customHeight="true" outlineLevel="0" collapsed="false">
      <c r="A24" s="6" t="s">
        <v>34</v>
      </c>
      <c r="B24" s="4" t="s">
        <v>35</v>
      </c>
    </row>
    <row r="25" customFormat="false" ht="15" hidden="false" customHeight="true" outlineLevel="0" collapsed="false">
      <c r="A25" s="6" t="s">
        <v>36</v>
      </c>
      <c r="B25" s="4" t="s">
        <v>37</v>
      </c>
    </row>
    <row r="26" customFormat="false" ht="15" hidden="false" customHeight="true" outlineLevel="0" collapsed="false">
      <c r="A26" s="3"/>
      <c r="B26" s="4"/>
    </row>
    <row r="27" customFormat="false" ht="15" hidden="false" customHeight="false" outlineLevel="0" collapsed="false">
      <c r="A27" s="6" t="s">
        <v>38</v>
      </c>
      <c r="B27" s="4"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4"/>
    <col collapsed="false" customWidth="true" hidden="false" outlineLevel="0" max="3" min="3" style="1" width="12"/>
    <col collapsed="false" customWidth="true" hidden="false" outlineLevel="0" max="4" min="4" style="1" width="34"/>
    <col collapsed="false" customWidth="true" hidden="false" outlineLevel="0" max="5" min="5" style="1" width="44"/>
    <col collapsed="false" customWidth="true" hidden="false" outlineLevel="0" max="6" min="6" style="1" width="72"/>
    <col collapsed="false" customWidth="true" hidden="false" outlineLevel="0" max="7" min="7" style="0" width="60"/>
  </cols>
  <sheetData>
    <row r="1" customFormat="false" ht="30" hidden="false" customHeight="true" outlineLevel="0" collapsed="false">
      <c r="A1" s="7" t="s">
        <v>40</v>
      </c>
      <c r="B1" s="7" t="s">
        <v>41</v>
      </c>
      <c r="C1" s="7" t="s">
        <v>42</v>
      </c>
      <c r="D1" s="7" t="s">
        <v>43</v>
      </c>
      <c r="E1" s="7" t="s">
        <v>44</v>
      </c>
      <c r="F1" s="7" t="s">
        <v>45</v>
      </c>
      <c r="G1" s="8" t="s">
        <v>46</v>
      </c>
    </row>
    <row r="2" customFormat="false" ht="21.75" hidden="false" customHeight="true" outlineLevel="0" collapsed="false">
      <c r="A2" s="9" t="n">
        <v>1</v>
      </c>
      <c r="B2" s="9" t="s">
        <v>47</v>
      </c>
      <c r="C2" s="9" t="s">
        <v>48</v>
      </c>
      <c r="D2" s="9" t="s">
        <v>49</v>
      </c>
      <c r="E2" s="9" t="s">
        <v>50</v>
      </c>
      <c r="F2" s="9" t="s">
        <v>51</v>
      </c>
      <c r="G2" s="10" t="s">
        <v>52</v>
      </c>
    </row>
    <row r="3" customFormat="false" ht="21.75" hidden="false" customHeight="true" outlineLevel="0" collapsed="false">
      <c r="A3" s="11" t="n">
        <v>1</v>
      </c>
      <c r="B3" s="11" t="s">
        <v>53</v>
      </c>
      <c r="C3" s="11" t="s">
        <v>48</v>
      </c>
      <c r="D3" s="11" t="s">
        <v>54</v>
      </c>
      <c r="E3" s="11" t="s">
        <v>55</v>
      </c>
      <c r="F3" s="11" t="s">
        <v>56</v>
      </c>
      <c r="G3" s="12" t="s">
        <v>52</v>
      </c>
    </row>
    <row r="4" customFormat="false" ht="21.75" hidden="false" customHeight="true" outlineLevel="0" collapsed="false">
      <c r="A4" s="9" t="n">
        <v>2</v>
      </c>
      <c r="B4" s="9" t="s">
        <v>57</v>
      </c>
      <c r="C4" s="9" t="s">
        <v>48</v>
      </c>
      <c r="D4" s="9" t="s">
        <v>58</v>
      </c>
      <c r="E4" s="9" t="s">
        <v>59</v>
      </c>
      <c r="F4" s="9" t="s">
        <v>60</v>
      </c>
      <c r="G4" s="10" t="s">
        <v>61</v>
      </c>
    </row>
    <row r="5" customFormat="false" ht="21.75" hidden="false" customHeight="true" outlineLevel="0" collapsed="false">
      <c r="A5" s="11" t="n">
        <v>3</v>
      </c>
      <c r="B5" s="11" t="s">
        <v>62</v>
      </c>
      <c r="C5" s="11" t="s">
        <v>48</v>
      </c>
      <c r="D5" s="11" t="s">
        <v>58</v>
      </c>
      <c r="E5" s="11" t="s">
        <v>63</v>
      </c>
      <c r="F5" s="11" t="s">
        <v>64</v>
      </c>
      <c r="G5" s="12" t="s">
        <v>65</v>
      </c>
    </row>
    <row r="6" customFormat="false" ht="21.75" hidden="false" customHeight="true" outlineLevel="0" collapsed="false">
      <c r="A6" s="9" t="n">
        <v>4</v>
      </c>
      <c r="B6" s="9" t="s">
        <v>66</v>
      </c>
      <c r="C6" s="9" t="s">
        <v>48</v>
      </c>
      <c r="D6" s="9" t="s">
        <v>67</v>
      </c>
      <c r="E6" s="9" t="s">
        <v>68</v>
      </c>
      <c r="F6" s="9" t="s">
        <v>69</v>
      </c>
      <c r="G6" s="10" t="s">
        <v>70</v>
      </c>
    </row>
    <row r="7" customFormat="false" ht="32.25" hidden="false" customHeight="true" outlineLevel="0" collapsed="false">
      <c r="A7" s="11" t="n">
        <v>5</v>
      </c>
      <c r="B7" s="11" t="s">
        <v>71</v>
      </c>
      <c r="C7" s="11" t="s">
        <v>72</v>
      </c>
      <c r="D7" s="11" t="s">
        <v>73</v>
      </c>
      <c r="E7" s="11" t="s">
        <v>74</v>
      </c>
      <c r="F7" s="11" t="s">
        <v>75</v>
      </c>
      <c r="G7" s="12" t="s">
        <v>76</v>
      </c>
    </row>
    <row r="8" customFormat="false" ht="21.75" hidden="false" customHeight="true" outlineLevel="0" collapsed="false">
      <c r="A8" s="9" t="n">
        <v>6</v>
      </c>
      <c r="B8" s="9" t="s">
        <v>77</v>
      </c>
      <c r="C8" s="9" t="s">
        <v>48</v>
      </c>
      <c r="D8" s="9" t="s">
        <v>78</v>
      </c>
      <c r="E8" s="9" t="s">
        <v>79</v>
      </c>
      <c r="F8" s="9" t="s">
        <v>80</v>
      </c>
      <c r="G8" s="10" t="s">
        <v>81</v>
      </c>
    </row>
    <row r="9" customFormat="false" ht="42.75" hidden="false" customHeight="true" outlineLevel="0" collapsed="false">
      <c r="A9" s="11" t="n">
        <v>7</v>
      </c>
      <c r="B9" s="11" t="s">
        <v>82</v>
      </c>
      <c r="C9" s="11" t="s">
        <v>48</v>
      </c>
      <c r="D9" s="11" t="s">
        <v>83</v>
      </c>
      <c r="E9" s="11" t="s">
        <v>84</v>
      </c>
      <c r="F9" s="11" t="s">
        <v>85</v>
      </c>
      <c r="G9" s="12" t="s">
        <v>86</v>
      </c>
    </row>
    <row r="10" customFormat="false" ht="21.75" hidden="false" customHeight="true" outlineLevel="0" collapsed="false">
      <c r="A10" s="9" t="n">
        <v>8</v>
      </c>
      <c r="B10" s="9" t="s">
        <v>87</v>
      </c>
      <c r="C10" s="9" t="s">
        <v>72</v>
      </c>
      <c r="D10" s="9" t="s">
        <v>88</v>
      </c>
      <c r="E10" s="9" t="s">
        <v>89</v>
      </c>
      <c r="F10" s="9" t="s">
        <v>90</v>
      </c>
      <c r="G10" s="10" t="s">
        <v>91</v>
      </c>
    </row>
    <row r="11" customFormat="false" ht="42.75" hidden="false" customHeight="true" outlineLevel="0" collapsed="false">
      <c r="A11" s="11" t="n">
        <v>9</v>
      </c>
      <c r="B11" s="11" t="s">
        <v>92</v>
      </c>
      <c r="C11" s="11" t="s">
        <v>72</v>
      </c>
      <c r="D11" s="11" t="s">
        <v>93</v>
      </c>
      <c r="E11" s="11" t="s">
        <v>94</v>
      </c>
      <c r="F11" s="11" t="s">
        <v>95</v>
      </c>
      <c r="G11" s="12" t="s">
        <v>96</v>
      </c>
    </row>
    <row r="12" customFormat="false" ht="21.75" hidden="false" customHeight="true" outlineLevel="0" collapsed="false">
      <c r="A12" s="9" t="n">
        <v>10</v>
      </c>
      <c r="B12" s="9" t="s">
        <v>97</v>
      </c>
      <c r="C12" s="9" t="s">
        <v>72</v>
      </c>
      <c r="D12" s="9" t="s">
        <v>98</v>
      </c>
      <c r="E12" s="9" t="s">
        <v>99</v>
      </c>
      <c r="F12" s="9" t="s">
        <v>100</v>
      </c>
      <c r="G12" s="10" t="s">
        <v>101</v>
      </c>
    </row>
    <row r="13" customFormat="false" ht="21.75" hidden="false" customHeight="true" outlineLevel="0" collapsed="false">
      <c r="A13" s="11" t="n">
        <v>11</v>
      </c>
      <c r="B13" s="11" t="s">
        <v>102</v>
      </c>
      <c r="C13" s="11" t="s">
        <v>72</v>
      </c>
      <c r="D13" s="11" t="s">
        <v>103</v>
      </c>
      <c r="E13" s="11" t="s">
        <v>104</v>
      </c>
      <c r="F13" s="11" t="s">
        <v>105</v>
      </c>
      <c r="G13" s="12" t="s">
        <v>106</v>
      </c>
    </row>
    <row r="14" customFormat="false" ht="21.75" hidden="false" customHeight="true" outlineLevel="0" collapsed="false">
      <c r="A14" s="9" t="n">
        <v>12</v>
      </c>
      <c r="B14" s="9" t="s">
        <v>107</v>
      </c>
      <c r="C14" s="9" t="s">
        <v>72</v>
      </c>
      <c r="D14" s="9" t="s">
        <v>108</v>
      </c>
      <c r="E14" s="9" t="s">
        <v>109</v>
      </c>
      <c r="F14" s="9" t="s">
        <v>110</v>
      </c>
      <c r="G14" s="10" t="s">
        <v>111</v>
      </c>
    </row>
    <row r="15" customFormat="false" ht="21.75" hidden="false" customHeight="true" outlineLevel="0" collapsed="false">
      <c r="A15" s="11" t="n">
        <v>13</v>
      </c>
      <c r="B15" s="11" t="s">
        <v>112</v>
      </c>
      <c r="C15" s="11" t="s">
        <v>72</v>
      </c>
      <c r="D15" s="11" t="s">
        <v>113</v>
      </c>
      <c r="E15" s="11" t="s">
        <v>114</v>
      </c>
      <c r="F15" s="11" t="s">
        <v>115</v>
      </c>
      <c r="G15" s="12" t="s">
        <v>116</v>
      </c>
    </row>
    <row r="16" customFormat="false" ht="21.75" hidden="false" customHeight="true" outlineLevel="0" collapsed="false">
      <c r="A16" s="9" t="n">
        <v>14</v>
      </c>
      <c r="B16" s="9" t="s">
        <v>117</v>
      </c>
      <c r="C16" s="9" t="s">
        <v>72</v>
      </c>
      <c r="D16" s="9" t="s">
        <v>118</v>
      </c>
      <c r="E16" s="9" t="s">
        <v>119</v>
      </c>
      <c r="F16" s="9" t="s">
        <v>120</v>
      </c>
      <c r="G16" s="10"/>
    </row>
    <row r="17" customFormat="false" ht="21.75" hidden="false" customHeight="true" outlineLevel="0" collapsed="false">
      <c r="A17" s="11" t="n">
        <v>15</v>
      </c>
      <c r="B17" s="11" t="s">
        <v>121</v>
      </c>
      <c r="C17" s="11" t="s">
        <v>72</v>
      </c>
      <c r="D17" s="11" t="s">
        <v>122</v>
      </c>
      <c r="E17" s="11" t="s">
        <v>123</v>
      </c>
      <c r="F17" s="11" t="s">
        <v>124</v>
      </c>
      <c r="G17" s="12" t="s">
        <v>125</v>
      </c>
    </row>
    <row r="18" customFormat="false" ht="21.75" hidden="false" customHeight="true" outlineLevel="0" collapsed="false">
      <c r="A18" s="9" t="n">
        <v>16</v>
      </c>
      <c r="B18" s="9" t="s">
        <v>126</v>
      </c>
      <c r="C18" s="9" t="s">
        <v>48</v>
      </c>
      <c r="D18" s="9" t="s">
        <v>127</v>
      </c>
      <c r="E18" s="9" t="s">
        <v>128</v>
      </c>
      <c r="F18" s="9" t="s">
        <v>129</v>
      </c>
      <c r="G18" s="10" t="s">
        <v>130</v>
      </c>
    </row>
    <row r="19" customFormat="false" ht="21.75" hidden="false" customHeight="true" outlineLevel="0" collapsed="false">
      <c r="A19" s="11" t="n">
        <v>17</v>
      </c>
      <c r="B19" s="11" t="s">
        <v>131</v>
      </c>
      <c r="C19" s="11" t="s">
        <v>72</v>
      </c>
      <c r="D19" s="11" t="s">
        <v>132</v>
      </c>
      <c r="E19" s="11" t="s">
        <v>133</v>
      </c>
      <c r="F19" s="11" t="s">
        <v>134</v>
      </c>
      <c r="G19" s="12" t="s">
        <v>135</v>
      </c>
    </row>
    <row r="20" customFormat="false" ht="15" hidden="false" customHeight="true" outlineLevel="0" collapsed="false">
      <c r="A20" s="9" t="n">
        <v>18</v>
      </c>
      <c r="B20" s="9" t="s">
        <v>136</v>
      </c>
      <c r="C20" s="9" t="s">
        <v>72</v>
      </c>
      <c r="D20" s="9" t="s">
        <v>137</v>
      </c>
      <c r="E20" s="9" t="s">
        <v>138</v>
      </c>
      <c r="F20" s="9" t="s">
        <v>139</v>
      </c>
      <c r="G20" s="10"/>
    </row>
    <row r="21" customFormat="false" ht="21.75" hidden="false" customHeight="true" outlineLevel="0" collapsed="false">
      <c r="A21" s="11" t="n">
        <v>19</v>
      </c>
      <c r="B21" s="11" t="s">
        <v>140</v>
      </c>
      <c r="C21" s="11" t="s">
        <v>72</v>
      </c>
      <c r="D21" s="11" t="s">
        <v>137</v>
      </c>
      <c r="E21" s="11" t="s">
        <v>141</v>
      </c>
      <c r="F21" s="11" t="s">
        <v>142</v>
      </c>
      <c r="G21" s="12" t="s">
        <v>143</v>
      </c>
    </row>
    <row r="22" customFormat="false" ht="21.75" hidden="false" customHeight="true" outlineLevel="0" collapsed="false">
      <c r="A22" s="9" t="n">
        <v>20</v>
      </c>
      <c r="B22" s="9" t="s">
        <v>144</v>
      </c>
      <c r="C22" s="9" t="s">
        <v>72</v>
      </c>
      <c r="D22" s="9" t="s">
        <v>145</v>
      </c>
      <c r="E22" s="9" t="s">
        <v>146</v>
      </c>
      <c r="F22" s="9" t="s">
        <v>147</v>
      </c>
      <c r="G22" s="10"/>
    </row>
    <row r="23" customFormat="false" ht="21.75" hidden="false" customHeight="true" outlineLevel="0" collapsed="false">
      <c r="A23" s="11" t="n">
        <v>21</v>
      </c>
      <c r="B23" s="11" t="s">
        <v>148</v>
      </c>
      <c r="C23" s="11" t="s">
        <v>72</v>
      </c>
      <c r="D23" s="11" t="s">
        <v>149</v>
      </c>
      <c r="E23" s="11" t="s">
        <v>150</v>
      </c>
      <c r="F23" s="11" t="s">
        <v>151</v>
      </c>
      <c r="G23" s="12"/>
    </row>
    <row r="24" customFormat="false" ht="15" hidden="false" customHeight="true" outlineLevel="0" collapsed="false">
      <c r="A24" s="9" t="n">
        <v>22</v>
      </c>
      <c r="B24" s="9" t="s">
        <v>152</v>
      </c>
      <c r="C24" s="9" t="s">
        <v>72</v>
      </c>
      <c r="D24" s="9" t="s">
        <v>153</v>
      </c>
      <c r="E24" s="9" t="s">
        <v>154</v>
      </c>
      <c r="F24" s="9" t="s">
        <v>155</v>
      </c>
      <c r="G24" s="10"/>
    </row>
    <row r="25" customFormat="false" ht="21.75" hidden="false" customHeight="true" outlineLevel="0" collapsed="false">
      <c r="A25" s="11" t="n">
        <v>23</v>
      </c>
      <c r="B25" s="11" t="s">
        <v>156</v>
      </c>
      <c r="C25" s="11" t="s">
        <v>72</v>
      </c>
      <c r="D25" s="11" t="s">
        <v>157</v>
      </c>
      <c r="E25" s="11" t="s">
        <v>158</v>
      </c>
      <c r="F25" s="11" t="s">
        <v>159</v>
      </c>
      <c r="G25" s="12" t="s">
        <v>160</v>
      </c>
    </row>
    <row r="26" customFormat="false" ht="21.75" hidden="false" customHeight="true" outlineLevel="0" collapsed="false">
      <c r="A26" s="9" t="n">
        <v>24</v>
      </c>
      <c r="B26" s="9" t="s">
        <v>161</v>
      </c>
      <c r="C26" s="9" t="s">
        <v>72</v>
      </c>
      <c r="D26" s="9" t="s">
        <v>162</v>
      </c>
      <c r="E26" s="9" t="s">
        <v>163</v>
      </c>
      <c r="F26" s="9" t="s">
        <v>164</v>
      </c>
      <c r="G26" s="10" t="s">
        <v>165</v>
      </c>
    </row>
    <row r="27" customFormat="false" ht="15" hidden="false" customHeight="true" outlineLevel="0" collapsed="false">
      <c r="A27" s="11" t="n">
        <v>25</v>
      </c>
      <c r="B27" s="11" t="s">
        <v>166</v>
      </c>
      <c r="C27" s="11" t="s">
        <v>72</v>
      </c>
      <c r="D27" s="11" t="s">
        <v>167</v>
      </c>
      <c r="E27" s="11" t="s">
        <v>168</v>
      </c>
      <c r="F27" s="11" t="s">
        <v>169</v>
      </c>
      <c r="G27" s="12" t="s">
        <v>170</v>
      </c>
    </row>
    <row r="28" customFormat="false" ht="15" hidden="false" customHeight="true" outlineLevel="0" collapsed="false">
      <c r="A28" s="9" t="n">
        <v>26</v>
      </c>
      <c r="B28" s="9" t="s">
        <v>171</v>
      </c>
      <c r="C28" s="9" t="s">
        <v>48</v>
      </c>
      <c r="D28" s="9" t="s">
        <v>172</v>
      </c>
      <c r="E28" s="9" t="s">
        <v>173</v>
      </c>
      <c r="F28" s="9" t="s">
        <v>174</v>
      </c>
      <c r="G28" s="10" t="s">
        <v>175</v>
      </c>
    </row>
    <row r="30" customFormat="false" ht="27.75" hidden="false" customHeight="true" outlineLevel="0" collapsed="false">
      <c r="A30" s="13" t="s">
        <v>176</v>
      </c>
      <c r="B30" s="13"/>
      <c r="C30" s="13"/>
      <c r="D30" s="13"/>
      <c r="E30" s="13"/>
      <c r="F30" s="13"/>
    </row>
  </sheetData>
  <autoFilter ref="A1:F28"/>
  <mergeCells count="1">
    <mergeCell ref="A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3" min="3" style="1" width="24"/>
    <col collapsed="false" customWidth="true" hidden="false" outlineLevel="0" max="4" min="4" style="1" width="28"/>
    <col collapsed="false" customWidth="true" hidden="false" outlineLevel="0" max="5" min="5" style="1" width="14"/>
    <col collapsed="false" customWidth="true" hidden="false" outlineLevel="0" max="7" min="6" style="1" width="20"/>
    <col collapsed="false" customWidth="true" hidden="false" outlineLevel="0" max="8" min="8" style="1" width="14"/>
    <col collapsed="false" customWidth="true" hidden="false" outlineLevel="0" max="9" min="9" style="1" width="10"/>
  </cols>
  <sheetData>
    <row r="1" customFormat="false" ht="30" hidden="false" customHeight="true" outlineLevel="0" collapsed="false">
      <c r="A1" s="7" t="s">
        <v>177</v>
      </c>
      <c r="B1" s="7" t="s">
        <v>178</v>
      </c>
      <c r="C1" s="7" t="s">
        <v>179</v>
      </c>
      <c r="D1" s="7" t="s">
        <v>180</v>
      </c>
      <c r="E1" s="7" t="s">
        <v>181</v>
      </c>
      <c r="F1" s="7" t="s">
        <v>182</v>
      </c>
      <c r="G1" s="7" t="s">
        <v>183</v>
      </c>
      <c r="H1" s="7" t="s">
        <v>184</v>
      </c>
      <c r="I1" s="7" t="s">
        <v>185</v>
      </c>
    </row>
    <row r="2" customFormat="false" ht="15" hidden="false" customHeight="true" outlineLevel="0" collapsed="false">
      <c r="A2" s="9" t="s">
        <v>186</v>
      </c>
      <c r="B2" s="9" t="s">
        <v>187</v>
      </c>
      <c r="C2" s="9" t="s">
        <v>188</v>
      </c>
      <c r="D2" s="9" t="s">
        <v>189</v>
      </c>
      <c r="E2" s="9" t="s">
        <v>190</v>
      </c>
      <c r="F2" s="9" t="s">
        <v>191</v>
      </c>
      <c r="G2" s="9" t="s">
        <v>192</v>
      </c>
      <c r="H2" s="9" t="s">
        <v>193</v>
      </c>
      <c r="I2" s="9" t="s">
        <v>194</v>
      </c>
    </row>
    <row r="3" customFormat="false" ht="15" hidden="false" customHeight="true" outlineLevel="0" collapsed="false">
      <c r="A3" s="11" t="s">
        <v>195</v>
      </c>
      <c r="B3" s="11" t="s">
        <v>196</v>
      </c>
      <c r="C3" s="11" t="s">
        <v>197</v>
      </c>
      <c r="D3" s="11" t="s">
        <v>198</v>
      </c>
      <c r="E3" s="11" t="s">
        <v>199</v>
      </c>
      <c r="F3" s="11" t="s">
        <v>200</v>
      </c>
      <c r="G3" s="11" t="s">
        <v>201</v>
      </c>
      <c r="H3" s="11" t="s">
        <v>193</v>
      </c>
      <c r="I3" s="11" t="s">
        <v>194</v>
      </c>
    </row>
  </sheetData>
  <autoFilter ref="A1:I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9"/>
    <col collapsed="false" customWidth="true" hidden="false" outlineLevel="0" max="4" min="4" style="1" width="13"/>
    <col collapsed="false" customWidth="true" hidden="false" outlineLevel="0" max="5" min="5" style="1" width="15"/>
    <col collapsed="false" customWidth="true" hidden="false" outlineLevel="0" max="6" min="6" style="1" width="11"/>
    <col collapsed="false" customWidth="true" hidden="false" outlineLevel="0" max="7" min="7" style="1" width="17"/>
    <col collapsed="false" customWidth="true" hidden="false" outlineLevel="0" max="8" min="8" style="1" width="9"/>
    <col collapsed="false" customWidth="true" hidden="false" outlineLevel="0" max="9" min="9" style="1" width="20"/>
    <col collapsed="false" customWidth="true" hidden="false" outlineLevel="0" max="10" min="10" style="1" width="18"/>
    <col collapsed="false" customWidth="true" hidden="false" outlineLevel="0" max="11" min="11" style="1" width="11"/>
    <col collapsed="false" customWidth="true" hidden="false" outlineLevel="0" max="12" min="12" style="1" width="14"/>
    <col collapsed="false" customWidth="true" hidden="false" outlineLevel="0" max="13" min="13" style="1" width="13"/>
  </cols>
  <sheetData>
    <row r="1" customFormat="false" ht="30" hidden="false" customHeight="true" outlineLevel="0" collapsed="false">
      <c r="A1" s="7" t="s">
        <v>202</v>
      </c>
      <c r="B1" s="7" t="s">
        <v>203</v>
      </c>
      <c r="C1" s="7" t="s">
        <v>204</v>
      </c>
      <c r="D1" s="7" t="s">
        <v>205</v>
      </c>
      <c r="E1" s="7" t="s">
        <v>206</v>
      </c>
      <c r="F1" s="7" t="s">
        <v>207</v>
      </c>
      <c r="G1" s="7" t="s">
        <v>208</v>
      </c>
      <c r="H1" s="7" t="s">
        <v>209</v>
      </c>
      <c r="I1" s="7" t="s">
        <v>210</v>
      </c>
      <c r="J1" s="7" t="s">
        <v>211</v>
      </c>
      <c r="K1" s="7" t="s">
        <v>212</v>
      </c>
      <c r="L1" s="7" t="s">
        <v>213</v>
      </c>
      <c r="M1" s="7" t="s">
        <v>214</v>
      </c>
    </row>
    <row r="2" customFormat="false" ht="15" hidden="false" customHeight="true" outlineLevel="0" collapsed="false">
      <c r="A2" s="9" t="s">
        <v>215</v>
      </c>
      <c r="B2" s="9" t="s">
        <v>216</v>
      </c>
      <c r="C2" s="9" t="s">
        <v>186</v>
      </c>
      <c r="D2" s="9" t="s">
        <v>217</v>
      </c>
      <c r="E2" s="9" t="s">
        <v>218</v>
      </c>
      <c r="F2" s="9" t="s">
        <v>219</v>
      </c>
      <c r="G2" s="9" t="s">
        <v>220</v>
      </c>
      <c r="H2" s="9" t="s">
        <v>221</v>
      </c>
      <c r="I2" s="9" t="s">
        <v>222</v>
      </c>
      <c r="J2" s="9" t="s">
        <v>223</v>
      </c>
      <c r="K2" s="9" t="s">
        <v>224</v>
      </c>
      <c r="L2" s="9" t="s">
        <v>225</v>
      </c>
      <c r="M2" s="9" t="s">
        <v>226</v>
      </c>
    </row>
    <row r="3" customFormat="false" ht="15" hidden="false" customHeight="true" outlineLevel="0" collapsed="false">
      <c r="A3" s="11" t="s">
        <v>227</v>
      </c>
      <c r="B3" s="11" t="s">
        <v>228</v>
      </c>
      <c r="C3" s="11" t="s">
        <v>186</v>
      </c>
      <c r="D3" s="11" t="s">
        <v>217</v>
      </c>
      <c r="E3" s="11" t="s">
        <v>218</v>
      </c>
      <c r="F3" s="11" t="s">
        <v>219</v>
      </c>
      <c r="G3" s="11" t="s">
        <v>229</v>
      </c>
      <c r="H3" s="11" t="s">
        <v>230</v>
      </c>
      <c r="I3" s="11" t="s">
        <v>231</v>
      </c>
      <c r="J3" s="11" t="s">
        <v>223</v>
      </c>
      <c r="K3" s="11" t="s">
        <v>224</v>
      </c>
      <c r="L3" s="11" t="s">
        <v>232</v>
      </c>
      <c r="M3" s="11" t="s">
        <v>233</v>
      </c>
    </row>
    <row r="4" customFormat="false" ht="15" hidden="false" customHeight="true" outlineLevel="0" collapsed="false">
      <c r="A4" s="9" t="s">
        <v>234</v>
      </c>
      <c r="B4" s="9" t="s">
        <v>235</v>
      </c>
      <c r="C4" s="9" t="s">
        <v>186</v>
      </c>
      <c r="D4" s="9" t="s">
        <v>236</v>
      </c>
      <c r="E4" s="9" t="s">
        <v>237</v>
      </c>
      <c r="F4" s="9" t="s">
        <v>238</v>
      </c>
      <c r="G4" s="9" t="s">
        <v>229</v>
      </c>
      <c r="H4" s="9" t="s">
        <v>239</v>
      </c>
      <c r="I4" s="9" t="s">
        <v>240</v>
      </c>
      <c r="J4" s="9" t="s">
        <v>241</v>
      </c>
      <c r="K4" s="9" t="s">
        <v>242</v>
      </c>
      <c r="L4" s="9" t="s">
        <v>243</v>
      </c>
      <c r="M4" s="9" t="s">
        <v>233</v>
      </c>
    </row>
    <row r="5" customFormat="false" ht="15" hidden="false" customHeight="true" outlineLevel="0" collapsed="false">
      <c r="A5" s="11" t="s">
        <v>244</v>
      </c>
      <c r="B5" s="11" t="s">
        <v>245</v>
      </c>
      <c r="C5" s="11" t="s">
        <v>195</v>
      </c>
      <c r="D5" s="11" t="s">
        <v>246</v>
      </c>
      <c r="E5" s="11" t="s">
        <v>247</v>
      </c>
      <c r="F5" s="11" t="s">
        <v>248</v>
      </c>
      <c r="G5" s="11" t="s">
        <v>229</v>
      </c>
      <c r="H5" s="11" t="s">
        <v>249</v>
      </c>
      <c r="I5" s="11" t="s">
        <v>250</v>
      </c>
      <c r="J5" s="11" t="s">
        <v>251</v>
      </c>
      <c r="K5" s="11" t="s">
        <v>252</v>
      </c>
      <c r="L5" s="11" t="s">
        <v>253</v>
      </c>
      <c r="M5" s="11" t="s">
        <v>233</v>
      </c>
    </row>
    <row r="6" customFormat="false" ht="15" hidden="false" customHeight="true" outlineLevel="0" collapsed="false">
      <c r="A6" s="9" t="s">
        <v>254</v>
      </c>
      <c r="B6" s="9" t="s">
        <v>255</v>
      </c>
      <c r="C6" s="9" t="s">
        <v>195</v>
      </c>
      <c r="D6" s="9" t="s">
        <v>256</v>
      </c>
      <c r="E6" s="9" t="s">
        <v>257</v>
      </c>
      <c r="F6" s="9" t="s">
        <v>258</v>
      </c>
      <c r="G6" s="9" t="s">
        <v>229</v>
      </c>
      <c r="H6" s="9" t="s">
        <v>259</v>
      </c>
      <c r="I6" s="9" t="s">
        <v>260</v>
      </c>
      <c r="J6" s="9" t="s">
        <v>261</v>
      </c>
      <c r="K6" s="9" t="s">
        <v>262</v>
      </c>
      <c r="L6" s="9" t="s">
        <v>263</v>
      </c>
      <c r="M6" s="9" t="s">
        <v>233</v>
      </c>
    </row>
  </sheetData>
  <autoFilter ref="A1:M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2"/>
    <col collapsed="false" customWidth="true" hidden="false" outlineLevel="0" max="3" min="3" style="1" width="11"/>
    <col collapsed="false" customWidth="true" hidden="false" outlineLevel="0" max="4" min="4" style="1" width="8"/>
    <col collapsed="false" customWidth="true" hidden="false" outlineLevel="0" max="5" min="5" style="1" width="14"/>
    <col collapsed="false" customWidth="true" hidden="false" outlineLevel="0" max="6" min="6" style="1" width="16"/>
    <col collapsed="false" customWidth="true" hidden="false" outlineLevel="0" max="7" min="7" style="1" width="13"/>
  </cols>
  <sheetData>
    <row r="1" customFormat="false" ht="30" hidden="false" customHeight="true" outlineLevel="0" collapsed="false">
      <c r="A1" s="7" t="s">
        <v>264</v>
      </c>
      <c r="B1" s="7" t="s">
        <v>265</v>
      </c>
      <c r="C1" s="7" t="s">
        <v>266</v>
      </c>
      <c r="D1" s="7" t="s">
        <v>267</v>
      </c>
      <c r="E1" s="7" t="s">
        <v>268</v>
      </c>
      <c r="F1" s="7" t="s">
        <v>269</v>
      </c>
      <c r="G1" s="7" t="s">
        <v>270</v>
      </c>
    </row>
    <row r="2" customFormat="false" ht="15" hidden="false" customHeight="true" outlineLevel="0" collapsed="false">
      <c r="A2" s="9" t="s">
        <v>271</v>
      </c>
      <c r="B2" s="9" t="s">
        <v>272</v>
      </c>
      <c r="C2" s="9"/>
      <c r="D2" s="9" t="n">
        <v>1</v>
      </c>
      <c r="E2" s="9" t="s">
        <v>273</v>
      </c>
      <c r="F2" s="9" t="s">
        <v>215</v>
      </c>
      <c r="G2" s="9" t="s">
        <v>274</v>
      </c>
    </row>
    <row r="3" customFormat="false" ht="15" hidden="false" customHeight="true" outlineLevel="0" collapsed="false">
      <c r="A3" s="11" t="s">
        <v>275</v>
      </c>
      <c r="B3" s="11" t="s">
        <v>276</v>
      </c>
      <c r="C3" s="11" t="s">
        <v>271</v>
      </c>
      <c r="D3" s="11" t="n">
        <v>2</v>
      </c>
      <c r="E3" s="11" t="s">
        <v>273</v>
      </c>
      <c r="F3" s="11"/>
      <c r="G3" s="11" t="s">
        <v>277</v>
      </c>
    </row>
    <row r="4" customFormat="false" ht="15" hidden="false" customHeight="true" outlineLevel="0" collapsed="false">
      <c r="A4" s="9" t="s">
        <v>278</v>
      </c>
      <c r="B4" s="9" t="s">
        <v>279</v>
      </c>
      <c r="C4" s="9" t="s">
        <v>275</v>
      </c>
      <c r="D4" s="9" t="n">
        <v>3</v>
      </c>
      <c r="E4" s="9" t="s">
        <v>280</v>
      </c>
      <c r="F4" s="9"/>
      <c r="G4" s="9" t="s">
        <v>281</v>
      </c>
    </row>
    <row r="5" customFormat="false" ht="15" hidden="false" customHeight="true" outlineLevel="0" collapsed="false">
      <c r="A5" s="11" t="s">
        <v>282</v>
      </c>
      <c r="B5" s="11" t="s">
        <v>283</v>
      </c>
      <c r="C5" s="11" t="s">
        <v>275</v>
      </c>
      <c r="D5" s="11" t="n">
        <v>3</v>
      </c>
      <c r="E5" s="11" t="s">
        <v>280</v>
      </c>
      <c r="F5" s="11"/>
      <c r="G5" s="11" t="s">
        <v>284</v>
      </c>
    </row>
    <row r="6" customFormat="false" ht="15" hidden="false" customHeight="true" outlineLevel="0" collapsed="false">
      <c r="A6" s="9" t="s">
        <v>285</v>
      </c>
      <c r="B6" s="9" t="s">
        <v>286</v>
      </c>
      <c r="C6" s="9" t="s">
        <v>275</v>
      </c>
      <c r="D6" s="9" t="n">
        <v>3</v>
      </c>
      <c r="E6" s="9" t="s">
        <v>280</v>
      </c>
      <c r="F6" s="9"/>
      <c r="G6" s="9" t="s">
        <v>287</v>
      </c>
    </row>
    <row r="7" customFormat="false" ht="15" hidden="false" customHeight="true" outlineLevel="0" collapsed="false">
      <c r="A7" s="11" t="s">
        <v>288</v>
      </c>
      <c r="B7" s="11" t="s">
        <v>289</v>
      </c>
      <c r="C7" s="11" t="s">
        <v>275</v>
      </c>
      <c r="D7" s="11" t="n">
        <v>3</v>
      </c>
      <c r="E7" s="11" t="s">
        <v>280</v>
      </c>
      <c r="F7" s="11"/>
      <c r="G7" s="11" t="s">
        <v>290</v>
      </c>
    </row>
    <row r="8" customFormat="false" ht="15" hidden="false" customHeight="true" outlineLevel="0" collapsed="false">
      <c r="A8" s="9" t="s">
        <v>291</v>
      </c>
      <c r="B8" s="9" t="s">
        <v>292</v>
      </c>
      <c r="C8" s="9" t="s">
        <v>271</v>
      </c>
      <c r="D8" s="9" t="n">
        <v>2</v>
      </c>
      <c r="E8" s="9" t="s">
        <v>273</v>
      </c>
      <c r="F8" s="9"/>
      <c r="G8" s="9" t="s">
        <v>293</v>
      </c>
    </row>
    <row r="9" customFormat="false" ht="15" hidden="false" customHeight="true" outlineLevel="0" collapsed="false">
      <c r="A9" s="11" t="s">
        <v>294</v>
      </c>
      <c r="B9" s="11" t="s">
        <v>295</v>
      </c>
      <c r="C9" s="11" t="s">
        <v>291</v>
      </c>
      <c r="D9" s="11" t="n">
        <v>3</v>
      </c>
      <c r="E9" s="11" t="s">
        <v>280</v>
      </c>
      <c r="F9" s="11"/>
      <c r="G9" s="11" t="s">
        <v>296</v>
      </c>
    </row>
    <row r="10" customFormat="false" ht="15" hidden="false" customHeight="true" outlineLevel="0" collapsed="false">
      <c r="A10" s="9" t="s">
        <v>297</v>
      </c>
      <c r="B10" s="9" t="s">
        <v>298</v>
      </c>
      <c r="C10" s="9" t="s">
        <v>291</v>
      </c>
      <c r="D10" s="9" t="n">
        <v>3</v>
      </c>
      <c r="E10" s="9" t="s">
        <v>280</v>
      </c>
      <c r="F10" s="9"/>
      <c r="G10" s="9" t="s">
        <v>299</v>
      </c>
    </row>
    <row r="11" customFormat="false" ht="15" hidden="false" customHeight="true" outlineLevel="0" collapsed="false">
      <c r="A11" s="11" t="s">
        <v>300</v>
      </c>
      <c r="B11" s="11" t="s">
        <v>301</v>
      </c>
      <c r="C11" s="11" t="s">
        <v>271</v>
      </c>
      <c r="D11" s="11" t="n">
        <v>2</v>
      </c>
      <c r="E11" s="11" t="s">
        <v>273</v>
      </c>
      <c r="F11" s="11"/>
      <c r="G11" s="11" t="s">
        <v>302</v>
      </c>
    </row>
    <row r="12" customFormat="false" ht="15" hidden="false" customHeight="true" outlineLevel="0" collapsed="false">
      <c r="A12" s="9" t="s">
        <v>303</v>
      </c>
      <c r="B12" s="9" t="s">
        <v>304</v>
      </c>
      <c r="C12" s="9" t="s">
        <v>271</v>
      </c>
      <c r="D12" s="9" t="n">
        <v>2</v>
      </c>
      <c r="E12" s="9" t="s">
        <v>273</v>
      </c>
      <c r="F12" s="9" t="s">
        <v>215</v>
      </c>
      <c r="G12" s="9" t="s">
        <v>305</v>
      </c>
    </row>
    <row r="13" customFormat="false" ht="15" hidden="false" customHeight="true" outlineLevel="0" collapsed="false">
      <c r="A13" s="11" t="s">
        <v>306</v>
      </c>
      <c r="B13" s="11" t="s">
        <v>307</v>
      </c>
      <c r="C13" s="11" t="s">
        <v>271</v>
      </c>
      <c r="D13" s="11" t="n">
        <v>2</v>
      </c>
      <c r="E13" s="11" t="s">
        <v>273</v>
      </c>
      <c r="F13" s="11" t="s">
        <v>215</v>
      </c>
      <c r="G13" s="11" t="s">
        <v>308</v>
      </c>
    </row>
    <row r="14" customFormat="false" ht="15" hidden="false" customHeight="true" outlineLevel="0" collapsed="false">
      <c r="A14" s="9" t="s">
        <v>309</v>
      </c>
      <c r="B14" s="9" t="s">
        <v>310</v>
      </c>
      <c r="C14" s="9" t="s">
        <v>271</v>
      </c>
      <c r="D14" s="9" t="n">
        <v>2</v>
      </c>
      <c r="E14" s="9" t="s">
        <v>273</v>
      </c>
      <c r="F14" s="9"/>
      <c r="G14" s="9" t="s">
        <v>311</v>
      </c>
    </row>
    <row r="15" customFormat="false" ht="15" hidden="false" customHeight="true" outlineLevel="0" collapsed="false">
      <c r="A15" s="11" t="s">
        <v>312</v>
      </c>
      <c r="B15" s="11" t="s">
        <v>313</v>
      </c>
      <c r="C15" s="11" t="s">
        <v>271</v>
      </c>
      <c r="D15" s="11" t="n">
        <v>2</v>
      </c>
      <c r="E15" s="11" t="s">
        <v>273</v>
      </c>
      <c r="F15" s="11" t="s">
        <v>215</v>
      </c>
      <c r="G15" s="11" t="s">
        <v>314</v>
      </c>
    </row>
    <row r="16" customFormat="false" ht="15" hidden="false" customHeight="true" outlineLevel="0" collapsed="false">
      <c r="A16" s="9" t="s">
        <v>315</v>
      </c>
      <c r="B16" s="9" t="s">
        <v>316</v>
      </c>
      <c r="C16" s="9" t="s">
        <v>275</v>
      </c>
      <c r="D16" s="9" t="n">
        <v>3</v>
      </c>
      <c r="E16" s="9" t="s">
        <v>280</v>
      </c>
      <c r="F16" s="9"/>
      <c r="G16" s="9" t="s">
        <v>317</v>
      </c>
    </row>
  </sheetData>
  <autoFilter ref="A1:G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30"/>
    <col collapsed="false" customWidth="true" hidden="false" outlineLevel="0" max="3" min="3" style="1" width="8"/>
    <col collapsed="false" customWidth="true" hidden="false" outlineLevel="0" max="4" min="4" style="1" width="24"/>
    <col collapsed="false" customWidth="true" hidden="false" outlineLevel="0" max="5" min="5" style="1" width="18"/>
    <col collapsed="false" customWidth="true" hidden="false" outlineLevel="0" max="6" min="6" style="1" width="20"/>
    <col collapsed="false" customWidth="true" hidden="false" outlineLevel="0" max="7" min="7" style="1" width="18"/>
    <col collapsed="false" customWidth="true" hidden="false" outlineLevel="0" max="8" min="8" style="1" width="10"/>
    <col collapsed="false" customWidth="true" hidden="false" outlineLevel="0" max="9" min="9" style="1" width="16"/>
    <col collapsed="false" customWidth="true" hidden="false" outlineLevel="0" max="10" min="10" style="1" width="52"/>
  </cols>
  <sheetData>
    <row r="1" customFormat="false" ht="30" hidden="false" customHeight="true" outlineLevel="0" collapsed="false">
      <c r="A1" s="7" t="s">
        <v>318</v>
      </c>
      <c r="B1" s="7" t="s">
        <v>319</v>
      </c>
      <c r="C1" s="7" t="s">
        <v>320</v>
      </c>
      <c r="D1" s="7" t="s">
        <v>321</v>
      </c>
      <c r="E1" s="7" t="s">
        <v>322</v>
      </c>
      <c r="F1" s="7" t="s">
        <v>323</v>
      </c>
      <c r="G1" s="7" t="s">
        <v>324</v>
      </c>
      <c r="H1" s="8" t="s">
        <v>325</v>
      </c>
      <c r="I1" s="8" t="s">
        <v>326</v>
      </c>
      <c r="J1" s="8" t="s">
        <v>327</v>
      </c>
    </row>
    <row r="2" customFormat="false" ht="15" hidden="false" customHeight="true" outlineLevel="0" collapsed="false">
      <c r="A2" s="9" t="s">
        <v>328</v>
      </c>
      <c r="B2" s="9" t="s">
        <v>329</v>
      </c>
      <c r="C2" s="9" t="s">
        <v>330</v>
      </c>
      <c r="D2" s="9" t="s">
        <v>233</v>
      </c>
      <c r="E2" s="9" t="s">
        <v>331</v>
      </c>
      <c r="F2" s="9" t="s">
        <v>332</v>
      </c>
      <c r="G2" s="9" t="n">
        <v>90</v>
      </c>
      <c r="H2" s="10" t="n">
        <v>100</v>
      </c>
      <c r="I2" s="10" t="s">
        <v>333</v>
      </c>
      <c r="J2" s="10" t="s">
        <v>334</v>
      </c>
    </row>
    <row r="3" customFormat="false" ht="15" hidden="false" customHeight="true" outlineLevel="0" collapsed="false">
      <c r="A3" s="11" t="s">
        <v>335</v>
      </c>
      <c r="B3" s="11" t="s">
        <v>336</v>
      </c>
      <c r="C3" s="11" t="s">
        <v>330</v>
      </c>
      <c r="D3" s="11" t="s">
        <v>233</v>
      </c>
      <c r="E3" s="11" t="s">
        <v>331</v>
      </c>
      <c r="F3" s="11" t="s">
        <v>332</v>
      </c>
      <c r="G3" s="11" t="n">
        <v>90</v>
      </c>
      <c r="H3" s="12" t="n">
        <v>90</v>
      </c>
      <c r="I3" s="12" t="s">
        <v>333</v>
      </c>
      <c r="J3" s="12" t="s">
        <v>334</v>
      </c>
    </row>
    <row r="4" customFormat="false" ht="15" hidden="false" customHeight="true" outlineLevel="0" collapsed="false">
      <c r="A4" s="9" t="s">
        <v>337</v>
      </c>
      <c r="B4" s="9" t="s">
        <v>338</v>
      </c>
      <c r="C4" s="9" t="s">
        <v>339</v>
      </c>
      <c r="D4" s="9" t="s">
        <v>233</v>
      </c>
      <c r="E4" s="9" t="s">
        <v>331</v>
      </c>
      <c r="F4" s="9" t="s">
        <v>332</v>
      </c>
      <c r="G4" s="9" t="n">
        <v>90</v>
      </c>
      <c r="H4" s="10" t="n">
        <v>80</v>
      </c>
      <c r="I4" s="10" t="s">
        <v>333</v>
      </c>
      <c r="J4" s="10" t="s">
        <v>334</v>
      </c>
    </row>
    <row r="5" customFormat="false" ht="15" hidden="false" customHeight="true" outlineLevel="0" collapsed="false">
      <c r="A5" s="11" t="s">
        <v>340</v>
      </c>
      <c r="B5" s="11" t="s">
        <v>341</v>
      </c>
      <c r="C5" s="11" t="s">
        <v>339</v>
      </c>
      <c r="D5" s="11" t="s">
        <v>233</v>
      </c>
      <c r="E5" s="11" t="s">
        <v>331</v>
      </c>
      <c r="F5" s="11" t="s">
        <v>332</v>
      </c>
      <c r="G5" s="11" t="n">
        <v>60</v>
      </c>
      <c r="H5" s="12" t="n">
        <v>70</v>
      </c>
      <c r="I5" s="12" t="s">
        <v>333</v>
      </c>
      <c r="J5" s="12" t="s">
        <v>334</v>
      </c>
    </row>
    <row r="6" customFormat="false" ht="15" hidden="false" customHeight="true" outlineLevel="0" collapsed="false">
      <c r="A6" s="9" t="s">
        <v>342</v>
      </c>
      <c r="B6" s="9" t="s">
        <v>343</v>
      </c>
      <c r="C6" s="9" t="s">
        <v>344</v>
      </c>
      <c r="D6" s="9" t="s">
        <v>233</v>
      </c>
      <c r="E6" s="9" t="s">
        <v>345</v>
      </c>
      <c r="F6" s="9" t="s">
        <v>332</v>
      </c>
      <c r="G6" s="9" t="n">
        <v>60</v>
      </c>
      <c r="H6" s="10" t="n">
        <v>60</v>
      </c>
      <c r="I6" s="10" t="s">
        <v>346</v>
      </c>
      <c r="J6" s="10" t="s">
        <v>347</v>
      </c>
    </row>
    <row r="7" customFormat="false" ht="15" hidden="false" customHeight="true" outlineLevel="0" collapsed="false">
      <c r="A7" s="11" t="s">
        <v>348</v>
      </c>
      <c r="B7" s="11" t="s">
        <v>349</v>
      </c>
      <c r="C7" s="11" t="s">
        <v>344</v>
      </c>
      <c r="D7" s="11" t="s">
        <v>233</v>
      </c>
      <c r="E7" s="11" t="s">
        <v>345</v>
      </c>
      <c r="F7" s="11" t="s">
        <v>332</v>
      </c>
      <c r="G7" s="11" t="n">
        <v>60</v>
      </c>
      <c r="H7" s="12" t="n">
        <v>55</v>
      </c>
      <c r="I7" s="12" t="s">
        <v>346</v>
      </c>
      <c r="J7" s="12" t="s">
        <v>347</v>
      </c>
    </row>
    <row r="8" customFormat="false" ht="15" hidden="false" customHeight="true" outlineLevel="0" collapsed="false">
      <c r="A8" s="9" t="s">
        <v>350</v>
      </c>
      <c r="B8" s="9" t="s">
        <v>351</v>
      </c>
      <c r="C8" s="9" t="s">
        <v>344</v>
      </c>
      <c r="D8" s="9" t="s">
        <v>233</v>
      </c>
      <c r="E8" s="9" t="s">
        <v>345</v>
      </c>
      <c r="F8" s="9" t="s">
        <v>332</v>
      </c>
      <c r="G8" s="9" t="n">
        <v>30</v>
      </c>
      <c r="H8" s="10" t="n">
        <v>50</v>
      </c>
      <c r="I8" s="10" t="s">
        <v>346</v>
      </c>
      <c r="J8" s="10" t="s">
        <v>347</v>
      </c>
    </row>
    <row r="9" customFormat="false" ht="15" hidden="false" customHeight="true" outlineLevel="0" collapsed="false">
      <c r="A9" s="11" t="s">
        <v>352</v>
      </c>
      <c r="B9" s="11" t="s">
        <v>353</v>
      </c>
      <c r="C9" s="11" t="s">
        <v>354</v>
      </c>
      <c r="D9" s="11" t="s">
        <v>226</v>
      </c>
      <c r="E9" s="11" t="s">
        <v>345</v>
      </c>
      <c r="F9" s="11" t="s">
        <v>355</v>
      </c>
      <c r="G9" s="11" t="n">
        <v>30</v>
      </c>
      <c r="H9" s="12" t="n">
        <v>40</v>
      </c>
      <c r="I9" s="12" t="s">
        <v>346</v>
      </c>
      <c r="J9" s="12"/>
    </row>
    <row r="10" customFormat="false" ht="15" hidden="false" customHeight="true" outlineLevel="0" collapsed="false">
      <c r="A10" s="9" t="s">
        <v>356</v>
      </c>
      <c r="B10" s="9" t="s">
        <v>357</v>
      </c>
      <c r="C10" s="9" t="s">
        <v>354</v>
      </c>
      <c r="D10" s="9" t="s">
        <v>226</v>
      </c>
      <c r="E10" s="9" t="s">
        <v>345</v>
      </c>
      <c r="F10" s="9" t="s">
        <v>355</v>
      </c>
      <c r="G10" s="9" t="n">
        <v>30</v>
      </c>
      <c r="H10" s="10" t="n">
        <v>35</v>
      </c>
      <c r="I10" s="10" t="s">
        <v>346</v>
      </c>
      <c r="J10" s="10"/>
    </row>
    <row r="11" customFormat="false" ht="15" hidden="false" customHeight="true" outlineLevel="0" collapsed="false">
      <c r="A11" s="11" t="s">
        <v>358</v>
      </c>
      <c r="B11" s="11" t="s">
        <v>359</v>
      </c>
      <c r="C11" s="11" t="s">
        <v>354</v>
      </c>
      <c r="D11" s="11" t="s">
        <v>226</v>
      </c>
      <c r="E11" s="11" t="s">
        <v>345</v>
      </c>
      <c r="F11" s="11" t="s">
        <v>355</v>
      </c>
      <c r="G11" s="11" t="n">
        <v>30</v>
      </c>
      <c r="H11" s="12" t="n">
        <v>34</v>
      </c>
      <c r="I11" s="12" t="s">
        <v>346</v>
      </c>
      <c r="J11" s="12"/>
    </row>
    <row r="12" customFormat="false" ht="15" hidden="false" customHeight="true" outlineLevel="0" collapsed="false">
      <c r="A12" s="9" t="s">
        <v>360</v>
      </c>
      <c r="B12" s="9" t="s">
        <v>361</v>
      </c>
      <c r="C12" s="9" t="s">
        <v>362</v>
      </c>
      <c r="D12" s="9" t="s">
        <v>226</v>
      </c>
      <c r="E12" s="9" t="s">
        <v>345</v>
      </c>
      <c r="F12" s="9" t="s">
        <v>355</v>
      </c>
      <c r="G12" s="9" t="n">
        <v>30</v>
      </c>
      <c r="H12" s="10" t="n">
        <v>30</v>
      </c>
      <c r="I12" s="10" t="s">
        <v>346</v>
      </c>
      <c r="J12" s="10"/>
    </row>
    <row r="13" customFormat="false" ht="15" hidden="false" customHeight="true" outlineLevel="0" collapsed="false">
      <c r="A13" s="11" t="s">
        <v>363</v>
      </c>
      <c r="B13" s="11" t="s">
        <v>364</v>
      </c>
      <c r="C13" s="11" t="s">
        <v>362</v>
      </c>
      <c r="D13" s="11" t="s">
        <v>226</v>
      </c>
      <c r="E13" s="11" t="s">
        <v>345</v>
      </c>
      <c r="F13" s="11" t="s">
        <v>355</v>
      </c>
      <c r="G13" s="11" t="n">
        <v>30</v>
      </c>
      <c r="H13" s="12" t="n">
        <v>25</v>
      </c>
      <c r="I13" s="12" t="s">
        <v>346</v>
      </c>
      <c r="J13" s="12"/>
    </row>
    <row r="14" customFormat="false" ht="15" hidden="false" customHeight="true" outlineLevel="0" collapsed="false">
      <c r="A14" s="9" t="s">
        <v>365</v>
      </c>
      <c r="B14" s="9" t="s">
        <v>366</v>
      </c>
      <c r="C14" s="9" t="s">
        <v>362</v>
      </c>
      <c r="D14" s="9" t="s">
        <v>226</v>
      </c>
      <c r="E14" s="9" t="s">
        <v>345</v>
      </c>
      <c r="F14" s="9" t="s">
        <v>355</v>
      </c>
      <c r="G14" s="9" t="n">
        <v>30</v>
      </c>
      <c r="H14" s="10" t="n">
        <v>20</v>
      </c>
      <c r="I14" s="10" t="s">
        <v>346</v>
      </c>
      <c r="J14" s="10"/>
    </row>
    <row r="15" customFormat="false" ht="15" hidden="false" customHeight="true" outlineLevel="0" collapsed="false">
      <c r="A15" s="11" t="s">
        <v>367</v>
      </c>
      <c r="B15" s="11" t="s">
        <v>368</v>
      </c>
      <c r="C15" s="11" t="s">
        <v>362</v>
      </c>
      <c r="D15" s="11" t="s">
        <v>226</v>
      </c>
      <c r="E15" s="11" t="s">
        <v>345</v>
      </c>
      <c r="F15" s="11" t="s">
        <v>355</v>
      </c>
      <c r="G15" s="11" t="n">
        <v>30</v>
      </c>
      <c r="H15" s="12" t="n">
        <v>20</v>
      </c>
      <c r="I15" s="12" t="s">
        <v>346</v>
      </c>
      <c r="J15" s="12"/>
    </row>
    <row r="16" customFormat="false" ht="15" hidden="false" customHeight="true" outlineLevel="0" collapsed="false">
      <c r="A16" s="9" t="s">
        <v>369</v>
      </c>
      <c r="B16" s="9" t="s">
        <v>370</v>
      </c>
      <c r="C16" s="9" t="s">
        <v>371</v>
      </c>
      <c r="D16" s="9" t="s">
        <v>226</v>
      </c>
      <c r="E16" s="9" t="s">
        <v>372</v>
      </c>
      <c r="F16" s="9" t="s">
        <v>332</v>
      </c>
      <c r="G16" s="9" t="n">
        <v>15</v>
      </c>
      <c r="H16" s="10" t="n">
        <v>15</v>
      </c>
      <c r="I16" s="10" t="s">
        <v>373</v>
      </c>
      <c r="J16" s="10"/>
    </row>
    <row r="17" customFormat="false" ht="15" hidden="false" customHeight="true" outlineLevel="0" collapsed="false">
      <c r="A17" s="11" t="s">
        <v>374</v>
      </c>
      <c r="B17" s="11" t="s">
        <v>375</v>
      </c>
      <c r="C17" s="11" t="s">
        <v>371</v>
      </c>
      <c r="D17" s="11" t="s">
        <v>226</v>
      </c>
      <c r="E17" s="11" t="s">
        <v>376</v>
      </c>
      <c r="F17" s="11" t="s">
        <v>332</v>
      </c>
      <c r="G17" s="11" t="n">
        <v>15</v>
      </c>
      <c r="H17" s="12" t="n">
        <v>14</v>
      </c>
      <c r="I17" s="12" t="s">
        <v>373</v>
      </c>
      <c r="J17" s="12"/>
    </row>
    <row r="18" customFormat="false" ht="15" hidden="false" customHeight="true" outlineLevel="0" collapsed="false">
      <c r="A18" s="9" t="s">
        <v>377</v>
      </c>
      <c r="B18" s="9" t="s">
        <v>378</v>
      </c>
      <c r="C18" s="9" t="s">
        <v>379</v>
      </c>
      <c r="D18" s="9" t="s">
        <v>226</v>
      </c>
      <c r="E18" s="9" t="s">
        <v>380</v>
      </c>
      <c r="F18" s="9" t="s">
        <v>381</v>
      </c>
      <c r="G18" s="9" t="n">
        <v>7</v>
      </c>
      <c r="H18" s="10" t="n">
        <v>5</v>
      </c>
      <c r="I18" s="10" t="s">
        <v>382</v>
      </c>
      <c r="J18" s="10"/>
    </row>
    <row r="19" customFormat="false" ht="15" hidden="false" customHeight="true" outlineLevel="0" collapsed="false">
      <c r="A19" s="11" t="s">
        <v>383</v>
      </c>
      <c r="B19" s="11" t="s">
        <v>384</v>
      </c>
      <c r="C19" s="11" t="s">
        <v>379</v>
      </c>
      <c r="D19" s="11" t="s">
        <v>226</v>
      </c>
      <c r="E19" s="11" t="s">
        <v>380</v>
      </c>
      <c r="F19" s="11" t="s">
        <v>355</v>
      </c>
      <c r="G19" s="11" t="n">
        <v>7</v>
      </c>
      <c r="H19" s="12" t="n">
        <v>5</v>
      </c>
      <c r="I19" s="12" t="s">
        <v>382</v>
      </c>
      <c r="J19" s="12"/>
    </row>
    <row r="20" customFormat="false" ht="15" hidden="false" customHeight="true" outlineLevel="0" collapsed="false">
      <c r="A20" s="9" t="s">
        <v>385</v>
      </c>
      <c r="B20" s="9" t="s">
        <v>386</v>
      </c>
      <c r="C20" s="9" t="s">
        <v>371</v>
      </c>
      <c r="D20" s="9" t="s">
        <v>226</v>
      </c>
      <c r="E20" s="9" t="s">
        <v>380</v>
      </c>
      <c r="F20" s="9" t="s">
        <v>332</v>
      </c>
      <c r="G20" s="9" t="n">
        <v>7</v>
      </c>
      <c r="H20" s="10" t="n">
        <v>10</v>
      </c>
      <c r="I20" s="10" t="s">
        <v>382</v>
      </c>
      <c r="J20" s="10"/>
    </row>
    <row r="21" customFormat="false" ht="15" hidden="false" customHeight="true" outlineLevel="0" collapsed="false">
      <c r="A21" s="11" t="s">
        <v>387</v>
      </c>
      <c r="B21" s="11" t="s">
        <v>388</v>
      </c>
      <c r="C21" s="11" t="s">
        <v>344</v>
      </c>
      <c r="D21" s="11" t="s">
        <v>233</v>
      </c>
      <c r="E21" s="11" t="s">
        <v>380</v>
      </c>
      <c r="F21" s="11" t="s">
        <v>332</v>
      </c>
      <c r="G21" s="11" t="n">
        <v>30</v>
      </c>
      <c r="H21" s="12" t="n">
        <v>50</v>
      </c>
      <c r="I21" s="12" t="s">
        <v>382</v>
      </c>
      <c r="J21" s="12" t="s">
        <v>347</v>
      </c>
    </row>
    <row r="23" customFormat="false" ht="27.75" hidden="false" customHeight="true" outlineLevel="0" collapsed="false">
      <c r="A23" s="14" t="s">
        <v>389</v>
      </c>
      <c r="B23" s="14"/>
      <c r="C23" s="14"/>
      <c r="D23" s="14"/>
      <c r="E23" s="14"/>
      <c r="F23" s="14"/>
      <c r="G23" s="14"/>
      <c r="H23" s="14"/>
      <c r="I23" s="14"/>
      <c r="J23" s="14"/>
    </row>
  </sheetData>
  <autoFilter ref="A1:G21"/>
  <mergeCells count="1">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3"/>
    <col collapsed="false" customWidth="true" hidden="false" outlineLevel="0" max="4" min="4" style="1" width="24"/>
    <col collapsed="false" customWidth="true" hidden="false" outlineLevel="0" max="5" min="5" style="1" width="12"/>
    <col collapsed="false" customWidth="true" hidden="false" outlineLevel="0" max="7" min="6" style="1" width="22"/>
    <col collapsed="false" customWidth="true" hidden="false" outlineLevel="0" max="8" min="8" style="1" width="34"/>
    <col collapsed="false" customWidth="true" hidden="false" outlineLevel="0" max="9" min="9" style="1" width="20"/>
    <col collapsed="false" customWidth="true" hidden="false" outlineLevel="0" max="10" min="10" style="1" width="14"/>
  </cols>
  <sheetData>
    <row r="1" customFormat="false" ht="30" hidden="false" customHeight="true" outlineLevel="0" collapsed="false">
      <c r="A1" s="7" t="s">
        <v>390</v>
      </c>
      <c r="B1" s="7" t="s">
        <v>391</v>
      </c>
      <c r="C1" s="7" t="s">
        <v>392</v>
      </c>
      <c r="D1" s="7" t="s">
        <v>393</v>
      </c>
      <c r="E1" s="7" t="s">
        <v>394</v>
      </c>
      <c r="F1" s="7" t="s">
        <v>395</v>
      </c>
      <c r="G1" s="7" t="s">
        <v>396</v>
      </c>
      <c r="H1" s="7" t="s">
        <v>397</v>
      </c>
      <c r="I1" s="7" t="s">
        <v>398</v>
      </c>
      <c r="J1" s="7" t="s">
        <v>40</v>
      </c>
    </row>
    <row r="2" customFormat="false" ht="15" hidden="false" customHeight="true" outlineLevel="0" collapsed="false">
      <c r="A2" s="9" t="s">
        <v>399</v>
      </c>
      <c r="B2" s="9" t="s">
        <v>400</v>
      </c>
      <c r="C2" s="9" t="s">
        <v>233</v>
      </c>
      <c r="D2" s="9" t="s">
        <v>401</v>
      </c>
      <c r="E2" s="9" t="s">
        <v>402</v>
      </c>
      <c r="F2" s="9" t="s">
        <v>355</v>
      </c>
      <c r="G2" s="9" t="s">
        <v>233</v>
      </c>
      <c r="H2" s="9" t="s">
        <v>403</v>
      </c>
      <c r="I2" s="9" t="s">
        <v>404</v>
      </c>
      <c r="J2" s="9"/>
    </row>
    <row r="3" customFormat="false" ht="15" hidden="false" customHeight="true" outlineLevel="0" collapsed="false">
      <c r="A3" s="11" t="s">
        <v>405</v>
      </c>
      <c r="B3" s="11" t="s">
        <v>406</v>
      </c>
      <c r="C3" s="11" t="s">
        <v>233</v>
      </c>
      <c r="D3" s="11" t="s">
        <v>401</v>
      </c>
      <c r="E3" s="11" t="s">
        <v>402</v>
      </c>
      <c r="F3" s="11" t="s">
        <v>355</v>
      </c>
      <c r="G3" s="11" t="s">
        <v>233</v>
      </c>
      <c r="H3" s="11" t="s">
        <v>407</v>
      </c>
      <c r="I3" s="11" t="s">
        <v>404</v>
      </c>
      <c r="J3" s="11"/>
    </row>
    <row r="4" customFormat="false" ht="15" hidden="false" customHeight="true" outlineLevel="0" collapsed="false">
      <c r="A4" s="9" t="s">
        <v>408</v>
      </c>
      <c r="B4" s="9" t="s">
        <v>409</v>
      </c>
      <c r="C4" s="9" t="s">
        <v>233</v>
      </c>
      <c r="D4" s="9" t="s">
        <v>401</v>
      </c>
      <c r="E4" s="9" t="s">
        <v>402</v>
      </c>
      <c r="F4" s="9" t="s">
        <v>332</v>
      </c>
      <c r="G4" s="9" t="s">
        <v>410</v>
      </c>
      <c r="H4" s="9" t="s">
        <v>411</v>
      </c>
      <c r="I4" s="9" t="s">
        <v>404</v>
      </c>
      <c r="J4" s="9" t="s">
        <v>412</v>
      </c>
    </row>
    <row r="5" customFormat="false" ht="15" hidden="false" customHeight="true" outlineLevel="0" collapsed="false">
      <c r="A5" s="11" t="s">
        <v>413</v>
      </c>
      <c r="B5" s="11" t="s">
        <v>386</v>
      </c>
      <c r="C5" s="11" t="s">
        <v>233</v>
      </c>
      <c r="D5" s="11" t="s">
        <v>401</v>
      </c>
      <c r="E5" s="11" t="s">
        <v>414</v>
      </c>
      <c r="F5" s="11" t="s">
        <v>332</v>
      </c>
      <c r="G5" s="11" t="s">
        <v>226</v>
      </c>
      <c r="H5" s="11" t="s">
        <v>415</v>
      </c>
      <c r="I5" s="11" t="s">
        <v>404</v>
      </c>
      <c r="J5" s="11"/>
    </row>
    <row r="6" customFormat="false" ht="15" hidden="false" customHeight="true" outlineLevel="0" collapsed="false">
      <c r="A6" s="9" t="s">
        <v>416</v>
      </c>
      <c r="B6" s="9" t="s">
        <v>417</v>
      </c>
      <c r="C6" s="9" t="s">
        <v>226</v>
      </c>
      <c r="D6" s="9" t="s">
        <v>418</v>
      </c>
      <c r="E6" s="9" t="s">
        <v>419</v>
      </c>
      <c r="F6" s="9" t="s">
        <v>355</v>
      </c>
      <c r="G6" s="9" t="s">
        <v>226</v>
      </c>
      <c r="H6" s="9" t="s">
        <v>411</v>
      </c>
      <c r="I6" s="9" t="s">
        <v>404</v>
      </c>
      <c r="J6" s="9" t="s">
        <v>420</v>
      </c>
    </row>
    <row r="7" customFormat="false" ht="15" hidden="false" customHeight="true" outlineLevel="0" collapsed="false">
      <c r="A7" s="11" t="s">
        <v>421</v>
      </c>
      <c r="B7" s="11" t="s">
        <v>422</v>
      </c>
      <c r="C7" s="11" t="s">
        <v>233</v>
      </c>
      <c r="D7" s="11" t="s">
        <v>401</v>
      </c>
      <c r="E7" s="11" t="s">
        <v>402</v>
      </c>
      <c r="F7" s="11" t="s">
        <v>381</v>
      </c>
      <c r="G7" s="11" t="s">
        <v>226</v>
      </c>
      <c r="H7" s="11" t="s">
        <v>423</v>
      </c>
      <c r="I7" s="11" t="s">
        <v>424</v>
      </c>
      <c r="J7" s="11" t="s">
        <v>425</v>
      </c>
    </row>
    <row r="8" customFormat="false" ht="15" hidden="false" customHeight="true" outlineLevel="0" collapsed="false">
      <c r="A8" s="9" t="s">
        <v>426</v>
      </c>
      <c r="B8" s="9" t="s">
        <v>427</v>
      </c>
      <c r="C8" s="9" t="s">
        <v>226</v>
      </c>
      <c r="D8" s="9" t="s">
        <v>418</v>
      </c>
      <c r="E8" s="9" t="s">
        <v>419</v>
      </c>
      <c r="F8" s="9" t="s">
        <v>381</v>
      </c>
      <c r="G8" s="9" t="s">
        <v>226</v>
      </c>
      <c r="H8" s="9" t="s">
        <v>423</v>
      </c>
      <c r="I8" s="9" t="s">
        <v>424</v>
      </c>
      <c r="J8" s="9" t="s">
        <v>428</v>
      </c>
    </row>
    <row r="9" customFormat="false" ht="15" hidden="false" customHeight="true" outlineLevel="0" collapsed="false">
      <c r="A9" s="11" t="s">
        <v>429</v>
      </c>
      <c r="B9" s="11" t="s">
        <v>388</v>
      </c>
      <c r="C9" s="11" t="s">
        <v>226</v>
      </c>
      <c r="D9" s="11" t="s">
        <v>222</v>
      </c>
      <c r="E9" s="11" t="s">
        <v>430</v>
      </c>
      <c r="F9" s="11" t="s">
        <v>332</v>
      </c>
      <c r="G9" s="11" t="s">
        <v>226</v>
      </c>
      <c r="H9" s="11" t="s">
        <v>431</v>
      </c>
      <c r="I9" s="11" t="s">
        <v>222</v>
      </c>
      <c r="J9" s="11"/>
    </row>
    <row r="10" customFormat="false" ht="21.75" hidden="false" customHeight="true" outlineLevel="0" collapsed="false">
      <c r="A10" s="9" t="s">
        <v>432</v>
      </c>
      <c r="B10" s="9" t="s">
        <v>433</v>
      </c>
      <c r="C10" s="9" t="s">
        <v>226</v>
      </c>
      <c r="D10" s="9" t="s">
        <v>222</v>
      </c>
      <c r="E10" s="9" t="s">
        <v>434</v>
      </c>
      <c r="F10" s="9" t="s">
        <v>332</v>
      </c>
      <c r="G10" s="9" t="s">
        <v>226</v>
      </c>
      <c r="H10" s="9" t="s">
        <v>435</v>
      </c>
      <c r="I10" s="9" t="s">
        <v>436</v>
      </c>
      <c r="J10" s="9"/>
    </row>
    <row r="12" customFormat="false" ht="27.75" hidden="false" customHeight="true" outlineLevel="0" collapsed="false">
      <c r="A12" s="13" t="s">
        <v>437</v>
      </c>
      <c r="B12" s="13"/>
      <c r="C12" s="13"/>
      <c r="D12" s="13"/>
      <c r="E12" s="13"/>
      <c r="F12" s="13"/>
      <c r="G12" s="13"/>
      <c r="H12" s="13"/>
    </row>
  </sheetData>
  <autoFilter ref="A1:J10"/>
  <mergeCells count="1">
    <mergeCell ref="A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2"/>
    <col collapsed="false" customWidth="true" hidden="false" outlineLevel="0" max="3" min="3" style="1" width="12"/>
    <col collapsed="false" customWidth="true" hidden="false" outlineLevel="0" max="5" min="4" style="1" width="8"/>
    <col collapsed="false" customWidth="true" hidden="false" outlineLevel="0" max="6" min="6" style="1" width="13"/>
    <col collapsed="false" customWidth="true" hidden="false" outlineLevel="0" max="7" min="7" style="1" width="14"/>
    <col collapsed="false" customWidth="true" hidden="false" outlineLevel="0" max="8" min="8" style="1" width="15"/>
    <col collapsed="false" customWidth="true" hidden="false" outlineLevel="0" max="9" min="9" style="1" width="22"/>
    <col collapsed="false" customWidth="true" hidden="false" outlineLevel="0" max="10" min="10" style="1" width="21"/>
    <col collapsed="false" customWidth="true" hidden="false" outlineLevel="0" max="11" min="11" style="1" width="14"/>
    <col collapsed="false" customWidth="true" hidden="false" outlineLevel="0" max="13" min="12" style="1" width="13"/>
    <col collapsed="false" customWidth="true" hidden="false" outlineLevel="0" max="14" min="14" style="1" width="12"/>
    <col collapsed="false" customWidth="true" hidden="false" outlineLevel="0" max="15" min="15" style="1" width="11"/>
    <col collapsed="false" customWidth="true" hidden="false" outlineLevel="0" max="16" min="16" style="1" width="46"/>
  </cols>
  <sheetData>
    <row r="1" customFormat="false" ht="30" hidden="false" customHeight="true" outlineLevel="0" collapsed="false">
      <c r="A1" s="7" t="s">
        <v>438</v>
      </c>
      <c r="B1" s="7" t="s">
        <v>439</v>
      </c>
      <c r="C1" s="7" t="s">
        <v>440</v>
      </c>
      <c r="D1" s="7" t="s">
        <v>441</v>
      </c>
      <c r="E1" s="7" t="s">
        <v>442</v>
      </c>
      <c r="F1" s="7" t="s">
        <v>443</v>
      </c>
      <c r="G1" s="7" t="s">
        <v>444</v>
      </c>
      <c r="H1" s="7" t="s">
        <v>445</v>
      </c>
      <c r="I1" s="7" t="s">
        <v>446</v>
      </c>
      <c r="J1" s="7" t="s">
        <v>447</v>
      </c>
      <c r="K1" s="7" t="s">
        <v>448</v>
      </c>
      <c r="L1" s="8" t="s">
        <v>449</v>
      </c>
      <c r="M1" s="8" t="s">
        <v>450</v>
      </c>
      <c r="N1" s="8" t="s">
        <v>451</v>
      </c>
      <c r="O1" s="8" t="s">
        <v>452</v>
      </c>
      <c r="P1" s="8" t="s">
        <v>453</v>
      </c>
    </row>
    <row r="2" customFormat="false" ht="15" hidden="false" customHeight="true" outlineLevel="0" collapsed="false">
      <c r="A2" s="9" t="s">
        <v>454</v>
      </c>
      <c r="B2" s="9" t="s">
        <v>455</v>
      </c>
      <c r="C2" s="9" t="s">
        <v>456</v>
      </c>
      <c r="D2" s="9" t="s">
        <v>457</v>
      </c>
      <c r="E2" s="9" t="s">
        <v>458</v>
      </c>
      <c r="F2" s="9" t="n">
        <v>720</v>
      </c>
      <c r="G2" s="9" t="n">
        <v>60</v>
      </c>
      <c r="H2" s="9" t="n">
        <v>0</v>
      </c>
      <c r="I2" s="9" t="s">
        <v>459</v>
      </c>
      <c r="J2" s="9" t="s">
        <v>460</v>
      </c>
      <c r="K2" s="9" t="s">
        <v>226</v>
      </c>
      <c r="L2" s="15" t="n">
        <v>690</v>
      </c>
      <c r="M2" s="15" t="n">
        <v>390</v>
      </c>
      <c r="N2" s="15" t="n">
        <v>720</v>
      </c>
      <c r="O2" s="10" t="s">
        <v>233</v>
      </c>
      <c r="P2" s="10" t="s">
        <v>461</v>
      </c>
    </row>
    <row r="3" customFormat="false" ht="15" hidden="false" customHeight="true" outlineLevel="0" collapsed="false">
      <c r="A3" s="11" t="s">
        <v>462</v>
      </c>
      <c r="B3" s="11" t="s">
        <v>463</v>
      </c>
      <c r="C3" s="11" t="s">
        <v>456</v>
      </c>
      <c r="D3" s="11" t="s">
        <v>458</v>
      </c>
      <c r="E3" s="11" t="s">
        <v>457</v>
      </c>
      <c r="F3" s="11" t="n">
        <v>720</v>
      </c>
      <c r="G3" s="11" t="n">
        <v>60</v>
      </c>
      <c r="H3" s="11" t="n">
        <v>0</v>
      </c>
      <c r="I3" s="11" t="s">
        <v>464</v>
      </c>
      <c r="J3" s="11" t="s">
        <v>465</v>
      </c>
      <c r="K3" s="11" t="s">
        <v>233</v>
      </c>
      <c r="L3" s="15" t="n">
        <v>690</v>
      </c>
      <c r="M3" s="15" t="n">
        <v>390</v>
      </c>
      <c r="N3" s="15" t="n">
        <v>720</v>
      </c>
      <c r="O3" s="12" t="s">
        <v>233</v>
      </c>
      <c r="P3" s="12" t="s">
        <v>461</v>
      </c>
    </row>
    <row r="4" customFormat="false" ht="15" hidden="false" customHeight="true" outlineLevel="0" collapsed="false">
      <c r="A4" s="9" t="s">
        <v>466</v>
      </c>
      <c r="B4" s="9" t="s">
        <v>467</v>
      </c>
      <c r="C4" s="9" t="s">
        <v>468</v>
      </c>
      <c r="D4" s="9" t="s">
        <v>469</v>
      </c>
      <c r="E4" s="9" t="s">
        <v>470</v>
      </c>
      <c r="F4" s="9" t="n">
        <v>600</v>
      </c>
      <c r="G4" s="9" t="n">
        <v>45</v>
      </c>
      <c r="H4" s="9" t="n">
        <v>0</v>
      </c>
      <c r="I4" s="9" t="s">
        <v>471</v>
      </c>
      <c r="J4" s="9" t="s">
        <v>472</v>
      </c>
      <c r="K4" s="9" t="s">
        <v>226</v>
      </c>
      <c r="L4" s="15" t="n">
        <v>570</v>
      </c>
      <c r="M4" s="15" t="n">
        <v>360</v>
      </c>
      <c r="N4" s="15" t="n">
        <v>600</v>
      </c>
      <c r="O4" s="10" t="s">
        <v>233</v>
      </c>
      <c r="P4" s="10" t="s">
        <v>461</v>
      </c>
    </row>
    <row r="5" customFormat="false" ht="15" hidden="false" customHeight="true" outlineLevel="0" collapsed="false">
      <c r="A5" s="11" t="s">
        <v>473</v>
      </c>
      <c r="B5" s="11" t="s">
        <v>474</v>
      </c>
      <c r="C5" s="11" t="s">
        <v>468</v>
      </c>
      <c r="D5" s="11" t="s">
        <v>470</v>
      </c>
      <c r="E5" s="11" t="s">
        <v>475</v>
      </c>
      <c r="F5" s="11" t="n">
        <v>600</v>
      </c>
      <c r="G5" s="11" t="n">
        <v>45</v>
      </c>
      <c r="H5" s="11" t="n">
        <v>0</v>
      </c>
      <c r="I5" s="11" t="s">
        <v>476</v>
      </c>
      <c r="J5" s="11" t="s">
        <v>477</v>
      </c>
      <c r="K5" s="11" t="s">
        <v>233</v>
      </c>
      <c r="L5" s="15" t="n">
        <v>570</v>
      </c>
      <c r="M5" s="15" t="n">
        <v>360</v>
      </c>
      <c r="N5" s="15" t="n">
        <v>600</v>
      </c>
      <c r="O5" s="12" t="s">
        <v>233</v>
      </c>
      <c r="P5" s="12" t="s">
        <v>461</v>
      </c>
    </row>
    <row r="6" customFormat="false" ht="15" hidden="false" customHeight="true" outlineLevel="0" collapsed="false">
      <c r="A6" s="9" t="s">
        <v>478</v>
      </c>
      <c r="B6" s="9" t="s">
        <v>479</v>
      </c>
      <c r="C6" s="9" t="s">
        <v>480</v>
      </c>
      <c r="D6" s="9" t="s">
        <v>481</v>
      </c>
      <c r="E6" s="9" t="s">
        <v>482</v>
      </c>
      <c r="F6" s="9" t="n">
        <v>540</v>
      </c>
      <c r="G6" s="9" t="n">
        <v>45</v>
      </c>
      <c r="H6" s="9" t="n">
        <v>0</v>
      </c>
      <c r="I6" s="9" t="s">
        <v>483</v>
      </c>
      <c r="J6" s="9" t="s">
        <v>484</v>
      </c>
      <c r="K6" s="9" t="s">
        <v>226</v>
      </c>
      <c r="L6" s="15" t="n">
        <v>510</v>
      </c>
      <c r="M6" s="15" t="n">
        <v>300</v>
      </c>
      <c r="N6" s="15" t="n">
        <v>540</v>
      </c>
      <c r="O6" s="10" t="s">
        <v>233</v>
      </c>
      <c r="P6" s="10" t="s">
        <v>461</v>
      </c>
    </row>
    <row r="7" customFormat="false" ht="15" hidden="false" customHeight="true" outlineLevel="0" collapsed="false">
      <c r="A7" s="11" t="s">
        <v>485</v>
      </c>
      <c r="B7" s="11" t="s">
        <v>486</v>
      </c>
      <c r="C7" s="11" t="s">
        <v>487</v>
      </c>
      <c r="D7" s="11" t="s">
        <v>488</v>
      </c>
      <c r="E7" s="11" t="s">
        <v>489</v>
      </c>
      <c r="F7" s="11" t="n">
        <v>480</v>
      </c>
      <c r="G7" s="11" t="n">
        <v>30</v>
      </c>
      <c r="H7" s="11" t="n">
        <v>0</v>
      </c>
      <c r="I7" s="11" t="s">
        <v>457</v>
      </c>
      <c r="J7" s="11" t="s">
        <v>490</v>
      </c>
      <c r="K7" s="11" t="s">
        <v>226</v>
      </c>
      <c r="L7" s="15" t="n">
        <v>450</v>
      </c>
      <c r="M7" s="15" t="n">
        <v>270</v>
      </c>
      <c r="N7" s="15" t="n">
        <v>480</v>
      </c>
      <c r="O7" s="12" t="s">
        <v>226</v>
      </c>
      <c r="P7" s="12" t="s">
        <v>461</v>
      </c>
    </row>
    <row r="9" customFormat="false" ht="27.75" hidden="false" customHeight="true" outlineLevel="0" collapsed="false">
      <c r="A9" s="14" t="s">
        <v>491</v>
      </c>
      <c r="B9" s="14"/>
      <c r="C9" s="14"/>
      <c r="D9" s="14"/>
      <c r="E9" s="14"/>
      <c r="F9" s="14"/>
      <c r="G9" s="14"/>
      <c r="H9" s="14"/>
      <c r="I9" s="14"/>
      <c r="J9" s="14"/>
    </row>
  </sheetData>
  <autoFilter ref="A1:K7"/>
  <mergeCells count="1">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22"/>
    <col collapsed="false" customWidth="true" hidden="false" outlineLevel="0" max="5" min="4" style="1" width="13"/>
    <col collapsed="false" customWidth="true" hidden="false" outlineLevel="0" max="6" min="6" style="1" width="25"/>
    <col collapsed="false" customWidth="true" hidden="false" outlineLevel="0" max="7" min="7" style="1" width="21"/>
    <col collapsed="false" customWidth="true" hidden="false" outlineLevel="0" max="8" min="8" style="1" width="19"/>
    <col collapsed="false" customWidth="true" hidden="false" outlineLevel="0" max="9" min="9" style="1" width="34"/>
  </cols>
  <sheetData>
    <row r="1" customFormat="false" ht="30" hidden="false" customHeight="true" outlineLevel="0" collapsed="false">
      <c r="A1" s="7" t="s">
        <v>492</v>
      </c>
      <c r="B1" s="7" t="s">
        <v>449</v>
      </c>
      <c r="C1" s="7" t="s">
        <v>450</v>
      </c>
      <c r="D1" s="7" t="s">
        <v>493</v>
      </c>
      <c r="E1" s="7" t="s">
        <v>494</v>
      </c>
      <c r="F1" s="7" t="s">
        <v>495</v>
      </c>
      <c r="G1" s="7" t="s">
        <v>496</v>
      </c>
      <c r="H1" s="7" t="s">
        <v>497</v>
      </c>
      <c r="I1" s="7" t="s">
        <v>498</v>
      </c>
    </row>
    <row r="2" customFormat="false" ht="15" hidden="false" customHeight="true" outlineLevel="0" collapsed="false">
      <c r="A2" s="9" t="n">
        <v>12</v>
      </c>
      <c r="B2" s="16" t="n">
        <v>690</v>
      </c>
      <c r="C2" s="16" t="n">
        <v>390</v>
      </c>
      <c r="D2" s="9" t="n">
        <v>15</v>
      </c>
      <c r="E2" s="9" t="n">
        <v>15</v>
      </c>
      <c r="F2" s="9" t="n">
        <v>3</v>
      </c>
      <c r="G2" s="9" t="s">
        <v>475</v>
      </c>
      <c r="H2" s="9" t="s">
        <v>488</v>
      </c>
      <c r="I2" s="9" t="s">
        <v>499</v>
      </c>
    </row>
    <row r="3" customFormat="false" ht="15" hidden="false" customHeight="true" outlineLevel="0" collapsed="false">
      <c r="A3" s="11" t="n">
        <v>10</v>
      </c>
      <c r="B3" s="16" t="n">
        <v>570</v>
      </c>
      <c r="C3" s="16" t="n">
        <v>360</v>
      </c>
      <c r="D3" s="11" t="n">
        <v>15</v>
      </c>
      <c r="E3" s="11" t="n">
        <v>15</v>
      </c>
      <c r="F3" s="11" t="n">
        <v>3</v>
      </c>
      <c r="G3" s="11" t="s">
        <v>475</v>
      </c>
      <c r="H3" s="11" t="s">
        <v>488</v>
      </c>
      <c r="I3" s="11" t="s">
        <v>500</v>
      </c>
    </row>
    <row r="4" customFormat="false" ht="15" hidden="false" customHeight="true" outlineLevel="0" collapsed="false">
      <c r="A4" s="9" t="n">
        <v>9</v>
      </c>
      <c r="B4" s="16" t="n">
        <v>510</v>
      </c>
      <c r="C4" s="16" t="n">
        <v>300</v>
      </c>
      <c r="D4" s="9" t="n">
        <v>15</v>
      </c>
      <c r="E4" s="9" t="n">
        <v>15</v>
      </c>
      <c r="F4" s="9" t="n">
        <v>3</v>
      </c>
      <c r="G4" s="9" t="s">
        <v>475</v>
      </c>
      <c r="H4" s="9" t="s">
        <v>488</v>
      </c>
      <c r="I4" s="9" t="s">
        <v>501</v>
      </c>
    </row>
    <row r="5" customFormat="false" ht="15" hidden="false" customHeight="true" outlineLevel="0" collapsed="false">
      <c r="A5" s="11" t="n">
        <v>8</v>
      </c>
      <c r="B5" s="16" t="n">
        <v>450</v>
      </c>
      <c r="C5" s="16" t="n">
        <v>270</v>
      </c>
      <c r="D5" s="11" t="n">
        <v>15</v>
      </c>
      <c r="E5" s="11" t="n">
        <v>15</v>
      </c>
      <c r="F5" s="11" t="n">
        <v>3</v>
      </c>
      <c r="G5" s="11" t="s">
        <v>475</v>
      </c>
      <c r="H5" s="11" t="s">
        <v>488</v>
      </c>
      <c r="I5" s="11" t="s">
        <v>502</v>
      </c>
    </row>
    <row r="7" customFormat="false" ht="27.75" hidden="false" customHeight="true" outlineLevel="0" collapsed="false">
      <c r="A7" s="13" t="s">
        <v>503</v>
      </c>
      <c r="B7" s="13"/>
      <c r="C7" s="13"/>
      <c r="D7" s="13"/>
      <c r="E7" s="13"/>
      <c r="F7" s="13"/>
      <c r="G7" s="13"/>
      <c r="H7" s="13"/>
    </row>
  </sheetData>
  <autoFilter ref="A1:I5"/>
  <mergeCells count="1">
    <mergeCell ref="A7:H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34"/>
    <col collapsed="false" customWidth="true" hidden="false" outlineLevel="0" max="3" min="3" style="1" width="40"/>
    <col collapsed="false" customWidth="true" hidden="false" outlineLevel="0" max="4" min="4" style="1" width="13"/>
  </cols>
  <sheetData>
    <row r="1" customFormat="false" ht="30" hidden="false" customHeight="true" outlineLevel="0" collapsed="false">
      <c r="A1" s="7" t="s">
        <v>504</v>
      </c>
      <c r="B1" s="7" t="s">
        <v>505</v>
      </c>
      <c r="C1" s="7" t="s">
        <v>506</v>
      </c>
      <c r="D1" s="7" t="s">
        <v>268</v>
      </c>
    </row>
    <row r="2" customFormat="false" ht="15" hidden="false" customHeight="true" outlineLevel="0" collapsed="false">
      <c r="A2" s="9" t="s">
        <v>507</v>
      </c>
      <c r="B2" s="9" t="s">
        <v>508</v>
      </c>
      <c r="C2" s="9" t="s">
        <v>509</v>
      </c>
      <c r="D2" s="9" t="s">
        <v>510</v>
      </c>
    </row>
    <row r="3" customFormat="false" ht="15" hidden="false" customHeight="true" outlineLevel="0" collapsed="false">
      <c r="A3" s="11" t="s">
        <v>511</v>
      </c>
      <c r="B3" s="11" t="s">
        <v>512</v>
      </c>
      <c r="C3" s="11" t="s">
        <v>513</v>
      </c>
      <c r="D3" s="11" t="s">
        <v>510</v>
      </c>
    </row>
    <row r="4" customFormat="false" ht="15" hidden="false" customHeight="true" outlineLevel="0" collapsed="false">
      <c r="A4" s="9" t="s">
        <v>514</v>
      </c>
      <c r="B4" s="9" t="s">
        <v>515</v>
      </c>
      <c r="C4" s="9" t="s">
        <v>516</v>
      </c>
      <c r="D4" s="9" t="s">
        <v>517</v>
      </c>
    </row>
    <row r="5" customFormat="false" ht="15" hidden="false" customHeight="true" outlineLevel="0" collapsed="false">
      <c r="A5" s="11" t="s">
        <v>518</v>
      </c>
      <c r="B5" s="11" t="s">
        <v>519</v>
      </c>
      <c r="C5" s="11" t="s">
        <v>234</v>
      </c>
      <c r="D5" s="11" t="s">
        <v>510</v>
      </c>
    </row>
    <row r="6" customFormat="false" ht="15" hidden="false" customHeight="true" outlineLevel="0" collapsed="false">
      <c r="A6" s="9" t="s">
        <v>520</v>
      </c>
      <c r="B6" s="9" t="s">
        <v>521</v>
      </c>
      <c r="C6" s="9" t="s">
        <v>522</v>
      </c>
      <c r="D6" s="9" t="s">
        <v>510</v>
      </c>
    </row>
    <row r="7" customFormat="false" ht="15" hidden="false" customHeight="true" outlineLevel="0" collapsed="false">
      <c r="A7" s="11" t="s">
        <v>523</v>
      </c>
      <c r="B7" s="11" t="s">
        <v>524</v>
      </c>
      <c r="C7" s="11" t="s">
        <v>516</v>
      </c>
      <c r="D7" s="11" t="s">
        <v>525</v>
      </c>
    </row>
    <row r="8" customFormat="false" ht="15" hidden="false" customHeight="true" outlineLevel="0" collapsed="false">
      <c r="A8" s="9" t="s">
        <v>526</v>
      </c>
      <c r="B8" s="9" t="s">
        <v>527</v>
      </c>
      <c r="C8" s="9" t="s">
        <v>516</v>
      </c>
      <c r="D8" s="9" t="s">
        <v>517</v>
      </c>
    </row>
    <row r="9" customFormat="false" ht="15" hidden="false" customHeight="true" outlineLevel="0" collapsed="false">
      <c r="A9" s="11" t="s">
        <v>528</v>
      </c>
      <c r="B9" s="11" t="s">
        <v>529</v>
      </c>
      <c r="C9" s="11" t="s">
        <v>530</v>
      </c>
      <c r="D9" s="11" t="s">
        <v>510</v>
      </c>
    </row>
    <row r="10" customFormat="false" ht="15" hidden="false" customHeight="true" outlineLevel="0" collapsed="false">
      <c r="A10" s="9" t="s">
        <v>531</v>
      </c>
      <c r="B10" s="9" t="s">
        <v>532</v>
      </c>
      <c r="C10" s="9" t="s">
        <v>533</v>
      </c>
      <c r="D10" s="9" t="s">
        <v>510</v>
      </c>
    </row>
    <row r="11" customFormat="false" ht="15" hidden="false" customHeight="true" outlineLevel="0" collapsed="false">
      <c r="A11" s="11" t="s">
        <v>534</v>
      </c>
      <c r="B11" s="11" t="s">
        <v>535</v>
      </c>
      <c r="C11" s="11" t="s">
        <v>516</v>
      </c>
      <c r="D11" s="11" t="s">
        <v>517</v>
      </c>
    </row>
    <row r="12" customFormat="false" ht="15" hidden="false" customHeight="true" outlineLevel="0" collapsed="false">
      <c r="A12" s="9" t="s">
        <v>536</v>
      </c>
      <c r="B12" s="9" t="s">
        <v>537</v>
      </c>
      <c r="C12" s="9" t="s">
        <v>538</v>
      </c>
      <c r="D12" s="9" t="s">
        <v>510</v>
      </c>
    </row>
    <row r="13" customFormat="false" ht="15" hidden="false" customHeight="true" outlineLevel="0" collapsed="false">
      <c r="A13" s="11" t="s">
        <v>539</v>
      </c>
      <c r="B13" s="11" t="s">
        <v>540</v>
      </c>
      <c r="C13" s="11" t="s">
        <v>516</v>
      </c>
      <c r="D13" s="11" t="s">
        <v>510</v>
      </c>
    </row>
    <row r="14" customFormat="false" ht="15" hidden="false" customHeight="true" outlineLevel="0" collapsed="false">
      <c r="A14" s="9" t="s">
        <v>541</v>
      </c>
      <c r="B14" s="9" t="s">
        <v>542</v>
      </c>
      <c r="C14" s="9" t="s">
        <v>254</v>
      </c>
      <c r="D14" s="9" t="s">
        <v>510</v>
      </c>
    </row>
    <row r="16" customFormat="false" ht="27.75" hidden="false" customHeight="true" outlineLevel="0" collapsed="false">
      <c r="A16" s="13" t="s">
        <v>543</v>
      </c>
      <c r="B16" s="13"/>
      <c r="C16" s="13"/>
      <c r="D16" s="13"/>
    </row>
  </sheetData>
  <autoFilter ref="A1:D14"/>
  <mergeCells count="1">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14"/>
    <col collapsed="false" customWidth="true" hidden="false" outlineLevel="0" max="5" min="4" style="1" width="12"/>
    <col collapsed="false" customWidth="true" hidden="false" outlineLevel="0" max="6" min="6" style="1" width="10"/>
    <col collapsed="false" customWidth="true" hidden="false" outlineLevel="0" max="7" min="7" style="1" width="17"/>
    <col collapsed="false" customWidth="true" hidden="false" outlineLevel="0" max="8" min="8" style="1" width="14"/>
    <col collapsed="false" customWidth="true" hidden="false" outlineLevel="0" max="10" min="9" style="1" width="13"/>
  </cols>
  <sheetData>
    <row r="1" customFormat="false" ht="30" hidden="false" customHeight="true" outlineLevel="0" collapsed="false">
      <c r="A1" s="7" t="s">
        <v>544</v>
      </c>
      <c r="B1" s="7" t="s">
        <v>545</v>
      </c>
      <c r="C1" s="7" t="s">
        <v>546</v>
      </c>
      <c r="D1" s="7" t="s">
        <v>547</v>
      </c>
      <c r="E1" s="7" t="s">
        <v>548</v>
      </c>
      <c r="F1" s="7" t="s">
        <v>549</v>
      </c>
      <c r="G1" s="7" t="s">
        <v>550</v>
      </c>
      <c r="H1" s="7" t="s">
        <v>551</v>
      </c>
      <c r="I1" s="7" t="s">
        <v>552</v>
      </c>
      <c r="J1" s="7" t="s">
        <v>40</v>
      </c>
    </row>
    <row r="2" customFormat="false" ht="15" hidden="false" customHeight="true" outlineLevel="0" collapsed="false">
      <c r="A2" s="9" t="s">
        <v>553</v>
      </c>
      <c r="B2" s="9" t="s">
        <v>278</v>
      </c>
      <c r="C2" s="9" t="s">
        <v>365</v>
      </c>
      <c r="D2" s="9" t="s">
        <v>227</v>
      </c>
      <c r="E2" s="9" t="n">
        <v>24</v>
      </c>
      <c r="F2" s="9" t="n">
        <v>24</v>
      </c>
      <c r="G2" s="9" t="n">
        <v>1</v>
      </c>
      <c r="H2" s="9" t="s">
        <v>554</v>
      </c>
      <c r="I2" s="9" t="s">
        <v>555</v>
      </c>
      <c r="J2" s="9" t="s">
        <v>556</v>
      </c>
    </row>
    <row r="3" customFormat="false" ht="15" hidden="false" customHeight="true" outlineLevel="0" collapsed="false">
      <c r="A3" s="11" t="s">
        <v>557</v>
      </c>
      <c r="B3" s="11" t="s">
        <v>278</v>
      </c>
      <c r="C3" s="11" t="s">
        <v>352</v>
      </c>
      <c r="D3" s="11" t="s">
        <v>227</v>
      </c>
      <c r="E3" s="11" t="n">
        <v>4</v>
      </c>
      <c r="F3" s="11" t="n">
        <v>3</v>
      </c>
      <c r="G3" s="11" t="n">
        <v>1</v>
      </c>
      <c r="H3" s="11" t="s">
        <v>554</v>
      </c>
      <c r="I3" s="11" t="s">
        <v>555</v>
      </c>
      <c r="J3" s="11" t="s">
        <v>558</v>
      </c>
    </row>
    <row r="4" customFormat="false" ht="15" hidden="false" customHeight="true" outlineLevel="0" collapsed="false">
      <c r="A4" s="9" t="s">
        <v>559</v>
      </c>
      <c r="B4" s="9" t="s">
        <v>282</v>
      </c>
      <c r="C4" s="9" t="s">
        <v>363</v>
      </c>
      <c r="D4" s="9" t="s">
        <v>227</v>
      </c>
      <c r="E4" s="9" t="n">
        <v>12</v>
      </c>
      <c r="F4" s="9" t="n">
        <v>11</v>
      </c>
      <c r="G4" s="9" t="n">
        <v>0</v>
      </c>
      <c r="H4" s="9" t="s">
        <v>554</v>
      </c>
      <c r="I4" s="9" t="s">
        <v>555</v>
      </c>
      <c r="J4" s="9"/>
    </row>
    <row r="5" customFormat="false" ht="15" hidden="false" customHeight="true" outlineLevel="0" collapsed="false">
      <c r="A5" s="11" t="s">
        <v>560</v>
      </c>
      <c r="B5" s="11" t="s">
        <v>285</v>
      </c>
      <c r="C5" s="11" t="s">
        <v>360</v>
      </c>
      <c r="D5" s="11" t="s">
        <v>227</v>
      </c>
      <c r="E5" s="11" t="n">
        <v>6</v>
      </c>
      <c r="F5" s="11" t="n">
        <v>6</v>
      </c>
      <c r="G5" s="11" t="n">
        <v>0</v>
      </c>
      <c r="H5" s="11" t="s">
        <v>554</v>
      </c>
      <c r="I5" s="11" t="s">
        <v>555</v>
      </c>
      <c r="J5" s="11" t="s">
        <v>561</v>
      </c>
    </row>
    <row r="6" customFormat="false" ht="15" hidden="false" customHeight="true" outlineLevel="0" collapsed="false">
      <c r="A6" s="9" t="s">
        <v>562</v>
      </c>
      <c r="B6" s="9" t="s">
        <v>288</v>
      </c>
      <c r="C6" s="9" t="s">
        <v>367</v>
      </c>
      <c r="D6" s="9" t="s">
        <v>227</v>
      </c>
      <c r="E6" s="9" t="n">
        <v>8</v>
      </c>
      <c r="F6" s="9" t="n">
        <v>8</v>
      </c>
      <c r="G6" s="9" t="n">
        <v>0</v>
      </c>
      <c r="H6" s="9" t="s">
        <v>554</v>
      </c>
      <c r="I6" s="9" t="s">
        <v>555</v>
      </c>
      <c r="J6" s="9"/>
    </row>
    <row r="7" customFormat="false" ht="15" hidden="false" customHeight="true" outlineLevel="0" collapsed="false">
      <c r="A7" s="11" t="s">
        <v>563</v>
      </c>
      <c r="B7" s="11" t="s">
        <v>282</v>
      </c>
      <c r="C7" s="11" t="s">
        <v>365</v>
      </c>
      <c r="D7" s="11" t="s">
        <v>234</v>
      </c>
      <c r="E7" s="11" t="n">
        <v>18</v>
      </c>
      <c r="F7" s="11" t="n">
        <v>16</v>
      </c>
      <c r="G7" s="11" t="n">
        <v>2</v>
      </c>
      <c r="H7" s="11" t="s">
        <v>554</v>
      </c>
      <c r="I7" s="11" t="s">
        <v>555</v>
      </c>
      <c r="J7" s="11"/>
    </row>
    <row r="8" customFormat="false" ht="15" hidden="false" customHeight="true" outlineLevel="0" collapsed="false">
      <c r="A8" s="9" t="s">
        <v>564</v>
      </c>
      <c r="B8" s="9" t="s">
        <v>278</v>
      </c>
      <c r="C8" s="9" t="s">
        <v>352</v>
      </c>
      <c r="D8" s="9" t="s">
        <v>234</v>
      </c>
      <c r="E8" s="9" t="n">
        <v>3</v>
      </c>
      <c r="F8" s="9" t="n">
        <v>3</v>
      </c>
      <c r="G8" s="9" t="n">
        <v>0</v>
      </c>
      <c r="H8" s="9" t="s">
        <v>554</v>
      </c>
      <c r="I8" s="9" t="s">
        <v>555</v>
      </c>
      <c r="J8" s="9"/>
    </row>
    <row r="9" customFormat="false" ht="15" hidden="false" customHeight="true" outlineLevel="0" collapsed="false">
      <c r="A9" s="11" t="s">
        <v>565</v>
      </c>
      <c r="B9" s="11" t="s">
        <v>285</v>
      </c>
      <c r="C9" s="11" t="s">
        <v>356</v>
      </c>
      <c r="D9" s="11" t="s">
        <v>244</v>
      </c>
      <c r="E9" s="11" t="n">
        <v>5</v>
      </c>
      <c r="F9" s="11" t="n">
        <v>4</v>
      </c>
      <c r="G9" s="11" t="n">
        <v>0</v>
      </c>
      <c r="H9" s="11" t="s">
        <v>554</v>
      </c>
      <c r="I9" s="11" t="s">
        <v>555</v>
      </c>
      <c r="J9" s="11"/>
    </row>
    <row r="10" customFormat="false" ht="15" hidden="false" customHeight="true" outlineLevel="0" collapsed="false">
      <c r="A10" s="9" t="s">
        <v>566</v>
      </c>
      <c r="B10" s="9" t="s">
        <v>278</v>
      </c>
      <c r="C10" s="9" t="s">
        <v>365</v>
      </c>
      <c r="D10" s="9" t="s">
        <v>254</v>
      </c>
      <c r="E10" s="9" t="n">
        <v>20</v>
      </c>
      <c r="F10" s="9" t="n">
        <v>18</v>
      </c>
      <c r="G10" s="9" t="n">
        <v>1</v>
      </c>
      <c r="H10" s="9" t="s">
        <v>554</v>
      </c>
      <c r="I10" s="9" t="s">
        <v>555</v>
      </c>
      <c r="J10" s="9"/>
    </row>
    <row r="11" customFormat="false" ht="15" hidden="false" customHeight="true" outlineLevel="0" collapsed="false">
      <c r="A11" s="11" t="s">
        <v>567</v>
      </c>
      <c r="B11" s="11" t="s">
        <v>297</v>
      </c>
      <c r="C11" s="11" t="s">
        <v>360</v>
      </c>
      <c r="D11" s="11" t="s">
        <v>234</v>
      </c>
      <c r="E11" s="11" t="n">
        <v>3</v>
      </c>
      <c r="F11" s="11" t="n">
        <v>3</v>
      </c>
      <c r="G11" s="11" t="n">
        <v>0</v>
      </c>
      <c r="H11" s="11" t="s">
        <v>554</v>
      </c>
      <c r="I11" s="11" t="s">
        <v>555</v>
      </c>
      <c r="J11" s="11"/>
    </row>
    <row r="13" customFormat="false" ht="27.75" hidden="false" customHeight="true" outlineLevel="0" collapsed="false">
      <c r="A13" s="14" t="s">
        <v>568</v>
      </c>
      <c r="B13" s="14"/>
      <c r="C13" s="14"/>
      <c r="D13" s="14"/>
      <c r="E13" s="14"/>
      <c r="F13" s="14"/>
      <c r="G13" s="14"/>
      <c r="H13" s="14"/>
      <c r="I13" s="14"/>
      <c r="J13" s="14"/>
    </row>
  </sheetData>
  <autoFilter ref="A1:J11"/>
  <mergeCells count="1">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3" min="3" style="1" width="11"/>
    <col collapsed="false" customWidth="true" hidden="false" outlineLevel="0" max="4" min="4" style="1" width="12"/>
    <col collapsed="false" customWidth="true" hidden="false" outlineLevel="0" max="5" min="5" style="1" width="8"/>
    <col collapsed="false" customWidth="true" hidden="false" outlineLevel="0" max="6" min="6" style="1" width="12"/>
    <col collapsed="false" customWidth="true" hidden="false" outlineLevel="0" max="7" min="7" style="1" width="10"/>
    <col collapsed="false" customWidth="true" hidden="false" outlineLevel="0" max="8" min="8" style="1" width="17"/>
    <col collapsed="false" customWidth="true" hidden="false" outlineLevel="0" max="9" min="9" style="1" width="15"/>
    <col collapsed="false" customWidth="true" hidden="false" outlineLevel="0" max="10" min="10" style="1" width="13"/>
    <col collapsed="false" customWidth="true" hidden="false" outlineLevel="0" max="11" min="11" style="1" width="12"/>
  </cols>
  <sheetData>
    <row r="1" customFormat="false" ht="30" hidden="false" customHeight="true" outlineLevel="0" collapsed="false">
      <c r="A1" s="7" t="s">
        <v>569</v>
      </c>
      <c r="B1" s="7" t="s">
        <v>319</v>
      </c>
      <c r="C1" s="7" t="s">
        <v>545</v>
      </c>
      <c r="D1" s="7" t="s">
        <v>547</v>
      </c>
      <c r="E1" s="7" t="s">
        <v>570</v>
      </c>
      <c r="F1" s="7" t="s">
        <v>270</v>
      </c>
      <c r="G1" s="7" t="s">
        <v>185</v>
      </c>
      <c r="H1" s="7" t="s">
        <v>571</v>
      </c>
      <c r="I1" s="7" t="s">
        <v>572</v>
      </c>
      <c r="J1" s="7" t="s">
        <v>573</v>
      </c>
      <c r="K1" s="7" t="s">
        <v>40</v>
      </c>
    </row>
    <row r="2" customFormat="false" ht="15" hidden="false" customHeight="true" outlineLevel="0" collapsed="false">
      <c r="A2" s="9" t="s">
        <v>574</v>
      </c>
      <c r="B2" s="9" t="s">
        <v>575</v>
      </c>
      <c r="C2" s="9" t="s">
        <v>278</v>
      </c>
      <c r="D2" s="9" t="s">
        <v>227</v>
      </c>
      <c r="E2" s="9" t="s">
        <v>354</v>
      </c>
      <c r="F2" s="9" t="s">
        <v>281</v>
      </c>
      <c r="G2" s="9" t="s">
        <v>576</v>
      </c>
      <c r="H2" s="9"/>
      <c r="I2" s="9" t="s">
        <v>577</v>
      </c>
      <c r="J2" s="9" t="s">
        <v>578</v>
      </c>
      <c r="K2" s="9" t="s">
        <v>558</v>
      </c>
    </row>
    <row r="3" customFormat="false" ht="15" hidden="false" customHeight="true" outlineLevel="0" collapsed="false">
      <c r="A3" s="11" t="s">
        <v>579</v>
      </c>
      <c r="B3" s="11" t="s">
        <v>575</v>
      </c>
      <c r="C3" s="11" t="s">
        <v>278</v>
      </c>
      <c r="D3" s="11" t="s">
        <v>227</v>
      </c>
      <c r="E3" s="11" t="s">
        <v>354</v>
      </c>
      <c r="F3" s="11" t="s">
        <v>281</v>
      </c>
      <c r="G3" s="11" t="s">
        <v>549</v>
      </c>
      <c r="H3" s="11" t="s">
        <v>580</v>
      </c>
      <c r="I3" s="11"/>
      <c r="J3" s="11"/>
      <c r="K3" s="11"/>
    </row>
    <row r="4" customFormat="false" ht="15" hidden="false" customHeight="true" outlineLevel="0" collapsed="false">
      <c r="A4" s="9" t="s">
        <v>581</v>
      </c>
      <c r="B4" s="9" t="s">
        <v>582</v>
      </c>
      <c r="C4" s="9" t="s">
        <v>285</v>
      </c>
      <c r="D4" s="9" t="s">
        <v>227</v>
      </c>
      <c r="E4" s="9" t="s">
        <v>362</v>
      </c>
      <c r="F4" s="9" t="s">
        <v>287</v>
      </c>
      <c r="G4" s="9" t="s">
        <v>549</v>
      </c>
      <c r="H4" s="9" t="s">
        <v>583</v>
      </c>
      <c r="I4" s="9"/>
      <c r="J4" s="9"/>
      <c r="K4" s="9"/>
    </row>
    <row r="5" customFormat="false" ht="15" hidden="false" customHeight="true" outlineLevel="0" collapsed="false">
      <c r="A5" s="11" t="s">
        <v>584</v>
      </c>
      <c r="B5" s="11" t="s">
        <v>585</v>
      </c>
      <c r="C5" s="11" t="s">
        <v>288</v>
      </c>
      <c r="D5" s="11" t="s">
        <v>227</v>
      </c>
      <c r="E5" s="11" t="s">
        <v>362</v>
      </c>
      <c r="F5" s="11" t="s">
        <v>290</v>
      </c>
      <c r="G5" s="11" t="s">
        <v>549</v>
      </c>
      <c r="H5" s="11" t="s">
        <v>586</v>
      </c>
      <c r="I5" s="11"/>
      <c r="J5" s="11"/>
      <c r="K5" s="11"/>
    </row>
    <row r="6" customFormat="false" ht="15" hidden="false" customHeight="true" outlineLevel="0" collapsed="false">
      <c r="A6" s="9" t="s">
        <v>587</v>
      </c>
      <c r="B6" s="9" t="s">
        <v>588</v>
      </c>
      <c r="C6" s="9" t="s">
        <v>294</v>
      </c>
      <c r="D6" s="9" t="s">
        <v>227</v>
      </c>
      <c r="E6" s="9" t="s">
        <v>362</v>
      </c>
      <c r="F6" s="9" t="s">
        <v>296</v>
      </c>
      <c r="G6" s="9" t="s">
        <v>549</v>
      </c>
      <c r="H6" s="9" t="s">
        <v>589</v>
      </c>
      <c r="I6" s="9"/>
      <c r="J6" s="9"/>
      <c r="K6" s="9"/>
    </row>
    <row r="7" customFormat="false" ht="15" hidden="false" customHeight="true" outlineLevel="0" collapsed="false">
      <c r="A7" s="11" t="s">
        <v>590</v>
      </c>
      <c r="B7" s="11" t="s">
        <v>591</v>
      </c>
      <c r="C7" s="11" t="s">
        <v>282</v>
      </c>
      <c r="D7" s="11" t="s">
        <v>234</v>
      </c>
      <c r="E7" s="11" t="s">
        <v>362</v>
      </c>
      <c r="F7" s="11" t="s">
        <v>284</v>
      </c>
      <c r="G7" s="11" t="s">
        <v>576</v>
      </c>
      <c r="H7" s="11"/>
      <c r="I7" s="11" t="s">
        <v>592</v>
      </c>
      <c r="J7" s="11" t="s">
        <v>593</v>
      </c>
      <c r="K7" s="11"/>
    </row>
    <row r="8" customFormat="false" ht="15" hidden="false" customHeight="true" outlineLevel="0" collapsed="false">
      <c r="A8" s="9" t="s">
        <v>594</v>
      </c>
      <c r="B8" s="9" t="s">
        <v>591</v>
      </c>
      <c r="C8" s="9" t="s">
        <v>282</v>
      </c>
      <c r="D8" s="9" t="s">
        <v>234</v>
      </c>
      <c r="E8" s="9" t="s">
        <v>362</v>
      </c>
      <c r="F8" s="9" t="s">
        <v>284</v>
      </c>
      <c r="G8" s="9" t="s">
        <v>576</v>
      </c>
      <c r="H8" s="9"/>
      <c r="I8" s="9" t="s">
        <v>595</v>
      </c>
      <c r="J8" s="9" t="s">
        <v>596</v>
      </c>
      <c r="K8" s="9"/>
    </row>
    <row r="9" customFormat="false" ht="15" hidden="false" customHeight="true" outlineLevel="0" collapsed="false">
      <c r="A9" s="11" t="s">
        <v>597</v>
      </c>
      <c r="B9" s="11" t="s">
        <v>598</v>
      </c>
      <c r="C9" s="11" t="s">
        <v>300</v>
      </c>
      <c r="D9" s="11" t="s">
        <v>215</v>
      </c>
      <c r="E9" s="11" t="s">
        <v>354</v>
      </c>
      <c r="F9" s="11" t="s">
        <v>302</v>
      </c>
      <c r="G9" s="11" t="s">
        <v>549</v>
      </c>
      <c r="H9" s="11" t="s">
        <v>599</v>
      </c>
      <c r="I9" s="11"/>
      <c r="J9" s="11"/>
      <c r="K9" s="11"/>
    </row>
    <row r="10" customFormat="false" ht="15" hidden="false" customHeight="true" outlineLevel="0" collapsed="false">
      <c r="A10" s="9" t="s">
        <v>600</v>
      </c>
      <c r="B10" s="9" t="s">
        <v>601</v>
      </c>
      <c r="C10" s="9" t="s">
        <v>297</v>
      </c>
      <c r="D10" s="9" t="s">
        <v>234</v>
      </c>
      <c r="E10" s="9" t="s">
        <v>362</v>
      </c>
      <c r="F10" s="9" t="s">
        <v>299</v>
      </c>
      <c r="G10" s="9" t="s">
        <v>549</v>
      </c>
      <c r="H10" s="9" t="s">
        <v>602</v>
      </c>
      <c r="I10" s="9"/>
      <c r="J10" s="9"/>
      <c r="K10" s="9"/>
    </row>
    <row r="11" customFormat="false" ht="15" hidden="false" customHeight="true" outlineLevel="0" collapsed="false">
      <c r="A11" s="11" t="s">
        <v>603</v>
      </c>
      <c r="B11" s="11" t="s">
        <v>604</v>
      </c>
      <c r="C11" s="11" t="s">
        <v>278</v>
      </c>
      <c r="D11" s="11" t="s">
        <v>254</v>
      </c>
      <c r="E11" s="11" t="s">
        <v>362</v>
      </c>
      <c r="F11" s="11" t="s">
        <v>281</v>
      </c>
      <c r="G11" s="11" t="s">
        <v>576</v>
      </c>
      <c r="H11" s="11"/>
      <c r="I11" s="11" t="s">
        <v>605</v>
      </c>
      <c r="J11" s="11" t="s">
        <v>606</v>
      </c>
      <c r="K11" s="11"/>
    </row>
    <row r="13" customFormat="false" ht="27.75" hidden="false" customHeight="true" outlineLevel="0" collapsed="false">
      <c r="A13" s="13" t="s">
        <v>607</v>
      </c>
      <c r="B13" s="13"/>
      <c r="C13" s="13"/>
      <c r="D13" s="13"/>
      <c r="E13" s="13"/>
      <c r="F13" s="13"/>
      <c r="G13" s="13"/>
      <c r="H13" s="13"/>
    </row>
  </sheetData>
  <autoFilter ref="A1:K11"/>
  <mergeCells count="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8"/>
    <col collapsed="false" customWidth="true" hidden="false" outlineLevel="0" max="4" min="4" style="1" width="13"/>
    <col collapsed="false" customWidth="true" hidden="false" outlineLevel="0" max="5" min="5" style="1" width="14"/>
    <col collapsed="false" customWidth="true" hidden="false" outlineLevel="0" max="6" min="6" style="1" width="8"/>
    <col collapsed="false" customWidth="true" hidden="false" outlineLevel="0" max="7" min="7" style="1" width="11"/>
    <col collapsed="false" customWidth="true" hidden="false" outlineLevel="0" max="8" min="8" style="1" width="10"/>
    <col collapsed="false" customWidth="true" hidden="false" outlineLevel="0" max="9" min="9" style="1" width="12"/>
    <col collapsed="false" customWidth="true" hidden="false" outlineLevel="0" max="10" min="10" style="1" width="7"/>
    <col collapsed="false" customWidth="true" hidden="false" outlineLevel="0" max="13" min="11" style="1" width="12"/>
    <col collapsed="false" customWidth="true" hidden="false" outlineLevel="0" max="14" min="14" style="1" width="13"/>
    <col collapsed="false" customWidth="true" hidden="false" outlineLevel="0" max="15" min="15" style="1" width="22"/>
    <col collapsed="false" customWidth="true" hidden="false" outlineLevel="0" max="16" min="16" style="1" width="13"/>
    <col collapsed="false" customWidth="true" hidden="false" outlineLevel="0" max="17" min="17" style="1" width="9"/>
    <col collapsed="false" customWidth="true" hidden="false" outlineLevel="0" max="18" min="18" style="1" width="11"/>
    <col collapsed="false" customWidth="true" hidden="false" outlineLevel="0" max="19" min="19" style="1" width="17"/>
    <col collapsed="false" customWidth="true" hidden="false" outlineLevel="0" max="20" min="20" style="1" width="14"/>
    <col collapsed="false" customWidth="true" hidden="false" outlineLevel="0" max="21" min="21" style="1" width="54"/>
    <col collapsed="false" customWidth="true" hidden="false" outlineLevel="0" max="23" min="22" style="1" width="20"/>
    <col collapsed="false" customWidth="true" hidden="false" outlineLevel="0" max="24" min="24" style="1" width="10"/>
    <col collapsed="false" customWidth="true" hidden="false" outlineLevel="0" max="25" min="25" style="1" width="16"/>
    <col collapsed="false" customWidth="true" hidden="false" outlineLevel="0" max="26" min="26" style="1" width="10"/>
    <col collapsed="false" customWidth="true" hidden="false" outlineLevel="0" max="27" min="27" style="1" width="9"/>
    <col collapsed="false" customWidth="true" hidden="false" outlineLevel="0" max="28" min="28" style="1" width="18"/>
    <col collapsed="false" customWidth="true" hidden="false" outlineLevel="0" max="29" min="29" style="1" width="10"/>
    <col collapsed="false" customWidth="true" hidden="false" outlineLevel="0" max="30" min="30" style="1" width="12"/>
    <col collapsed="false" customWidth="true" hidden="false" outlineLevel="0" max="31" min="31" style="1" width="14"/>
    <col collapsed="false" customWidth="true" hidden="false" outlineLevel="0" max="33" min="32" style="1" width="10"/>
    <col collapsed="false" customWidth="true" hidden="false" outlineLevel="0" max="34" min="34" style="1" width="20"/>
    <col collapsed="false" customWidth="true" hidden="false" outlineLevel="0" max="35" min="35" style="1" width="16"/>
    <col collapsed="false" customWidth="true" hidden="false" outlineLevel="0" max="36" min="36" style="1" width="14"/>
    <col collapsed="false" customWidth="true" hidden="false" outlineLevel="0" max="37" min="37" style="1" width="11"/>
    <col collapsed="false" customWidth="true" hidden="false" outlineLevel="0" max="38" min="38" style="1" width="9"/>
    <col collapsed="false" customWidth="true" hidden="false" outlineLevel="0" max="39" min="39" style="1" width="12"/>
    <col collapsed="false" customWidth="true" hidden="false" outlineLevel="0" max="41" min="40" style="1" width="11"/>
    <col collapsed="false" customWidth="true" hidden="false" outlineLevel="0" max="42" min="42" style="1" width="13"/>
    <col collapsed="false" customWidth="true" hidden="false" outlineLevel="0" max="43" min="43" style="1" width="40"/>
  </cols>
  <sheetData>
    <row r="1" customFormat="false" ht="30" hidden="false" customHeight="true" outlineLevel="0" collapsed="false">
      <c r="A1" s="7" t="s">
        <v>608</v>
      </c>
      <c r="B1" s="7" t="s">
        <v>609</v>
      </c>
      <c r="C1" s="7" t="s">
        <v>610</v>
      </c>
      <c r="D1" s="7" t="s">
        <v>611</v>
      </c>
      <c r="E1" s="7" t="s">
        <v>612</v>
      </c>
      <c r="F1" s="7" t="s">
        <v>204</v>
      </c>
      <c r="G1" s="7" t="s">
        <v>547</v>
      </c>
      <c r="H1" s="7" t="s">
        <v>545</v>
      </c>
      <c r="I1" s="7" t="s">
        <v>546</v>
      </c>
      <c r="J1" s="7" t="s">
        <v>320</v>
      </c>
      <c r="K1" s="7" t="s">
        <v>613</v>
      </c>
      <c r="L1" s="7" t="s">
        <v>440</v>
      </c>
      <c r="M1" s="7" t="s">
        <v>614</v>
      </c>
      <c r="N1" s="7" t="s">
        <v>615</v>
      </c>
      <c r="O1" s="7" t="s">
        <v>616</v>
      </c>
      <c r="P1" s="7" t="s">
        <v>213</v>
      </c>
      <c r="Q1" s="7" t="s">
        <v>617</v>
      </c>
      <c r="R1" s="7" t="s">
        <v>185</v>
      </c>
      <c r="S1" s="7" t="s">
        <v>618</v>
      </c>
      <c r="T1" s="7" t="s">
        <v>619</v>
      </c>
      <c r="U1" s="7" t="s">
        <v>620</v>
      </c>
      <c r="V1" s="8" t="s">
        <v>621</v>
      </c>
      <c r="W1" s="8" t="s">
        <v>622</v>
      </c>
      <c r="X1" s="8" t="s">
        <v>623</v>
      </c>
      <c r="Y1" s="8" t="s">
        <v>393</v>
      </c>
      <c r="Z1" s="8" t="s">
        <v>624</v>
      </c>
      <c r="AA1" s="8" t="s">
        <v>625</v>
      </c>
      <c r="AB1" s="8" t="s">
        <v>626</v>
      </c>
      <c r="AC1" s="8" t="s">
        <v>627</v>
      </c>
      <c r="AD1" s="8" t="s">
        <v>628</v>
      </c>
      <c r="AE1" s="8" t="s">
        <v>322</v>
      </c>
      <c r="AF1" s="8" t="s">
        <v>629</v>
      </c>
      <c r="AG1" s="8" t="s">
        <v>630</v>
      </c>
      <c r="AH1" s="8" t="s">
        <v>631</v>
      </c>
      <c r="AI1" s="8" t="s">
        <v>632</v>
      </c>
      <c r="AJ1" s="8" t="s">
        <v>633</v>
      </c>
      <c r="AK1" s="8" t="s">
        <v>634</v>
      </c>
      <c r="AL1" s="8" t="s">
        <v>325</v>
      </c>
      <c r="AM1" s="8" t="s">
        <v>321</v>
      </c>
      <c r="AN1" s="8" t="s">
        <v>635</v>
      </c>
      <c r="AO1" s="8" t="s">
        <v>636</v>
      </c>
      <c r="AP1" s="8" t="s">
        <v>637</v>
      </c>
      <c r="AQ1" s="8" t="s">
        <v>638</v>
      </c>
    </row>
    <row r="2" customFormat="false" ht="15" hidden="false" customHeight="true" outlineLevel="0" collapsed="false">
      <c r="A2" s="9" t="s">
        <v>639</v>
      </c>
      <c r="B2" s="9" t="s">
        <v>640</v>
      </c>
      <c r="C2" s="9" t="s">
        <v>641</v>
      </c>
      <c r="D2" s="9" t="s">
        <v>642</v>
      </c>
      <c r="E2" s="9" t="s">
        <v>643</v>
      </c>
      <c r="F2" s="9" t="s">
        <v>186</v>
      </c>
      <c r="G2" s="9" t="s">
        <v>215</v>
      </c>
      <c r="H2" s="9" t="s">
        <v>271</v>
      </c>
      <c r="I2" s="9" t="s">
        <v>328</v>
      </c>
      <c r="J2" s="9" t="s">
        <v>330</v>
      </c>
      <c r="K2" s="9" t="s">
        <v>399</v>
      </c>
      <c r="L2" s="9" t="s">
        <v>487</v>
      </c>
      <c r="M2" s="9" t="s">
        <v>485</v>
      </c>
      <c r="N2" s="9"/>
      <c r="O2" s="9"/>
      <c r="P2" s="9" t="s">
        <v>225</v>
      </c>
      <c r="Q2" s="9"/>
      <c r="R2" s="9" t="s">
        <v>194</v>
      </c>
      <c r="S2" s="9" t="s">
        <v>644</v>
      </c>
      <c r="T2" s="9" t="s">
        <v>645</v>
      </c>
      <c r="U2" s="9"/>
      <c r="V2" s="10" t="s">
        <v>646</v>
      </c>
      <c r="W2" s="10"/>
      <c r="X2" s="10" t="s">
        <v>233</v>
      </c>
      <c r="Y2" s="10" t="s">
        <v>401</v>
      </c>
      <c r="Z2" s="10" t="s">
        <v>402</v>
      </c>
      <c r="AA2" s="10" t="s">
        <v>233</v>
      </c>
      <c r="AB2" s="10" t="s">
        <v>647</v>
      </c>
      <c r="AC2" s="10" t="n">
        <v>2</v>
      </c>
      <c r="AD2" s="10" t="s">
        <v>333</v>
      </c>
      <c r="AE2" s="10" t="s">
        <v>331</v>
      </c>
      <c r="AF2" s="10"/>
      <c r="AG2" s="10" t="n">
        <v>60</v>
      </c>
      <c r="AH2" s="10" t="s">
        <v>648</v>
      </c>
      <c r="AI2" s="10" t="s">
        <v>215</v>
      </c>
      <c r="AJ2" s="10" t="s">
        <v>215</v>
      </c>
      <c r="AK2" s="10" t="n">
        <v>14.45</v>
      </c>
      <c r="AL2" s="10" t="n">
        <v>100</v>
      </c>
      <c r="AM2" s="10" t="s">
        <v>233</v>
      </c>
      <c r="AN2" s="10" t="n">
        <v>4</v>
      </c>
      <c r="AO2" s="10" t="n">
        <v>2</v>
      </c>
      <c r="AP2" s="10" t="s">
        <v>649</v>
      </c>
      <c r="AQ2" s="10"/>
    </row>
    <row r="3" customFormat="false" ht="15" hidden="false" customHeight="true" outlineLevel="0" collapsed="false">
      <c r="A3" s="11" t="s">
        <v>555</v>
      </c>
      <c r="B3" s="11" t="s">
        <v>650</v>
      </c>
      <c r="C3" s="11" t="s">
        <v>651</v>
      </c>
      <c r="D3" s="11" t="s">
        <v>652</v>
      </c>
      <c r="E3" s="11" t="s">
        <v>653</v>
      </c>
      <c r="F3" s="11" t="s">
        <v>186</v>
      </c>
      <c r="G3" s="11" t="s">
        <v>215</v>
      </c>
      <c r="H3" s="11" t="s">
        <v>275</v>
      </c>
      <c r="I3" s="11" t="s">
        <v>335</v>
      </c>
      <c r="J3" s="11" t="s">
        <v>330</v>
      </c>
      <c r="K3" s="11" t="s">
        <v>399</v>
      </c>
      <c r="L3" s="11" t="s">
        <v>487</v>
      </c>
      <c r="M3" s="11" t="s">
        <v>485</v>
      </c>
      <c r="N3" s="11" t="s">
        <v>639</v>
      </c>
      <c r="O3" s="11" t="s">
        <v>640</v>
      </c>
      <c r="P3" s="11" t="s">
        <v>225</v>
      </c>
      <c r="Q3" s="11"/>
      <c r="R3" s="11" t="s">
        <v>194</v>
      </c>
      <c r="S3" s="11" t="s">
        <v>654</v>
      </c>
      <c r="T3" s="11" t="s">
        <v>655</v>
      </c>
      <c r="U3" s="11"/>
      <c r="V3" s="12" t="s">
        <v>646</v>
      </c>
      <c r="W3" s="12"/>
      <c r="X3" s="12" t="s">
        <v>233</v>
      </c>
      <c r="Y3" s="12" t="s">
        <v>401</v>
      </c>
      <c r="Z3" s="12" t="s">
        <v>402</v>
      </c>
      <c r="AA3" s="12" t="s">
        <v>233</v>
      </c>
      <c r="AB3" s="12" t="s">
        <v>647</v>
      </c>
      <c r="AC3" s="12" t="n">
        <v>2</v>
      </c>
      <c r="AD3" s="12" t="s">
        <v>333</v>
      </c>
      <c r="AE3" s="12" t="s">
        <v>331</v>
      </c>
      <c r="AF3" s="12"/>
      <c r="AG3" s="12" t="n">
        <v>60</v>
      </c>
      <c r="AH3" s="12" t="s">
        <v>648</v>
      </c>
      <c r="AI3" s="12" t="s">
        <v>215</v>
      </c>
      <c r="AJ3" s="12" t="s">
        <v>215</v>
      </c>
      <c r="AK3" s="12" t="n">
        <v>12.21</v>
      </c>
      <c r="AL3" s="12" t="n">
        <v>90</v>
      </c>
      <c r="AM3" s="12" t="s">
        <v>233</v>
      </c>
      <c r="AN3" s="12" t="n">
        <v>4</v>
      </c>
      <c r="AO3" s="12" t="n">
        <v>2</v>
      </c>
      <c r="AP3" s="12" t="s">
        <v>656</v>
      </c>
      <c r="AQ3" s="12"/>
    </row>
    <row r="4" customFormat="false" ht="15" hidden="false" customHeight="true" outlineLevel="0" collapsed="false">
      <c r="A4" s="9" t="s">
        <v>657</v>
      </c>
      <c r="B4" s="9" t="s">
        <v>658</v>
      </c>
      <c r="C4" s="9" t="s">
        <v>641</v>
      </c>
      <c r="D4" s="9" t="s">
        <v>659</v>
      </c>
      <c r="E4" s="9" t="s">
        <v>660</v>
      </c>
      <c r="F4" s="9" t="s">
        <v>186</v>
      </c>
      <c r="G4" s="9" t="s">
        <v>215</v>
      </c>
      <c r="H4" s="9" t="s">
        <v>306</v>
      </c>
      <c r="I4" s="9" t="s">
        <v>335</v>
      </c>
      <c r="J4" s="9" t="s">
        <v>330</v>
      </c>
      <c r="K4" s="9" t="s">
        <v>399</v>
      </c>
      <c r="L4" s="9" t="s">
        <v>487</v>
      </c>
      <c r="M4" s="9" t="s">
        <v>485</v>
      </c>
      <c r="N4" s="9" t="s">
        <v>639</v>
      </c>
      <c r="O4" s="9" t="s">
        <v>640</v>
      </c>
      <c r="P4" s="9" t="s">
        <v>225</v>
      </c>
      <c r="Q4" s="9"/>
      <c r="R4" s="9" t="s">
        <v>194</v>
      </c>
      <c r="S4" s="9" t="s">
        <v>661</v>
      </c>
      <c r="T4" s="9" t="s">
        <v>662</v>
      </c>
      <c r="U4" s="9"/>
      <c r="V4" s="10" t="s">
        <v>646</v>
      </c>
      <c r="W4" s="10"/>
      <c r="X4" s="10" t="s">
        <v>233</v>
      </c>
      <c r="Y4" s="10" t="s">
        <v>401</v>
      </c>
      <c r="Z4" s="10" t="s">
        <v>402</v>
      </c>
      <c r="AA4" s="10" t="s">
        <v>233</v>
      </c>
      <c r="AB4" s="10" t="s">
        <v>647</v>
      </c>
      <c r="AC4" s="10" t="n">
        <v>2</v>
      </c>
      <c r="AD4" s="10" t="s">
        <v>333</v>
      </c>
      <c r="AE4" s="10" t="s">
        <v>331</v>
      </c>
      <c r="AF4" s="10"/>
      <c r="AG4" s="10" t="n">
        <v>60</v>
      </c>
      <c r="AH4" s="10" t="s">
        <v>648</v>
      </c>
      <c r="AI4" s="10" t="s">
        <v>215</v>
      </c>
      <c r="AJ4" s="10" t="s">
        <v>215</v>
      </c>
      <c r="AK4" s="10" t="n">
        <v>10.83</v>
      </c>
      <c r="AL4" s="10" t="n">
        <v>90</v>
      </c>
      <c r="AM4" s="10" t="s">
        <v>233</v>
      </c>
      <c r="AN4" s="10" t="n">
        <v>4</v>
      </c>
      <c r="AO4" s="10" t="n">
        <v>2</v>
      </c>
      <c r="AP4" s="10" t="s">
        <v>663</v>
      </c>
      <c r="AQ4" s="10"/>
    </row>
    <row r="5" customFormat="false" ht="15" hidden="false" customHeight="true" outlineLevel="0" collapsed="false">
      <c r="A5" s="11" t="s">
        <v>664</v>
      </c>
      <c r="B5" s="11" t="s">
        <v>665</v>
      </c>
      <c r="C5" s="11" t="s">
        <v>651</v>
      </c>
      <c r="D5" s="11" t="s">
        <v>666</v>
      </c>
      <c r="E5" s="11" t="s">
        <v>667</v>
      </c>
      <c r="F5" s="11" t="s">
        <v>186</v>
      </c>
      <c r="G5" s="11" t="s">
        <v>215</v>
      </c>
      <c r="H5" s="11" t="s">
        <v>309</v>
      </c>
      <c r="I5" s="11" t="s">
        <v>337</v>
      </c>
      <c r="J5" s="11" t="s">
        <v>339</v>
      </c>
      <c r="K5" s="11" t="s">
        <v>399</v>
      </c>
      <c r="L5" s="11" t="s">
        <v>487</v>
      </c>
      <c r="M5" s="11" t="s">
        <v>485</v>
      </c>
      <c r="N5" s="11" t="s">
        <v>639</v>
      </c>
      <c r="O5" s="11" t="s">
        <v>640</v>
      </c>
      <c r="P5" s="11" t="s">
        <v>225</v>
      </c>
      <c r="Q5" s="11"/>
      <c r="R5" s="11" t="s">
        <v>194</v>
      </c>
      <c r="S5" s="11" t="s">
        <v>668</v>
      </c>
      <c r="T5" s="11" t="s">
        <v>669</v>
      </c>
      <c r="U5" s="11"/>
      <c r="V5" s="12" t="s">
        <v>646</v>
      </c>
      <c r="W5" s="12"/>
      <c r="X5" s="12" t="s">
        <v>233</v>
      </c>
      <c r="Y5" s="12" t="s">
        <v>401</v>
      </c>
      <c r="Z5" s="12" t="s">
        <v>402</v>
      </c>
      <c r="AA5" s="12" t="s">
        <v>233</v>
      </c>
      <c r="AB5" s="12" t="s">
        <v>647</v>
      </c>
      <c r="AC5" s="12" t="n">
        <v>2</v>
      </c>
      <c r="AD5" s="12" t="s">
        <v>333</v>
      </c>
      <c r="AE5" s="12" t="s">
        <v>331</v>
      </c>
      <c r="AF5" s="12"/>
      <c r="AG5" s="12" t="n">
        <v>60</v>
      </c>
      <c r="AH5" s="12" t="s">
        <v>648</v>
      </c>
      <c r="AI5" s="12" t="s">
        <v>215</v>
      </c>
      <c r="AJ5" s="12" t="s">
        <v>215</v>
      </c>
      <c r="AK5" s="12" t="n">
        <v>10.62</v>
      </c>
      <c r="AL5" s="12" t="n">
        <v>80</v>
      </c>
      <c r="AM5" s="12" t="s">
        <v>233</v>
      </c>
      <c r="AN5" s="12" t="n">
        <v>4</v>
      </c>
      <c r="AO5" s="12" t="n">
        <v>2</v>
      </c>
      <c r="AP5" s="12" t="s">
        <v>670</v>
      </c>
      <c r="AQ5" s="12"/>
    </row>
    <row r="6" customFormat="false" ht="15" hidden="false" customHeight="true" outlineLevel="0" collapsed="false">
      <c r="A6" s="9" t="s">
        <v>671</v>
      </c>
      <c r="B6" s="9" t="s">
        <v>672</v>
      </c>
      <c r="C6" s="9" t="s">
        <v>641</v>
      </c>
      <c r="D6" s="9" t="s">
        <v>673</v>
      </c>
      <c r="E6" s="9" t="s">
        <v>674</v>
      </c>
      <c r="F6" s="9" t="s">
        <v>186</v>
      </c>
      <c r="G6" s="9" t="s">
        <v>215</v>
      </c>
      <c r="H6" s="9" t="s">
        <v>300</v>
      </c>
      <c r="I6" s="9" t="s">
        <v>337</v>
      </c>
      <c r="J6" s="9" t="s">
        <v>339</v>
      </c>
      <c r="K6" s="9" t="s">
        <v>399</v>
      </c>
      <c r="L6" s="9" t="s">
        <v>487</v>
      </c>
      <c r="M6" s="9" t="s">
        <v>485</v>
      </c>
      <c r="N6" s="9" t="s">
        <v>555</v>
      </c>
      <c r="O6" s="9" t="s">
        <v>650</v>
      </c>
      <c r="P6" s="9" t="s">
        <v>225</v>
      </c>
      <c r="Q6" s="9"/>
      <c r="R6" s="9" t="s">
        <v>194</v>
      </c>
      <c r="S6" s="9" t="s">
        <v>675</v>
      </c>
      <c r="T6" s="9" t="s">
        <v>676</v>
      </c>
      <c r="U6" s="9"/>
      <c r="V6" s="10" t="s">
        <v>646</v>
      </c>
      <c r="W6" s="10"/>
      <c r="X6" s="10" t="s">
        <v>233</v>
      </c>
      <c r="Y6" s="10" t="s">
        <v>401</v>
      </c>
      <c r="Z6" s="10" t="s">
        <v>402</v>
      </c>
      <c r="AA6" s="10" t="s">
        <v>233</v>
      </c>
      <c r="AB6" s="10" t="s">
        <v>647</v>
      </c>
      <c r="AC6" s="10" t="n">
        <v>2</v>
      </c>
      <c r="AD6" s="10" t="s">
        <v>333</v>
      </c>
      <c r="AE6" s="10" t="s">
        <v>331</v>
      </c>
      <c r="AF6" s="10"/>
      <c r="AG6" s="10" t="n">
        <v>60</v>
      </c>
      <c r="AH6" s="10" t="s">
        <v>648</v>
      </c>
      <c r="AI6" s="10" t="s">
        <v>215</v>
      </c>
      <c r="AJ6" s="10" t="s">
        <v>215</v>
      </c>
      <c r="AK6" s="10" t="n">
        <v>13.02</v>
      </c>
      <c r="AL6" s="10" t="n">
        <v>80</v>
      </c>
      <c r="AM6" s="10" t="s">
        <v>233</v>
      </c>
      <c r="AN6" s="10" t="n">
        <v>4</v>
      </c>
      <c r="AO6" s="10" t="n">
        <v>2</v>
      </c>
      <c r="AP6" s="10" t="s">
        <v>677</v>
      </c>
      <c r="AQ6" s="10"/>
    </row>
    <row r="7" customFormat="false" ht="15" hidden="false" customHeight="true" outlineLevel="0" collapsed="false">
      <c r="A7" s="11" t="s">
        <v>678</v>
      </c>
      <c r="B7" s="11" t="s">
        <v>679</v>
      </c>
      <c r="C7" s="11" t="s">
        <v>651</v>
      </c>
      <c r="D7" s="11" t="s">
        <v>680</v>
      </c>
      <c r="E7" s="11" t="s">
        <v>681</v>
      </c>
      <c r="F7" s="11" t="s">
        <v>186</v>
      </c>
      <c r="G7" s="11" t="s">
        <v>215</v>
      </c>
      <c r="H7" s="11" t="s">
        <v>309</v>
      </c>
      <c r="I7" s="11" t="s">
        <v>348</v>
      </c>
      <c r="J7" s="11" t="s">
        <v>344</v>
      </c>
      <c r="K7" s="11" t="s">
        <v>399</v>
      </c>
      <c r="L7" s="11" t="s">
        <v>487</v>
      </c>
      <c r="M7" s="11" t="s">
        <v>485</v>
      </c>
      <c r="N7" s="11" t="s">
        <v>664</v>
      </c>
      <c r="O7" s="11" t="s">
        <v>665</v>
      </c>
      <c r="P7" s="11" t="s">
        <v>225</v>
      </c>
      <c r="Q7" s="11"/>
      <c r="R7" s="11" t="s">
        <v>194</v>
      </c>
      <c r="S7" s="11" t="s">
        <v>682</v>
      </c>
      <c r="T7" s="11" t="s">
        <v>683</v>
      </c>
      <c r="U7" s="11" t="s">
        <v>684</v>
      </c>
      <c r="V7" s="12" t="s">
        <v>646</v>
      </c>
      <c r="W7" s="12"/>
      <c r="X7" s="12" t="s">
        <v>233</v>
      </c>
      <c r="Y7" s="12" t="s">
        <v>401</v>
      </c>
      <c r="Z7" s="12" t="s">
        <v>402</v>
      </c>
      <c r="AA7" s="12" t="s">
        <v>233</v>
      </c>
      <c r="AB7" s="12" t="s">
        <v>647</v>
      </c>
      <c r="AC7" s="12" t="n">
        <v>2</v>
      </c>
      <c r="AD7" s="12" t="s">
        <v>346</v>
      </c>
      <c r="AE7" s="12" t="s">
        <v>345</v>
      </c>
      <c r="AF7" s="12"/>
      <c r="AG7" s="12" t="n">
        <v>60</v>
      </c>
      <c r="AH7" s="12" t="s">
        <v>685</v>
      </c>
      <c r="AI7" s="12" t="s">
        <v>215</v>
      </c>
      <c r="AJ7" s="12" t="s">
        <v>215</v>
      </c>
      <c r="AK7" s="12" t="n">
        <v>7.29</v>
      </c>
      <c r="AL7" s="12" t="n">
        <v>55</v>
      </c>
      <c r="AM7" s="12" t="s">
        <v>233</v>
      </c>
      <c r="AN7" s="12" t="n">
        <v>4</v>
      </c>
      <c r="AO7" s="12" t="n">
        <v>2</v>
      </c>
      <c r="AP7" s="12" t="s">
        <v>686</v>
      </c>
      <c r="AQ7" s="12"/>
    </row>
    <row r="8" customFormat="false" ht="15" hidden="false" customHeight="true" outlineLevel="0" collapsed="false">
      <c r="A8" s="9" t="s">
        <v>687</v>
      </c>
      <c r="B8" s="9" t="s">
        <v>688</v>
      </c>
      <c r="C8" s="9" t="s">
        <v>641</v>
      </c>
      <c r="D8" s="9" t="s">
        <v>689</v>
      </c>
      <c r="E8" s="9" t="s">
        <v>690</v>
      </c>
      <c r="F8" s="9" t="s">
        <v>186</v>
      </c>
      <c r="G8" s="9" t="s">
        <v>215</v>
      </c>
      <c r="H8" s="9" t="s">
        <v>306</v>
      </c>
      <c r="I8" s="9" t="s">
        <v>350</v>
      </c>
      <c r="J8" s="9" t="s">
        <v>344</v>
      </c>
      <c r="K8" s="9" t="s">
        <v>399</v>
      </c>
      <c r="L8" s="9" t="s">
        <v>487</v>
      </c>
      <c r="M8" s="9" t="s">
        <v>485</v>
      </c>
      <c r="N8" s="9" t="s">
        <v>657</v>
      </c>
      <c r="O8" s="9" t="s">
        <v>658</v>
      </c>
      <c r="P8" s="9" t="s">
        <v>225</v>
      </c>
      <c r="Q8" s="9"/>
      <c r="R8" s="9" t="s">
        <v>194</v>
      </c>
      <c r="S8" s="9" t="s">
        <v>691</v>
      </c>
      <c r="T8" s="9" t="s">
        <v>692</v>
      </c>
      <c r="U8" s="9" t="s">
        <v>693</v>
      </c>
      <c r="V8" s="10" t="s">
        <v>646</v>
      </c>
      <c r="W8" s="10"/>
      <c r="X8" s="10" t="s">
        <v>233</v>
      </c>
      <c r="Y8" s="10" t="s">
        <v>401</v>
      </c>
      <c r="Z8" s="10" t="s">
        <v>402</v>
      </c>
      <c r="AA8" s="10" t="s">
        <v>233</v>
      </c>
      <c r="AB8" s="10" t="s">
        <v>647</v>
      </c>
      <c r="AC8" s="10" t="n">
        <v>2</v>
      </c>
      <c r="AD8" s="10" t="s">
        <v>346</v>
      </c>
      <c r="AE8" s="10" t="s">
        <v>345</v>
      </c>
      <c r="AF8" s="10"/>
      <c r="AG8" s="10" t="n">
        <v>60</v>
      </c>
      <c r="AH8" s="10" t="s">
        <v>685</v>
      </c>
      <c r="AI8" s="10" t="s">
        <v>215</v>
      </c>
      <c r="AJ8" s="10" t="s">
        <v>215</v>
      </c>
      <c r="AK8" s="10" t="n">
        <v>8.07</v>
      </c>
      <c r="AL8" s="10" t="n">
        <v>50</v>
      </c>
      <c r="AM8" s="10" t="s">
        <v>233</v>
      </c>
      <c r="AN8" s="10" t="n">
        <v>4</v>
      </c>
      <c r="AO8" s="10" t="n">
        <v>2</v>
      </c>
      <c r="AP8" s="10" t="s">
        <v>694</v>
      </c>
      <c r="AQ8" s="10"/>
    </row>
    <row r="9" customFormat="false" ht="15" hidden="false" customHeight="true" outlineLevel="0" collapsed="false">
      <c r="A9" s="11" t="s">
        <v>695</v>
      </c>
      <c r="B9" s="11" t="s">
        <v>696</v>
      </c>
      <c r="C9" s="11" t="s">
        <v>651</v>
      </c>
      <c r="D9" s="11" t="s">
        <v>697</v>
      </c>
      <c r="E9" s="11" t="s">
        <v>698</v>
      </c>
      <c r="F9" s="11" t="s">
        <v>186</v>
      </c>
      <c r="G9" s="11" t="s">
        <v>215</v>
      </c>
      <c r="H9" s="11" t="s">
        <v>309</v>
      </c>
      <c r="I9" s="11" t="s">
        <v>360</v>
      </c>
      <c r="J9" s="11" t="s">
        <v>362</v>
      </c>
      <c r="K9" s="11" t="s">
        <v>399</v>
      </c>
      <c r="L9" s="11" t="s">
        <v>487</v>
      </c>
      <c r="M9" s="11" t="s">
        <v>485</v>
      </c>
      <c r="N9" s="11" t="s">
        <v>678</v>
      </c>
      <c r="O9" s="11" t="s">
        <v>679</v>
      </c>
      <c r="P9" s="11" t="s">
        <v>225</v>
      </c>
      <c r="Q9" s="11"/>
      <c r="R9" s="11" t="s">
        <v>194</v>
      </c>
      <c r="S9" s="11" t="s">
        <v>699</v>
      </c>
      <c r="T9" s="11" t="s">
        <v>700</v>
      </c>
      <c r="U9" s="11"/>
      <c r="V9" s="12" t="s">
        <v>646</v>
      </c>
      <c r="W9" s="12"/>
      <c r="X9" s="12" t="s">
        <v>233</v>
      </c>
      <c r="Y9" s="12" t="s">
        <v>401</v>
      </c>
      <c r="Z9" s="12" t="s">
        <v>402</v>
      </c>
      <c r="AA9" s="12" t="s">
        <v>233</v>
      </c>
      <c r="AB9" s="12" t="s">
        <v>647</v>
      </c>
      <c r="AC9" s="12" t="n">
        <v>2</v>
      </c>
      <c r="AD9" s="12" t="s">
        <v>346</v>
      </c>
      <c r="AE9" s="12" t="s">
        <v>345</v>
      </c>
      <c r="AF9" s="12"/>
      <c r="AG9" s="12" t="n">
        <v>60</v>
      </c>
      <c r="AH9" s="12" t="s">
        <v>685</v>
      </c>
      <c r="AI9" s="12" t="s">
        <v>215</v>
      </c>
      <c r="AJ9" s="12" t="s">
        <v>215</v>
      </c>
      <c r="AK9" s="12" t="n">
        <v>4.68</v>
      </c>
      <c r="AL9" s="12" t="n">
        <v>30</v>
      </c>
      <c r="AM9" s="12" t="s">
        <v>226</v>
      </c>
      <c r="AN9" s="12" t="n">
        <v>4</v>
      </c>
      <c r="AO9" s="12" t="n">
        <v>2</v>
      </c>
      <c r="AP9" s="12" t="s">
        <v>701</v>
      </c>
      <c r="AQ9" s="12"/>
    </row>
    <row r="10" customFormat="false" ht="15" hidden="false" customHeight="true" outlineLevel="0" collapsed="false">
      <c r="A10" s="9" t="s">
        <v>702</v>
      </c>
      <c r="B10" s="9" t="s">
        <v>703</v>
      </c>
      <c r="C10" s="9" t="s">
        <v>641</v>
      </c>
      <c r="D10" s="9" t="s">
        <v>704</v>
      </c>
      <c r="E10" s="9" t="s">
        <v>705</v>
      </c>
      <c r="F10" s="9" t="s">
        <v>186</v>
      </c>
      <c r="G10" s="9" t="s">
        <v>215</v>
      </c>
      <c r="H10" s="9" t="s">
        <v>309</v>
      </c>
      <c r="I10" s="9" t="s">
        <v>358</v>
      </c>
      <c r="J10" s="9" t="s">
        <v>354</v>
      </c>
      <c r="K10" s="9" t="s">
        <v>399</v>
      </c>
      <c r="L10" s="9" t="s">
        <v>487</v>
      </c>
      <c r="M10" s="9" t="s">
        <v>485</v>
      </c>
      <c r="N10" s="9" t="s">
        <v>664</v>
      </c>
      <c r="O10" s="9" t="s">
        <v>665</v>
      </c>
      <c r="P10" s="9" t="s">
        <v>225</v>
      </c>
      <c r="Q10" s="9"/>
      <c r="R10" s="9" t="s">
        <v>194</v>
      </c>
      <c r="S10" s="9" t="s">
        <v>706</v>
      </c>
      <c r="T10" s="9" t="s">
        <v>707</v>
      </c>
      <c r="U10" s="9" t="s">
        <v>708</v>
      </c>
      <c r="V10" s="10" t="s">
        <v>646</v>
      </c>
      <c r="W10" s="10"/>
      <c r="X10" s="10" t="s">
        <v>233</v>
      </c>
      <c r="Y10" s="10" t="s">
        <v>401</v>
      </c>
      <c r="Z10" s="10" t="s">
        <v>402</v>
      </c>
      <c r="AA10" s="10" t="s">
        <v>233</v>
      </c>
      <c r="AB10" s="10" t="s">
        <v>647</v>
      </c>
      <c r="AC10" s="10" t="n">
        <v>2</v>
      </c>
      <c r="AD10" s="10" t="s">
        <v>346</v>
      </c>
      <c r="AE10" s="10" t="s">
        <v>345</v>
      </c>
      <c r="AF10" s="10"/>
      <c r="AG10" s="10" t="n">
        <v>60</v>
      </c>
      <c r="AH10" s="10" t="s">
        <v>685</v>
      </c>
      <c r="AI10" s="10" t="s">
        <v>215</v>
      </c>
      <c r="AJ10" s="10" t="s">
        <v>215</v>
      </c>
      <c r="AK10" s="10" t="n">
        <v>6.54</v>
      </c>
      <c r="AL10" s="10" t="n">
        <v>34</v>
      </c>
      <c r="AM10" s="10" t="s">
        <v>226</v>
      </c>
      <c r="AN10" s="10" t="n">
        <v>4</v>
      </c>
      <c r="AO10" s="10" t="n">
        <v>2</v>
      </c>
      <c r="AP10" s="10" t="s">
        <v>709</v>
      </c>
      <c r="AQ10" s="10"/>
    </row>
    <row r="11" customFormat="false" ht="15" hidden="false" customHeight="true" outlineLevel="0" collapsed="false">
      <c r="A11" s="11" t="s">
        <v>710</v>
      </c>
      <c r="B11" s="11" t="s">
        <v>711</v>
      </c>
      <c r="C11" s="11" t="s">
        <v>651</v>
      </c>
      <c r="D11" s="11" t="s">
        <v>712</v>
      </c>
      <c r="E11" s="11" t="s">
        <v>713</v>
      </c>
      <c r="F11" s="11" t="s">
        <v>186</v>
      </c>
      <c r="G11" s="11" t="s">
        <v>215</v>
      </c>
      <c r="H11" s="11" t="s">
        <v>306</v>
      </c>
      <c r="I11" s="11" t="s">
        <v>342</v>
      </c>
      <c r="J11" s="11" t="s">
        <v>344</v>
      </c>
      <c r="K11" s="11" t="s">
        <v>399</v>
      </c>
      <c r="L11" s="11" t="s">
        <v>487</v>
      </c>
      <c r="M11" s="11" t="s">
        <v>485</v>
      </c>
      <c r="N11" s="11" t="s">
        <v>657</v>
      </c>
      <c r="O11" s="11" t="s">
        <v>658</v>
      </c>
      <c r="P11" s="11" t="s">
        <v>225</v>
      </c>
      <c r="Q11" s="11"/>
      <c r="R11" s="11" t="s">
        <v>194</v>
      </c>
      <c r="S11" s="11" t="s">
        <v>714</v>
      </c>
      <c r="T11" s="11" t="s">
        <v>715</v>
      </c>
      <c r="U11" s="11"/>
      <c r="V11" s="12" t="s">
        <v>646</v>
      </c>
      <c r="W11" s="12"/>
      <c r="X11" s="12" t="s">
        <v>233</v>
      </c>
      <c r="Y11" s="12" t="s">
        <v>401</v>
      </c>
      <c r="Z11" s="12" t="s">
        <v>402</v>
      </c>
      <c r="AA11" s="12" t="s">
        <v>233</v>
      </c>
      <c r="AB11" s="12" t="s">
        <v>647</v>
      </c>
      <c r="AC11" s="12" t="n">
        <v>2</v>
      </c>
      <c r="AD11" s="12" t="s">
        <v>346</v>
      </c>
      <c r="AE11" s="12" t="s">
        <v>345</v>
      </c>
      <c r="AF11" s="12"/>
      <c r="AG11" s="12" t="n">
        <v>60</v>
      </c>
      <c r="AH11" s="12" t="s">
        <v>685</v>
      </c>
      <c r="AI11" s="12" t="s">
        <v>215</v>
      </c>
      <c r="AJ11" s="12" t="s">
        <v>215</v>
      </c>
      <c r="AK11" s="12" t="n">
        <v>9.34</v>
      </c>
      <c r="AL11" s="12" t="n">
        <v>60</v>
      </c>
      <c r="AM11" s="12" t="s">
        <v>233</v>
      </c>
      <c r="AN11" s="12" t="n">
        <v>4</v>
      </c>
      <c r="AO11" s="12" t="n">
        <v>2</v>
      </c>
      <c r="AP11" s="12" t="s">
        <v>716</v>
      </c>
      <c r="AQ11" s="12"/>
    </row>
    <row r="12" customFormat="false" ht="15" hidden="false" customHeight="true" outlineLevel="0" collapsed="false">
      <c r="A12" s="9" t="s">
        <v>717</v>
      </c>
      <c r="B12" s="9" t="s">
        <v>718</v>
      </c>
      <c r="C12" s="9" t="s">
        <v>641</v>
      </c>
      <c r="D12" s="9" t="s">
        <v>719</v>
      </c>
      <c r="E12" s="9" t="s">
        <v>720</v>
      </c>
      <c r="F12" s="9" t="s">
        <v>186</v>
      </c>
      <c r="G12" s="9" t="s">
        <v>215</v>
      </c>
      <c r="H12" s="9" t="s">
        <v>306</v>
      </c>
      <c r="I12" s="9" t="s">
        <v>360</v>
      </c>
      <c r="J12" s="9" t="s">
        <v>362</v>
      </c>
      <c r="K12" s="9" t="s">
        <v>399</v>
      </c>
      <c r="L12" s="9" t="s">
        <v>487</v>
      </c>
      <c r="M12" s="9" t="s">
        <v>485</v>
      </c>
      <c r="N12" s="9" t="s">
        <v>710</v>
      </c>
      <c r="O12" s="9" t="s">
        <v>711</v>
      </c>
      <c r="P12" s="9" t="s">
        <v>225</v>
      </c>
      <c r="Q12" s="9"/>
      <c r="R12" s="9" t="s">
        <v>194</v>
      </c>
      <c r="S12" s="9" t="s">
        <v>721</v>
      </c>
      <c r="T12" s="9" t="s">
        <v>722</v>
      </c>
      <c r="U12" s="9"/>
      <c r="V12" s="10" t="s">
        <v>646</v>
      </c>
      <c r="W12" s="10"/>
      <c r="X12" s="10" t="s">
        <v>233</v>
      </c>
      <c r="Y12" s="10" t="s">
        <v>401</v>
      </c>
      <c r="Z12" s="10" t="s">
        <v>402</v>
      </c>
      <c r="AA12" s="10" t="s">
        <v>233</v>
      </c>
      <c r="AB12" s="10" t="s">
        <v>647</v>
      </c>
      <c r="AC12" s="10" t="n">
        <v>2</v>
      </c>
      <c r="AD12" s="10" t="s">
        <v>346</v>
      </c>
      <c r="AE12" s="10" t="s">
        <v>345</v>
      </c>
      <c r="AF12" s="10"/>
      <c r="AG12" s="10" t="n">
        <v>60</v>
      </c>
      <c r="AH12" s="10" t="s">
        <v>685</v>
      </c>
      <c r="AI12" s="10" t="s">
        <v>215</v>
      </c>
      <c r="AJ12" s="10" t="s">
        <v>215</v>
      </c>
      <c r="AK12" s="10" t="n">
        <v>5.02</v>
      </c>
      <c r="AL12" s="10" t="n">
        <v>30</v>
      </c>
      <c r="AM12" s="10" t="s">
        <v>226</v>
      </c>
      <c r="AN12" s="10" t="n">
        <v>4</v>
      </c>
      <c r="AO12" s="10" t="n">
        <v>2</v>
      </c>
      <c r="AP12" s="10" t="s">
        <v>723</v>
      </c>
      <c r="AQ12" s="10"/>
    </row>
    <row r="13" customFormat="false" ht="15" hidden="false" customHeight="true" outlineLevel="0" collapsed="false">
      <c r="A13" s="11" t="s">
        <v>724</v>
      </c>
      <c r="B13" s="11" t="s">
        <v>725</v>
      </c>
      <c r="C13" s="11" t="s">
        <v>641</v>
      </c>
      <c r="D13" s="11" t="s">
        <v>726</v>
      </c>
      <c r="E13" s="11" t="s">
        <v>727</v>
      </c>
      <c r="F13" s="11" t="s">
        <v>186</v>
      </c>
      <c r="G13" s="11" t="s">
        <v>215</v>
      </c>
      <c r="H13" s="11" t="s">
        <v>312</v>
      </c>
      <c r="I13" s="11" t="s">
        <v>348</v>
      </c>
      <c r="J13" s="11" t="s">
        <v>344</v>
      </c>
      <c r="K13" s="11" t="s">
        <v>399</v>
      </c>
      <c r="L13" s="11" t="s">
        <v>487</v>
      </c>
      <c r="M13" s="11" t="s">
        <v>485</v>
      </c>
      <c r="N13" s="11" t="s">
        <v>657</v>
      </c>
      <c r="O13" s="11" t="s">
        <v>658</v>
      </c>
      <c r="P13" s="11" t="s">
        <v>225</v>
      </c>
      <c r="Q13" s="11"/>
      <c r="R13" s="11" t="s">
        <v>194</v>
      </c>
      <c r="S13" s="11" t="s">
        <v>728</v>
      </c>
      <c r="T13" s="11" t="s">
        <v>729</v>
      </c>
      <c r="U13" s="11"/>
      <c r="V13" s="12" t="s">
        <v>646</v>
      </c>
      <c r="W13" s="12"/>
      <c r="X13" s="12" t="s">
        <v>233</v>
      </c>
      <c r="Y13" s="12" t="s">
        <v>401</v>
      </c>
      <c r="Z13" s="12" t="s">
        <v>402</v>
      </c>
      <c r="AA13" s="12" t="s">
        <v>233</v>
      </c>
      <c r="AB13" s="12" t="s">
        <v>647</v>
      </c>
      <c r="AC13" s="12" t="n">
        <v>2</v>
      </c>
      <c r="AD13" s="12" t="s">
        <v>346</v>
      </c>
      <c r="AE13" s="12" t="s">
        <v>345</v>
      </c>
      <c r="AF13" s="12"/>
      <c r="AG13" s="12" t="n">
        <v>60</v>
      </c>
      <c r="AH13" s="12" t="s">
        <v>685</v>
      </c>
      <c r="AI13" s="12" t="s">
        <v>215</v>
      </c>
      <c r="AJ13" s="12" t="s">
        <v>215</v>
      </c>
      <c r="AK13" s="12" t="n">
        <v>7.59</v>
      </c>
      <c r="AL13" s="12" t="n">
        <v>55</v>
      </c>
      <c r="AM13" s="12" t="s">
        <v>233</v>
      </c>
      <c r="AN13" s="12" t="n">
        <v>4</v>
      </c>
      <c r="AO13" s="12" t="n">
        <v>2</v>
      </c>
      <c r="AP13" s="12" t="s">
        <v>730</v>
      </c>
      <c r="AQ13" s="12"/>
    </row>
    <row r="14" customFormat="false" ht="15" hidden="false" customHeight="true" outlineLevel="0" collapsed="false">
      <c r="A14" s="9" t="s">
        <v>731</v>
      </c>
      <c r="B14" s="9" t="s">
        <v>732</v>
      </c>
      <c r="C14" s="9" t="s">
        <v>651</v>
      </c>
      <c r="D14" s="9" t="s">
        <v>733</v>
      </c>
      <c r="E14" s="9" t="s">
        <v>734</v>
      </c>
      <c r="F14" s="9" t="s">
        <v>186</v>
      </c>
      <c r="G14" s="9" t="s">
        <v>215</v>
      </c>
      <c r="H14" s="9" t="s">
        <v>312</v>
      </c>
      <c r="I14" s="9" t="s">
        <v>356</v>
      </c>
      <c r="J14" s="9" t="s">
        <v>354</v>
      </c>
      <c r="K14" s="9" t="s">
        <v>399</v>
      </c>
      <c r="L14" s="9" t="s">
        <v>487</v>
      </c>
      <c r="M14" s="9" t="s">
        <v>485</v>
      </c>
      <c r="N14" s="9" t="s">
        <v>724</v>
      </c>
      <c r="O14" s="9" t="s">
        <v>725</v>
      </c>
      <c r="P14" s="9" t="s">
        <v>225</v>
      </c>
      <c r="Q14" s="9"/>
      <c r="R14" s="9" t="s">
        <v>194</v>
      </c>
      <c r="S14" s="9" t="s">
        <v>735</v>
      </c>
      <c r="T14" s="9" t="s">
        <v>736</v>
      </c>
      <c r="U14" s="9"/>
      <c r="V14" s="10" t="s">
        <v>646</v>
      </c>
      <c r="W14" s="10"/>
      <c r="X14" s="10" t="s">
        <v>233</v>
      </c>
      <c r="Y14" s="10" t="s">
        <v>401</v>
      </c>
      <c r="Z14" s="10" t="s">
        <v>402</v>
      </c>
      <c r="AA14" s="10" t="s">
        <v>233</v>
      </c>
      <c r="AB14" s="10" t="s">
        <v>647</v>
      </c>
      <c r="AC14" s="10" t="n">
        <v>2</v>
      </c>
      <c r="AD14" s="10" t="s">
        <v>346</v>
      </c>
      <c r="AE14" s="10" t="s">
        <v>345</v>
      </c>
      <c r="AF14" s="10"/>
      <c r="AG14" s="10" t="n">
        <v>60</v>
      </c>
      <c r="AH14" s="10" t="s">
        <v>685</v>
      </c>
      <c r="AI14" s="10" t="s">
        <v>215</v>
      </c>
      <c r="AJ14" s="10" t="s">
        <v>215</v>
      </c>
      <c r="AK14" s="10" t="n">
        <v>3.16</v>
      </c>
      <c r="AL14" s="10" t="n">
        <v>35</v>
      </c>
      <c r="AM14" s="10" t="s">
        <v>226</v>
      </c>
      <c r="AN14" s="10" t="n">
        <v>4</v>
      </c>
      <c r="AO14" s="10" t="n">
        <v>2</v>
      </c>
      <c r="AP14" s="10" t="s">
        <v>737</v>
      </c>
      <c r="AQ14" s="10"/>
    </row>
    <row r="15" customFormat="false" ht="15" hidden="false" customHeight="true" outlineLevel="0" collapsed="false">
      <c r="A15" s="11" t="s">
        <v>738</v>
      </c>
      <c r="B15" s="11" t="s">
        <v>739</v>
      </c>
      <c r="C15" s="11" t="s">
        <v>641</v>
      </c>
      <c r="D15" s="11" t="s">
        <v>740</v>
      </c>
      <c r="E15" s="11" t="s">
        <v>741</v>
      </c>
      <c r="F15" s="11" t="s">
        <v>186</v>
      </c>
      <c r="G15" s="11" t="s">
        <v>215</v>
      </c>
      <c r="H15" s="11" t="s">
        <v>303</v>
      </c>
      <c r="I15" s="11" t="s">
        <v>342</v>
      </c>
      <c r="J15" s="11" t="s">
        <v>344</v>
      </c>
      <c r="K15" s="11" t="s">
        <v>399</v>
      </c>
      <c r="L15" s="11" t="s">
        <v>487</v>
      </c>
      <c r="M15" s="11" t="s">
        <v>485</v>
      </c>
      <c r="N15" s="11" t="s">
        <v>639</v>
      </c>
      <c r="O15" s="11" t="s">
        <v>640</v>
      </c>
      <c r="P15" s="11" t="s">
        <v>225</v>
      </c>
      <c r="Q15" s="11"/>
      <c r="R15" s="11" t="s">
        <v>194</v>
      </c>
      <c r="S15" s="11" t="s">
        <v>742</v>
      </c>
      <c r="T15" s="11" t="s">
        <v>743</v>
      </c>
      <c r="U15" s="11"/>
      <c r="V15" s="12" t="s">
        <v>646</v>
      </c>
      <c r="W15" s="12"/>
      <c r="X15" s="12" t="s">
        <v>233</v>
      </c>
      <c r="Y15" s="12" t="s">
        <v>401</v>
      </c>
      <c r="Z15" s="12" t="s">
        <v>402</v>
      </c>
      <c r="AA15" s="12" t="s">
        <v>233</v>
      </c>
      <c r="AB15" s="12" t="s">
        <v>647</v>
      </c>
      <c r="AC15" s="12" t="n">
        <v>2</v>
      </c>
      <c r="AD15" s="12" t="s">
        <v>346</v>
      </c>
      <c r="AE15" s="12" t="s">
        <v>345</v>
      </c>
      <c r="AF15" s="12"/>
      <c r="AG15" s="12" t="n">
        <v>60</v>
      </c>
      <c r="AH15" s="12" t="s">
        <v>685</v>
      </c>
      <c r="AI15" s="12" t="s">
        <v>215</v>
      </c>
      <c r="AJ15" s="12" t="s">
        <v>215</v>
      </c>
      <c r="AK15" s="12" t="n">
        <v>8.45</v>
      </c>
      <c r="AL15" s="12" t="n">
        <v>60</v>
      </c>
      <c r="AM15" s="12" t="s">
        <v>233</v>
      </c>
      <c r="AN15" s="12" t="n">
        <v>4</v>
      </c>
      <c r="AO15" s="12" t="n">
        <v>2</v>
      </c>
      <c r="AP15" s="12" t="s">
        <v>744</v>
      </c>
      <c r="AQ15" s="12"/>
    </row>
    <row r="16" customFormat="false" ht="15" hidden="false" customHeight="true" outlineLevel="0" collapsed="false">
      <c r="A16" s="9" t="s">
        <v>745</v>
      </c>
      <c r="B16" s="9" t="s">
        <v>746</v>
      </c>
      <c r="C16" s="9" t="s">
        <v>651</v>
      </c>
      <c r="D16" s="9" t="s">
        <v>747</v>
      </c>
      <c r="E16" s="9" t="s">
        <v>748</v>
      </c>
      <c r="F16" s="9" t="s">
        <v>186</v>
      </c>
      <c r="G16" s="9" t="s">
        <v>215</v>
      </c>
      <c r="H16" s="9" t="s">
        <v>303</v>
      </c>
      <c r="I16" s="9" t="s">
        <v>348</v>
      </c>
      <c r="J16" s="9" t="s">
        <v>344</v>
      </c>
      <c r="K16" s="9" t="s">
        <v>399</v>
      </c>
      <c r="L16" s="9" t="s">
        <v>487</v>
      </c>
      <c r="M16" s="9" t="s">
        <v>485</v>
      </c>
      <c r="N16" s="9" t="s">
        <v>738</v>
      </c>
      <c r="O16" s="9" t="s">
        <v>739</v>
      </c>
      <c r="P16" s="9" t="s">
        <v>225</v>
      </c>
      <c r="Q16" s="9"/>
      <c r="R16" s="9" t="s">
        <v>194</v>
      </c>
      <c r="S16" s="9" t="s">
        <v>749</v>
      </c>
      <c r="T16" s="9" t="s">
        <v>750</v>
      </c>
      <c r="U16" s="9"/>
      <c r="V16" s="10" t="s">
        <v>646</v>
      </c>
      <c r="W16" s="10"/>
      <c r="X16" s="10" t="s">
        <v>233</v>
      </c>
      <c r="Y16" s="10" t="s">
        <v>401</v>
      </c>
      <c r="Z16" s="10" t="s">
        <v>402</v>
      </c>
      <c r="AA16" s="10" t="s">
        <v>233</v>
      </c>
      <c r="AB16" s="10" t="s">
        <v>647</v>
      </c>
      <c r="AC16" s="10" t="n">
        <v>2</v>
      </c>
      <c r="AD16" s="10" t="s">
        <v>346</v>
      </c>
      <c r="AE16" s="10" t="s">
        <v>345</v>
      </c>
      <c r="AF16" s="10"/>
      <c r="AG16" s="10" t="n">
        <v>60</v>
      </c>
      <c r="AH16" s="10" t="s">
        <v>685</v>
      </c>
      <c r="AI16" s="10" t="s">
        <v>215</v>
      </c>
      <c r="AJ16" s="10" t="s">
        <v>215</v>
      </c>
      <c r="AK16" s="10" t="n">
        <v>5.94</v>
      </c>
      <c r="AL16" s="10" t="n">
        <v>55</v>
      </c>
      <c r="AM16" s="10" t="s">
        <v>233</v>
      </c>
      <c r="AN16" s="10" t="n">
        <v>4</v>
      </c>
      <c r="AO16" s="10" t="n">
        <v>2</v>
      </c>
      <c r="AP16" s="10" t="s">
        <v>751</v>
      </c>
      <c r="AQ16" s="10"/>
    </row>
    <row r="17" customFormat="false" ht="15" hidden="false" customHeight="true" outlineLevel="0" collapsed="false">
      <c r="A17" s="11" t="s">
        <v>752</v>
      </c>
      <c r="B17" s="11" t="s">
        <v>753</v>
      </c>
      <c r="C17" s="11" t="s">
        <v>641</v>
      </c>
      <c r="D17" s="11" t="s">
        <v>754</v>
      </c>
      <c r="E17" s="11" t="s">
        <v>755</v>
      </c>
      <c r="F17" s="11" t="s">
        <v>186</v>
      </c>
      <c r="G17" s="11" t="s">
        <v>227</v>
      </c>
      <c r="H17" s="11" t="s">
        <v>275</v>
      </c>
      <c r="I17" s="11" t="s">
        <v>337</v>
      </c>
      <c r="J17" s="11" t="s">
        <v>339</v>
      </c>
      <c r="K17" s="11" t="s">
        <v>399</v>
      </c>
      <c r="L17" s="11" t="s">
        <v>480</v>
      </c>
      <c r="M17" s="11" t="s">
        <v>478</v>
      </c>
      <c r="N17" s="11" t="s">
        <v>555</v>
      </c>
      <c r="O17" s="11" t="s">
        <v>650</v>
      </c>
      <c r="P17" s="11" t="s">
        <v>232</v>
      </c>
      <c r="Q17" s="11"/>
      <c r="R17" s="11" t="s">
        <v>194</v>
      </c>
      <c r="S17" s="11" t="s">
        <v>756</v>
      </c>
      <c r="T17" s="11" t="s">
        <v>757</v>
      </c>
      <c r="U17" s="11"/>
      <c r="V17" s="12" t="s">
        <v>646</v>
      </c>
      <c r="W17" s="12"/>
      <c r="X17" s="12" t="s">
        <v>233</v>
      </c>
      <c r="Y17" s="12" t="s">
        <v>401</v>
      </c>
      <c r="Z17" s="12" t="s">
        <v>402</v>
      </c>
      <c r="AA17" s="12" t="s">
        <v>233</v>
      </c>
      <c r="AB17" s="12" t="s">
        <v>647</v>
      </c>
      <c r="AC17" s="12" t="n">
        <v>2</v>
      </c>
      <c r="AD17" s="12" t="s">
        <v>333</v>
      </c>
      <c r="AE17" s="12" t="s">
        <v>331</v>
      </c>
      <c r="AF17" s="12"/>
      <c r="AG17" s="12" t="n">
        <v>60</v>
      </c>
      <c r="AH17" s="12" t="s">
        <v>648</v>
      </c>
      <c r="AI17" s="12" t="s">
        <v>227</v>
      </c>
      <c r="AJ17" s="12" t="s">
        <v>227</v>
      </c>
      <c r="AK17" s="12" t="n">
        <v>12.69</v>
      </c>
      <c r="AL17" s="12" t="n">
        <v>80</v>
      </c>
      <c r="AM17" s="12" t="s">
        <v>233</v>
      </c>
      <c r="AN17" s="12" t="n">
        <v>4</v>
      </c>
      <c r="AO17" s="12" t="n">
        <v>2</v>
      </c>
      <c r="AP17" s="12" t="s">
        <v>758</v>
      </c>
      <c r="AQ17" s="12"/>
    </row>
    <row r="18" customFormat="false" ht="15" hidden="false" customHeight="true" outlineLevel="0" collapsed="false">
      <c r="A18" s="9" t="s">
        <v>759</v>
      </c>
      <c r="B18" s="9" t="s">
        <v>760</v>
      </c>
      <c r="C18" s="9" t="s">
        <v>641</v>
      </c>
      <c r="D18" s="9" t="s">
        <v>761</v>
      </c>
      <c r="E18" s="9" t="s">
        <v>762</v>
      </c>
      <c r="F18" s="9" t="s">
        <v>186</v>
      </c>
      <c r="G18" s="9" t="s">
        <v>227</v>
      </c>
      <c r="H18" s="9" t="s">
        <v>278</v>
      </c>
      <c r="I18" s="9" t="s">
        <v>342</v>
      </c>
      <c r="J18" s="9" t="s">
        <v>344</v>
      </c>
      <c r="K18" s="9" t="s">
        <v>399</v>
      </c>
      <c r="L18" s="9" t="s">
        <v>480</v>
      </c>
      <c r="M18" s="9" t="s">
        <v>478</v>
      </c>
      <c r="N18" s="9" t="s">
        <v>752</v>
      </c>
      <c r="O18" s="9" t="s">
        <v>753</v>
      </c>
      <c r="P18" s="9" t="s">
        <v>232</v>
      </c>
      <c r="Q18" s="9"/>
      <c r="R18" s="9" t="s">
        <v>194</v>
      </c>
      <c r="S18" s="9" t="s">
        <v>763</v>
      </c>
      <c r="T18" s="9" t="s">
        <v>764</v>
      </c>
      <c r="U18" s="9"/>
      <c r="V18" s="10" t="s">
        <v>646</v>
      </c>
      <c r="W18" s="10"/>
      <c r="X18" s="10" t="s">
        <v>233</v>
      </c>
      <c r="Y18" s="10" t="s">
        <v>401</v>
      </c>
      <c r="Z18" s="10" t="s">
        <v>402</v>
      </c>
      <c r="AA18" s="10" t="s">
        <v>233</v>
      </c>
      <c r="AB18" s="10" t="s">
        <v>647</v>
      </c>
      <c r="AC18" s="10" t="n">
        <v>2</v>
      </c>
      <c r="AD18" s="10" t="s">
        <v>346</v>
      </c>
      <c r="AE18" s="10" t="s">
        <v>345</v>
      </c>
      <c r="AF18" s="10"/>
      <c r="AG18" s="10" t="n">
        <v>60</v>
      </c>
      <c r="AH18" s="10" t="s">
        <v>685</v>
      </c>
      <c r="AI18" s="10" t="s">
        <v>227</v>
      </c>
      <c r="AJ18" s="10" t="s">
        <v>227</v>
      </c>
      <c r="AK18" s="10" t="n">
        <v>9.07</v>
      </c>
      <c r="AL18" s="10" t="n">
        <v>60</v>
      </c>
      <c r="AM18" s="10" t="s">
        <v>233</v>
      </c>
      <c r="AN18" s="10" t="n">
        <v>4</v>
      </c>
      <c r="AO18" s="10" t="n">
        <v>2</v>
      </c>
      <c r="AP18" s="10" t="s">
        <v>765</v>
      </c>
      <c r="AQ18" s="10"/>
    </row>
    <row r="19" customFormat="false" ht="15" hidden="false" customHeight="true" outlineLevel="0" collapsed="false">
      <c r="A19" s="11" t="s">
        <v>580</v>
      </c>
      <c r="B19" s="11" t="s">
        <v>766</v>
      </c>
      <c r="C19" s="11" t="s">
        <v>641</v>
      </c>
      <c r="D19" s="11" t="s">
        <v>767</v>
      </c>
      <c r="E19" s="11" t="s">
        <v>768</v>
      </c>
      <c r="F19" s="11" t="s">
        <v>186</v>
      </c>
      <c r="G19" s="11" t="s">
        <v>227</v>
      </c>
      <c r="H19" s="11" t="s">
        <v>278</v>
      </c>
      <c r="I19" s="11" t="s">
        <v>352</v>
      </c>
      <c r="J19" s="11" t="s">
        <v>354</v>
      </c>
      <c r="K19" s="11" t="s">
        <v>399</v>
      </c>
      <c r="L19" s="11" t="s">
        <v>456</v>
      </c>
      <c r="M19" s="11" t="s">
        <v>454</v>
      </c>
      <c r="N19" s="11" t="s">
        <v>759</v>
      </c>
      <c r="O19" s="11" t="s">
        <v>760</v>
      </c>
      <c r="P19" s="11" t="s">
        <v>232</v>
      </c>
      <c r="Q19" s="11"/>
      <c r="R19" s="11" t="s">
        <v>194</v>
      </c>
      <c r="S19" s="11" t="s">
        <v>769</v>
      </c>
      <c r="T19" s="11" t="s">
        <v>770</v>
      </c>
      <c r="U19" s="11" t="s">
        <v>771</v>
      </c>
      <c r="V19" s="12" t="s">
        <v>646</v>
      </c>
      <c r="W19" s="12"/>
      <c r="X19" s="12" t="s">
        <v>233</v>
      </c>
      <c r="Y19" s="12" t="s">
        <v>401</v>
      </c>
      <c r="Z19" s="12" t="s">
        <v>402</v>
      </c>
      <c r="AA19" s="12" t="s">
        <v>233</v>
      </c>
      <c r="AB19" s="12" t="s">
        <v>647</v>
      </c>
      <c r="AC19" s="12" t="n">
        <v>2</v>
      </c>
      <c r="AD19" s="12" t="s">
        <v>346</v>
      </c>
      <c r="AE19" s="12" t="s">
        <v>345</v>
      </c>
      <c r="AF19" s="12"/>
      <c r="AG19" s="12" t="n">
        <v>60</v>
      </c>
      <c r="AH19" s="12" t="s">
        <v>685</v>
      </c>
      <c r="AI19" s="12" t="s">
        <v>227</v>
      </c>
      <c r="AJ19" s="12" t="s">
        <v>227</v>
      </c>
      <c r="AK19" s="12" t="n">
        <v>6.86</v>
      </c>
      <c r="AL19" s="12" t="n">
        <v>40</v>
      </c>
      <c r="AM19" s="12" t="s">
        <v>226</v>
      </c>
      <c r="AN19" s="12" t="n">
        <v>4</v>
      </c>
      <c r="AO19" s="12" t="n">
        <v>2</v>
      </c>
      <c r="AP19" s="12" t="s">
        <v>772</v>
      </c>
      <c r="AQ19" s="12"/>
    </row>
    <row r="20" customFormat="false" ht="15" hidden="false" customHeight="true" outlineLevel="0" collapsed="false">
      <c r="A20" s="9" t="s">
        <v>773</v>
      </c>
      <c r="B20" s="9" t="s">
        <v>774</v>
      </c>
      <c r="C20" s="9" t="s">
        <v>651</v>
      </c>
      <c r="D20" s="9" t="s">
        <v>775</v>
      </c>
      <c r="E20" s="9" t="s">
        <v>776</v>
      </c>
      <c r="F20" s="9" t="s">
        <v>186</v>
      </c>
      <c r="G20" s="9" t="s">
        <v>227</v>
      </c>
      <c r="H20" s="9" t="s">
        <v>278</v>
      </c>
      <c r="I20" s="9" t="s">
        <v>356</v>
      </c>
      <c r="J20" s="9" t="s">
        <v>354</v>
      </c>
      <c r="K20" s="9" t="s">
        <v>399</v>
      </c>
      <c r="L20" s="9" t="s">
        <v>456</v>
      </c>
      <c r="M20" s="9" t="s">
        <v>454</v>
      </c>
      <c r="N20" s="9" t="s">
        <v>759</v>
      </c>
      <c r="O20" s="9" t="s">
        <v>760</v>
      </c>
      <c r="P20" s="9" t="s">
        <v>232</v>
      </c>
      <c r="Q20" s="9"/>
      <c r="R20" s="9" t="s">
        <v>194</v>
      </c>
      <c r="S20" s="9" t="s">
        <v>777</v>
      </c>
      <c r="T20" s="9" t="s">
        <v>778</v>
      </c>
      <c r="U20" s="9" t="s">
        <v>779</v>
      </c>
      <c r="V20" s="10" t="s">
        <v>646</v>
      </c>
      <c r="W20" s="10"/>
      <c r="X20" s="10" t="s">
        <v>233</v>
      </c>
      <c r="Y20" s="10" t="s">
        <v>401</v>
      </c>
      <c r="Z20" s="10" t="s">
        <v>402</v>
      </c>
      <c r="AA20" s="10" t="s">
        <v>233</v>
      </c>
      <c r="AB20" s="10" t="s">
        <v>647</v>
      </c>
      <c r="AC20" s="10" t="n">
        <v>2</v>
      </c>
      <c r="AD20" s="10" t="s">
        <v>346</v>
      </c>
      <c r="AE20" s="10" t="s">
        <v>345</v>
      </c>
      <c r="AF20" s="10"/>
      <c r="AG20" s="10" t="n">
        <v>60</v>
      </c>
      <c r="AH20" s="10" t="s">
        <v>685</v>
      </c>
      <c r="AI20" s="10" t="s">
        <v>227</v>
      </c>
      <c r="AJ20" s="10" t="s">
        <v>227</v>
      </c>
      <c r="AK20" s="10" t="n">
        <v>5.25</v>
      </c>
      <c r="AL20" s="10" t="n">
        <v>35</v>
      </c>
      <c r="AM20" s="10" t="s">
        <v>226</v>
      </c>
      <c r="AN20" s="10" t="n">
        <v>4</v>
      </c>
      <c r="AO20" s="10" t="n">
        <v>2</v>
      </c>
      <c r="AP20" s="10" t="s">
        <v>780</v>
      </c>
      <c r="AQ20" s="10"/>
    </row>
    <row r="21" customFormat="false" ht="15" hidden="false" customHeight="true" outlineLevel="0" collapsed="false">
      <c r="A21" s="11" t="s">
        <v>781</v>
      </c>
      <c r="B21" s="11" t="s">
        <v>782</v>
      </c>
      <c r="C21" s="11" t="s">
        <v>641</v>
      </c>
      <c r="D21" s="11" t="s">
        <v>783</v>
      </c>
      <c r="E21" s="11" t="s">
        <v>784</v>
      </c>
      <c r="F21" s="11" t="s">
        <v>186</v>
      </c>
      <c r="G21" s="11" t="s">
        <v>227</v>
      </c>
      <c r="H21" s="11" t="s">
        <v>282</v>
      </c>
      <c r="I21" s="11" t="s">
        <v>356</v>
      </c>
      <c r="J21" s="11" t="s">
        <v>354</v>
      </c>
      <c r="K21" s="11" t="s">
        <v>399</v>
      </c>
      <c r="L21" s="11" t="s">
        <v>456</v>
      </c>
      <c r="M21" s="11" t="s">
        <v>454</v>
      </c>
      <c r="N21" s="11" t="s">
        <v>785</v>
      </c>
      <c r="O21" s="11" t="s">
        <v>786</v>
      </c>
      <c r="P21" s="11" t="s">
        <v>232</v>
      </c>
      <c r="Q21" s="11"/>
      <c r="R21" s="11" t="s">
        <v>194</v>
      </c>
      <c r="S21" s="11" t="s">
        <v>787</v>
      </c>
      <c r="T21" s="11" t="s">
        <v>788</v>
      </c>
      <c r="U21" s="11" t="s">
        <v>789</v>
      </c>
      <c r="V21" s="12" t="s">
        <v>646</v>
      </c>
      <c r="W21" s="12"/>
      <c r="X21" s="12" t="s">
        <v>233</v>
      </c>
      <c r="Y21" s="12" t="s">
        <v>401</v>
      </c>
      <c r="Z21" s="12" t="s">
        <v>402</v>
      </c>
      <c r="AA21" s="12" t="s">
        <v>233</v>
      </c>
      <c r="AB21" s="12" t="s">
        <v>647</v>
      </c>
      <c r="AC21" s="12" t="n">
        <v>2</v>
      </c>
      <c r="AD21" s="12" t="s">
        <v>346</v>
      </c>
      <c r="AE21" s="12" t="s">
        <v>345</v>
      </c>
      <c r="AF21" s="12"/>
      <c r="AG21" s="12" t="n">
        <v>60</v>
      </c>
      <c r="AH21" s="12" t="s">
        <v>685</v>
      </c>
      <c r="AI21" s="12" t="s">
        <v>227</v>
      </c>
      <c r="AJ21" s="12" t="s">
        <v>227</v>
      </c>
      <c r="AK21" s="12" t="n">
        <v>4.6</v>
      </c>
      <c r="AL21" s="12" t="n">
        <v>35</v>
      </c>
      <c r="AM21" s="12" t="s">
        <v>226</v>
      </c>
      <c r="AN21" s="12" t="n">
        <v>4</v>
      </c>
      <c r="AO21" s="12" t="n">
        <v>2</v>
      </c>
      <c r="AP21" s="12" t="s">
        <v>790</v>
      </c>
      <c r="AQ21" s="12"/>
    </row>
    <row r="22" customFormat="false" ht="15" hidden="false" customHeight="true" outlineLevel="0" collapsed="false">
      <c r="A22" s="9" t="s">
        <v>785</v>
      </c>
      <c r="B22" s="9" t="s">
        <v>786</v>
      </c>
      <c r="C22" s="9" t="s">
        <v>651</v>
      </c>
      <c r="D22" s="9" t="s">
        <v>791</v>
      </c>
      <c r="E22" s="9" t="s">
        <v>792</v>
      </c>
      <c r="F22" s="9" t="s">
        <v>186</v>
      </c>
      <c r="G22" s="9" t="s">
        <v>227</v>
      </c>
      <c r="H22" s="9" t="s">
        <v>282</v>
      </c>
      <c r="I22" s="9" t="s">
        <v>348</v>
      </c>
      <c r="J22" s="9" t="s">
        <v>344</v>
      </c>
      <c r="K22" s="9" t="s">
        <v>399</v>
      </c>
      <c r="L22" s="9" t="s">
        <v>480</v>
      </c>
      <c r="M22" s="9" t="s">
        <v>478</v>
      </c>
      <c r="N22" s="9" t="s">
        <v>752</v>
      </c>
      <c r="O22" s="9" t="s">
        <v>753</v>
      </c>
      <c r="P22" s="9" t="s">
        <v>232</v>
      </c>
      <c r="Q22" s="9"/>
      <c r="R22" s="9" t="s">
        <v>194</v>
      </c>
      <c r="S22" s="9" t="s">
        <v>793</v>
      </c>
      <c r="T22" s="9" t="s">
        <v>794</v>
      </c>
      <c r="U22" s="9" t="s">
        <v>795</v>
      </c>
      <c r="V22" s="10" t="s">
        <v>646</v>
      </c>
      <c r="W22" s="10"/>
      <c r="X22" s="10" t="s">
        <v>233</v>
      </c>
      <c r="Y22" s="10" t="s">
        <v>401</v>
      </c>
      <c r="Z22" s="10" t="s">
        <v>402</v>
      </c>
      <c r="AA22" s="10" t="s">
        <v>233</v>
      </c>
      <c r="AB22" s="10" t="s">
        <v>647</v>
      </c>
      <c r="AC22" s="10" t="n">
        <v>2</v>
      </c>
      <c r="AD22" s="10" t="s">
        <v>346</v>
      </c>
      <c r="AE22" s="10" t="s">
        <v>345</v>
      </c>
      <c r="AF22" s="10"/>
      <c r="AG22" s="10" t="n">
        <v>60</v>
      </c>
      <c r="AH22" s="10" t="s">
        <v>685</v>
      </c>
      <c r="AI22" s="10" t="s">
        <v>227</v>
      </c>
      <c r="AJ22" s="10" t="s">
        <v>227</v>
      </c>
      <c r="AK22" s="10" t="n">
        <v>10.01</v>
      </c>
      <c r="AL22" s="10" t="n">
        <v>55</v>
      </c>
      <c r="AM22" s="10" t="s">
        <v>233</v>
      </c>
      <c r="AN22" s="10" t="n">
        <v>4</v>
      </c>
      <c r="AO22" s="10" t="n">
        <v>2</v>
      </c>
      <c r="AP22" s="10" t="s">
        <v>796</v>
      </c>
      <c r="AQ22" s="10"/>
    </row>
    <row r="23" customFormat="false" ht="15" hidden="false" customHeight="true" outlineLevel="0" collapsed="false">
      <c r="A23" s="11" t="s">
        <v>797</v>
      </c>
      <c r="B23" s="11" t="s">
        <v>798</v>
      </c>
      <c r="C23" s="11" t="s">
        <v>641</v>
      </c>
      <c r="D23" s="11" t="s">
        <v>799</v>
      </c>
      <c r="E23" s="11" t="s">
        <v>800</v>
      </c>
      <c r="F23" s="11" t="s">
        <v>186</v>
      </c>
      <c r="G23" s="11" t="s">
        <v>227</v>
      </c>
      <c r="H23" s="11" t="s">
        <v>282</v>
      </c>
      <c r="I23" s="11" t="s">
        <v>363</v>
      </c>
      <c r="J23" s="11" t="s">
        <v>362</v>
      </c>
      <c r="K23" s="11" t="s">
        <v>399</v>
      </c>
      <c r="L23" s="11" t="s">
        <v>456</v>
      </c>
      <c r="M23" s="11" t="s">
        <v>454</v>
      </c>
      <c r="N23" s="11" t="s">
        <v>785</v>
      </c>
      <c r="O23" s="11" t="s">
        <v>786</v>
      </c>
      <c r="P23" s="11" t="s">
        <v>232</v>
      </c>
      <c r="Q23" s="11"/>
      <c r="R23" s="11" t="s">
        <v>194</v>
      </c>
      <c r="S23" s="11" t="s">
        <v>801</v>
      </c>
      <c r="T23" s="11" t="s">
        <v>802</v>
      </c>
      <c r="U23" s="11" t="s">
        <v>803</v>
      </c>
      <c r="V23" s="12" t="s">
        <v>646</v>
      </c>
      <c r="W23" s="12"/>
      <c r="X23" s="12" t="s">
        <v>233</v>
      </c>
      <c r="Y23" s="12" t="s">
        <v>401</v>
      </c>
      <c r="Z23" s="12" t="s">
        <v>402</v>
      </c>
      <c r="AA23" s="12" t="s">
        <v>233</v>
      </c>
      <c r="AB23" s="12" t="s">
        <v>647</v>
      </c>
      <c r="AC23" s="12" t="n">
        <v>2</v>
      </c>
      <c r="AD23" s="12" t="s">
        <v>346</v>
      </c>
      <c r="AE23" s="12" t="s">
        <v>345</v>
      </c>
      <c r="AF23" s="12"/>
      <c r="AG23" s="12" t="n">
        <v>60</v>
      </c>
      <c r="AH23" s="12" t="s">
        <v>685</v>
      </c>
      <c r="AI23" s="12" t="s">
        <v>227</v>
      </c>
      <c r="AJ23" s="12" t="s">
        <v>227</v>
      </c>
      <c r="AK23" s="12" t="n">
        <v>6.21</v>
      </c>
      <c r="AL23" s="12" t="n">
        <v>25</v>
      </c>
      <c r="AM23" s="12" t="s">
        <v>226</v>
      </c>
      <c r="AN23" s="12" t="n">
        <v>4</v>
      </c>
      <c r="AO23" s="12" t="n">
        <v>2</v>
      </c>
      <c r="AP23" s="12" t="s">
        <v>804</v>
      </c>
      <c r="AQ23" s="12"/>
    </row>
    <row r="24" customFormat="false" ht="15" hidden="false" customHeight="true" outlineLevel="0" collapsed="false">
      <c r="A24" s="9" t="s">
        <v>583</v>
      </c>
      <c r="B24" s="9" t="s">
        <v>805</v>
      </c>
      <c r="C24" s="9" t="s">
        <v>651</v>
      </c>
      <c r="D24" s="9" t="s">
        <v>806</v>
      </c>
      <c r="E24" s="9" t="s">
        <v>807</v>
      </c>
      <c r="F24" s="9" t="s">
        <v>186</v>
      </c>
      <c r="G24" s="9" t="s">
        <v>227</v>
      </c>
      <c r="H24" s="9" t="s">
        <v>285</v>
      </c>
      <c r="I24" s="9" t="s">
        <v>360</v>
      </c>
      <c r="J24" s="9" t="s">
        <v>362</v>
      </c>
      <c r="K24" s="9" t="s">
        <v>399</v>
      </c>
      <c r="L24" s="9" t="s">
        <v>456</v>
      </c>
      <c r="M24" s="9" t="s">
        <v>454</v>
      </c>
      <c r="N24" s="9" t="s">
        <v>808</v>
      </c>
      <c r="O24" s="9" t="s">
        <v>809</v>
      </c>
      <c r="P24" s="9" t="s">
        <v>232</v>
      </c>
      <c r="Q24" s="9"/>
      <c r="R24" s="9" t="s">
        <v>194</v>
      </c>
      <c r="S24" s="9" t="s">
        <v>810</v>
      </c>
      <c r="T24" s="9" t="s">
        <v>811</v>
      </c>
      <c r="U24" s="9" t="s">
        <v>812</v>
      </c>
      <c r="V24" s="10" t="s">
        <v>646</v>
      </c>
      <c r="W24" s="10"/>
      <c r="X24" s="10" t="s">
        <v>233</v>
      </c>
      <c r="Y24" s="10" t="s">
        <v>401</v>
      </c>
      <c r="Z24" s="10" t="s">
        <v>402</v>
      </c>
      <c r="AA24" s="10" t="s">
        <v>233</v>
      </c>
      <c r="AB24" s="10" t="s">
        <v>647</v>
      </c>
      <c r="AC24" s="10" t="n">
        <v>2</v>
      </c>
      <c r="AD24" s="10" t="s">
        <v>346</v>
      </c>
      <c r="AE24" s="10" t="s">
        <v>345</v>
      </c>
      <c r="AF24" s="10"/>
      <c r="AG24" s="10" t="n">
        <v>60</v>
      </c>
      <c r="AH24" s="10" t="s">
        <v>685</v>
      </c>
      <c r="AI24" s="10" t="s">
        <v>227</v>
      </c>
      <c r="AJ24" s="10" t="s">
        <v>227</v>
      </c>
      <c r="AK24" s="10" t="n">
        <v>5.5</v>
      </c>
      <c r="AL24" s="10" t="n">
        <v>30</v>
      </c>
      <c r="AM24" s="10" t="s">
        <v>226</v>
      </c>
      <c r="AN24" s="10" t="n">
        <v>4</v>
      </c>
      <c r="AO24" s="10" t="n">
        <v>2</v>
      </c>
      <c r="AP24" s="10" t="s">
        <v>813</v>
      </c>
      <c r="AQ24" s="10"/>
    </row>
    <row r="25" customFormat="false" ht="15" hidden="false" customHeight="true" outlineLevel="0" collapsed="false">
      <c r="A25" s="11" t="s">
        <v>808</v>
      </c>
      <c r="B25" s="11" t="s">
        <v>809</v>
      </c>
      <c r="C25" s="11" t="s">
        <v>641</v>
      </c>
      <c r="D25" s="11" t="s">
        <v>814</v>
      </c>
      <c r="E25" s="11" t="s">
        <v>815</v>
      </c>
      <c r="F25" s="11" t="s">
        <v>186</v>
      </c>
      <c r="G25" s="11" t="s">
        <v>227</v>
      </c>
      <c r="H25" s="11" t="s">
        <v>285</v>
      </c>
      <c r="I25" s="11" t="s">
        <v>350</v>
      </c>
      <c r="J25" s="11" t="s">
        <v>344</v>
      </c>
      <c r="K25" s="11" t="s">
        <v>399</v>
      </c>
      <c r="L25" s="11" t="s">
        <v>480</v>
      </c>
      <c r="M25" s="11" t="s">
        <v>478</v>
      </c>
      <c r="N25" s="11" t="s">
        <v>752</v>
      </c>
      <c r="O25" s="11" t="s">
        <v>753</v>
      </c>
      <c r="P25" s="11" t="s">
        <v>232</v>
      </c>
      <c r="Q25" s="11"/>
      <c r="R25" s="11" t="s">
        <v>194</v>
      </c>
      <c r="S25" s="11" t="s">
        <v>816</v>
      </c>
      <c r="T25" s="11" t="s">
        <v>817</v>
      </c>
      <c r="U25" s="11"/>
      <c r="V25" s="12" t="s">
        <v>646</v>
      </c>
      <c r="W25" s="12"/>
      <c r="X25" s="12" t="s">
        <v>233</v>
      </c>
      <c r="Y25" s="12" t="s">
        <v>401</v>
      </c>
      <c r="Z25" s="12" t="s">
        <v>402</v>
      </c>
      <c r="AA25" s="12" t="s">
        <v>233</v>
      </c>
      <c r="AB25" s="12" t="s">
        <v>647</v>
      </c>
      <c r="AC25" s="12" t="n">
        <v>2</v>
      </c>
      <c r="AD25" s="12" t="s">
        <v>346</v>
      </c>
      <c r="AE25" s="12" t="s">
        <v>345</v>
      </c>
      <c r="AF25" s="12"/>
      <c r="AG25" s="12" t="n">
        <v>60</v>
      </c>
      <c r="AH25" s="12" t="s">
        <v>685</v>
      </c>
      <c r="AI25" s="12" t="s">
        <v>227</v>
      </c>
      <c r="AJ25" s="12" t="s">
        <v>227</v>
      </c>
      <c r="AK25" s="12" t="n">
        <v>10.79</v>
      </c>
      <c r="AL25" s="12" t="n">
        <v>50</v>
      </c>
      <c r="AM25" s="12" t="s">
        <v>233</v>
      </c>
      <c r="AN25" s="12" t="n">
        <v>4</v>
      </c>
      <c r="AO25" s="12" t="n">
        <v>2</v>
      </c>
      <c r="AP25" s="12" t="s">
        <v>818</v>
      </c>
      <c r="AQ25" s="12"/>
    </row>
    <row r="26" customFormat="false" ht="15" hidden="false" customHeight="true" outlineLevel="0" collapsed="false">
      <c r="A26" s="9" t="s">
        <v>819</v>
      </c>
      <c r="B26" s="9" t="s">
        <v>820</v>
      </c>
      <c r="C26" s="9" t="s">
        <v>651</v>
      </c>
      <c r="D26" s="9" t="s">
        <v>821</v>
      </c>
      <c r="E26" s="9" t="s">
        <v>822</v>
      </c>
      <c r="F26" s="9" t="s">
        <v>186</v>
      </c>
      <c r="G26" s="9" t="s">
        <v>227</v>
      </c>
      <c r="H26" s="9" t="s">
        <v>278</v>
      </c>
      <c r="I26" s="9" t="s">
        <v>365</v>
      </c>
      <c r="J26" s="9" t="s">
        <v>362</v>
      </c>
      <c r="K26" s="9" t="s">
        <v>399</v>
      </c>
      <c r="L26" s="9" t="s">
        <v>456</v>
      </c>
      <c r="M26" s="9" t="s">
        <v>454</v>
      </c>
      <c r="N26" s="9" t="s">
        <v>759</v>
      </c>
      <c r="O26" s="9" t="s">
        <v>760</v>
      </c>
      <c r="P26" s="9" t="s">
        <v>232</v>
      </c>
      <c r="Q26" s="9"/>
      <c r="R26" s="9" t="s">
        <v>194</v>
      </c>
      <c r="S26" s="9" t="s">
        <v>823</v>
      </c>
      <c r="T26" s="9" t="s">
        <v>824</v>
      </c>
      <c r="U26" s="9"/>
      <c r="V26" s="10" t="s">
        <v>646</v>
      </c>
      <c r="W26" s="10"/>
      <c r="X26" s="10" t="s">
        <v>233</v>
      </c>
      <c r="Y26" s="10" t="s">
        <v>401</v>
      </c>
      <c r="Z26" s="10" t="s">
        <v>402</v>
      </c>
      <c r="AA26" s="10" t="s">
        <v>233</v>
      </c>
      <c r="AB26" s="10" t="s">
        <v>647</v>
      </c>
      <c r="AC26" s="10" t="n">
        <v>2</v>
      </c>
      <c r="AD26" s="10" t="s">
        <v>346</v>
      </c>
      <c r="AE26" s="10" t="s">
        <v>345</v>
      </c>
      <c r="AF26" s="10"/>
      <c r="AG26" s="10" t="n">
        <v>60</v>
      </c>
      <c r="AH26" s="10" t="s">
        <v>685</v>
      </c>
      <c r="AI26" s="10" t="s">
        <v>227</v>
      </c>
      <c r="AJ26" s="10" t="s">
        <v>227</v>
      </c>
      <c r="AK26" s="10" t="n">
        <v>3.68</v>
      </c>
      <c r="AL26" s="10" t="n">
        <v>20</v>
      </c>
      <c r="AM26" s="10" t="s">
        <v>226</v>
      </c>
      <c r="AN26" s="10" t="n">
        <v>4</v>
      </c>
      <c r="AO26" s="10" t="n">
        <v>2</v>
      </c>
      <c r="AP26" s="10" t="s">
        <v>825</v>
      </c>
      <c r="AQ26" s="10"/>
    </row>
    <row r="27" customFormat="false" ht="15" hidden="false" customHeight="true" outlineLevel="0" collapsed="false">
      <c r="A27" s="11" t="s">
        <v>586</v>
      </c>
      <c r="B27" s="11" t="s">
        <v>826</v>
      </c>
      <c r="C27" s="11" t="s">
        <v>641</v>
      </c>
      <c r="D27" s="11" t="s">
        <v>827</v>
      </c>
      <c r="E27" s="11" t="s">
        <v>828</v>
      </c>
      <c r="F27" s="11" t="s">
        <v>186</v>
      </c>
      <c r="G27" s="11" t="s">
        <v>227</v>
      </c>
      <c r="H27" s="11" t="s">
        <v>288</v>
      </c>
      <c r="I27" s="11" t="s">
        <v>367</v>
      </c>
      <c r="J27" s="11" t="s">
        <v>362</v>
      </c>
      <c r="K27" s="11" t="s">
        <v>399</v>
      </c>
      <c r="L27" s="11" t="s">
        <v>456</v>
      </c>
      <c r="M27" s="11" t="s">
        <v>462</v>
      </c>
      <c r="N27" s="11" t="s">
        <v>829</v>
      </c>
      <c r="O27" s="11" t="s">
        <v>830</v>
      </c>
      <c r="P27" s="11" t="s">
        <v>232</v>
      </c>
      <c r="Q27" s="11"/>
      <c r="R27" s="11" t="s">
        <v>194</v>
      </c>
      <c r="S27" s="11" t="s">
        <v>831</v>
      </c>
      <c r="T27" s="11" t="s">
        <v>832</v>
      </c>
      <c r="U27" s="11" t="s">
        <v>833</v>
      </c>
      <c r="V27" s="12" t="s">
        <v>646</v>
      </c>
      <c r="W27" s="12"/>
      <c r="X27" s="12" t="s">
        <v>233</v>
      </c>
      <c r="Y27" s="12" t="s">
        <v>401</v>
      </c>
      <c r="Z27" s="12" t="s">
        <v>402</v>
      </c>
      <c r="AA27" s="12" t="s">
        <v>233</v>
      </c>
      <c r="AB27" s="12" t="s">
        <v>647</v>
      </c>
      <c r="AC27" s="12" t="n">
        <v>2</v>
      </c>
      <c r="AD27" s="12" t="s">
        <v>346</v>
      </c>
      <c r="AE27" s="12" t="s">
        <v>345</v>
      </c>
      <c r="AF27" s="12"/>
      <c r="AG27" s="12" t="n">
        <v>60</v>
      </c>
      <c r="AH27" s="12" t="s">
        <v>685</v>
      </c>
      <c r="AI27" s="12" t="s">
        <v>227</v>
      </c>
      <c r="AJ27" s="12" t="s">
        <v>227</v>
      </c>
      <c r="AK27" s="12" t="n">
        <v>7.4</v>
      </c>
      <c r="AL27" s="12" t="n">
        <v>20</v>
      </c>
      <c r="AM27" s="12" t="s">
        <v>226</v>
      </c>
      <c r="AN27" s="12" t="n">
        <v>4</v>
      </c>
      <c r="AO27" s="12" t="n">
        <v>2</v>
      </c>
      <c r="AP27" s="12" t="s">
        <v>834</v>
      </c>
      <c r="AQ27" s="12"/>
    </row>
    <row r="28" customFormat="false" ht="15" hidden="false" customHeight="true" outlineLevel="0" collapsed="false">
      <c r="A28" s="9" t="s">
        <v>829</v>
      </c>
      <c r="B28" s="9" t="s">
        <v>830</v>
      </c>
      <c r="C28" s="9" t="s">
        <v>641</v>
      </c>
      <c r="D28" s="9" t="s">
        <v>835</v>
      </c>
      <c r="E28" s="9" t="s">
        <v>836</v>
      </c>
      <c r="F28" s="9" t="s">
        <v>186</v>
      </c>
      <c r="G28" s="9" t="s">
        <v>227</v>
      </c>
      <c r="H28" s="9" t="s">
        <v>288</v>
      </c>
      <c r="I28" s="9" t="s">
        <v>350</v>
      </c>
      <c r="J28" s="9" t="s">
        <v>344</v>
      </c>
      <c r="K28" s="9" t="s">
        <v>399</v>
      </c>
      <c r="L28" s="9" t="s">
        <v>480</v>
      </c>
      <c r="M28" s="9" t="s">
        <v>478</v>
      </c>
      <c r="N28" s="9" t="s">
        <v>752</v>
      </c>
      <c r="O28" s="9" t="s">
        <v>753</v>
      </c>
      <c r="P28" s="9" t="s">
        <v>232</v>
      </c>
      <c r="Q28" s="9"/>
      <c r="R28" s="9" t="s">
        <v>194</v>
      </c>
      <c r="S28" s="9" t="s">
        <v>837</v>
      </c>
      <c r="T28" s="9" t="s">
        <v>838</v>
      </c>
      <c r="U28" s="9"/>
      <c r="V28" s="10" t="s">
        <v>646</v>
      </c>
      <c r="W28" s="10"/>
      <c r="X28" s="10" t="s">
        <v>233</v>
      </c>
      <c r="Y28" s="10" t="s">
        <v>401</v>
      </c>
      <c r="Z28" s="10" t="s">
        <v>402</v>
      </c>
      <c r="AA28" s="10" t="s">
        <v>233</v>
      </c>
      <c r="AB28" s="10" t="s">
        <v>647</v>
      </c>
      <c r="AC28" s="10" t="n">
        <v>2</v>
      </c>
      <c r="AD28" s="10" t="s">
        <v>346</v>
      </c>
      <c r="AE28" s="10" t="s">
        <v>345</v>
      </c>
      <c r="AF28" s="10"/>
      <c r="AG28" s="10" t="n">
        <v>60</v>
      </c>
      <c r="AH28" s="10" t="s">
        <v>685</v>
      </c>
      <c r="AI28" s="10" t="s">
        <v>227</v>
      </c>
      <c r="AJ28" s="10" t="s">
        <v>227</v>
      </c>
      <c r="AK28" s="10" t="n">
        <v>9.59</v>
      </c>
      <c r="AL28" s="10" t="n">
        <v>50</v>
      </c>
      <c r="AM28" s="10" t="s">
        <v>233</v>
      </c>
      <c r="AN28" s="10" t="n">
        <v>4</v>
      </c>
      <c r="AO28" s="10" t="n">
        <v>2</v>
      </c>
      <c r="AP28" s="10" t="s">
        <v>839</v>
      </c>
      <c r="AQ28" s="10"/>
    </row>
    <row r="29" customFormat="false" ht="15" hidden="false" customHeight="true" outlineLevel="0" collapsed="false">
      <c r="A29" s="11" t="s">
        <v>840</v>
      </c>
      <c r="B29" s="11" t="s">
        <v>841</v>
      </c>
      <c r="C29" s="11" t="s">
        <v>651</v>
      </c>
      <c r="D29" s="11" t="s">
        <v>842</v>
      </c>
      <c r="E29" s="11" t="s">
        <v>843</v>
      </c>
      <c r="F29" s="11" t="s">
        <v>186</v>
      </c>
      <c r="G29" s="11" t="s">
        <v>227</v>
      </c>
      <c r="H29" s="11" t="s">
        <v>282</v>
      </c>
      <c r="I29" s="11" t="s">
        <v>363</v>
      </c>
      <c r="J29" s="11" t="s">
        <v>362</v>
      </c>
      <c r="K29" s="11" t="s">
        <v>399</v>
      </c>
      <c r="L29" s="11" t="s">
        <v>456</v>
      </c>
      <c r="M29" s="11" t="s">
        <v>454</v>
      </c>
      <c r="N29" s="11" t="s">
        <v>785</v>
      </c>
      <c r="O29" s="11" t="s">
        <v>786</v>
      </c>
      <c r="P29" s="11" t="s">
        <v>232</v>
      </c>
      <c r="Q29" s="11"/>
      <c r="R29" s="11" t="s">
        <v>194</v>
      </c>
      <c r="S29" s="11" t="s">
        <v>844</v>
      </c>
      <c r="T29" s="11" t="s">
        <v>845</v>
      </c>
      <c r="U29" s="11" t="s">
        <v>846</v>
      </c>
      <c r="V29" s="12" t="s">
        <v>646</v>
      </c>
      <c r="W29" s="12"/>
      <c r="X29" s="12" t="s">
        <v>233</v>
      </c>
      <c r="Y29" s="12" t="s">
        <v>401</v>
      </c>
      <c r="Z29" s="12" t="s">
        <v>402</v>
      </c>
      <c r="AA29" s="12" t="s">
        <v>233</v>
      </c>
      <c r="AB29" s="12" t="s">
        <v>647</v>
      </c>
      <c r="AC29" s="12" t="n">
        <v>2</v>
      </c>
      <c r="AD29" s="12" t="s">
        <v>346</v>
      </c>
      <c r="AE29" s="12" t="s">
        <v>345</v>
      </c>
      <c r="AF29" s="12"/>
      <c r="AG29" s="12" t="n">
        <v>60</v>
      </c>
      <c r="AH29" s="12" t="s">
        <v>685</v>
      </c>
      <c r="AI29" s="12" t="s">
        <v>227</v>
      </c>
      <c r="AJ29" s="12" t="s">
        <v>227</v>
      </c>
      <c r="AK29" s="12" t="n">
        <v>7.88</v>
      </c>
      <c r="AL29" s="12" t="n">
        <v>25</v>
      </c>
      <c r="AM29" s="12" t="s">
        <v>226</v>
      </c>
      <c r="AN29" s="12" t="n">
        <v>4</v>
      </c>
      <c r="AO29" s="12" t="n">
        <v>2</v>
      </c>
      <c r="AP29" s="12" t="s">
        <v>847</v>
      </c>
      <c r="AQ29" s="12"/>
    </row>
    <row r="30" customFormat="false" ht="15" hidden="false" customHeight="true" outlineLevel="0" collapsed="false">
      <c r="A30" s="9" t="s">
        <v>848</v>
      </c>
      <c r="B30" s="9" t="s">
        <v>849</v>
      </c>
      <c r="C30" s="9" t="s">
        <v>641</v>
      </c>
      <c r="D30" s="9" t="s">
        <v>850</v>
      </c>
      <c r="E30" s="9" t="s">
        <v>851</v>
      </c>
      <c r="F30" s="9" t="s">
        <v>186</v>
      </c>
      <c r="G30" s="9" t="s">
        <v>227</v>
      </c>
      <c r="H30" s="9" t="s">
        <v>278</v>
      </c>
      <c r="I30" s="9" t="s">
        <v>365</v>
      </c>
      <c r="J30" s="9" t="s">
        <v>362</v>
      </c>
      <c r="K30" s="9" t="s">
        <v>399</v>
      </c>
      <c r="L30" s="9" t="s">
        <v>456</v>
      </c>
      <c r="M30" s="9" t="s">
        <v>462</v>
      </c>
      <c r="N30" s="9" t="s">
        <v>759</v>
      </c>
      <c r="O30" s="9" t="s">
        <v>760</v>
      </c>
      <c r="P30" s="9" t="s">
        <v>232</v>
      </c>
      <c r="Q30" s="9"/>
      <c r="R30" s="9" t="s">
        <v>194</v>
      </c>
      <c r="S30" s="9" t="s">
        <v>852</v>
      </c>
      <c r="T30" s="9" t="s">
        <v>853</v>
      </c>
      <c r="U30" s="9"/>
      <c r="V30" s="10" t="s">
        <v>646</v>
      </c>
      <c r="W30" s="10"/>
      <c r="X30" s="10" t="s">
        <v>233</v>
      </c>
      <c r="Y30" s="10" t="s">
        <v>401</v>
      </c>
      <c r="Z30" s="10" t="s">
        <v>402</v>
      </c>
      <c r="AA30" s="10" t="s">
        <v>233</v>
      </c>
      <c r="AB30" s="10" t="s">
        <v>647</v>
      </c>
      <c r="AC30" s="10" t="n">
        <v>2</v>
      </c>
      <c r="AD30" s="10" t="s">
        <v>346</v>
      </c>
      <c r="AE30" s="10" t="s">
        <v>345</v>
      </c>
      <c r="AF30" s="10"/>
      <c r="AG30" s="10" t="n">
        <v>60</v>
      </c>
      <c r="AH30" s="10" t="s">
        <v>685</v>
      </c>
      <c r="AI30" s="10" t="s">
        <v>227</v>
      </c>
      <c r="AJ30" s="10" t="s">
        <v>227</v>
      </c>
      <c r="AK30" s="10" t="n">
        <v>2.12</v>
      </c>
      <c r="AL30" s="10" t="n">
        <v>20</v>
      </c>
      <c r="AM30" s="10" t="s">
        <v>226</v>
      </c>
      <c r="AN30" s="10" t="n">
        <v>4</v>
      </c>
      <c r="AO30" s="10" t="n">
        <v>2</v>
      </c>
      <c r="AP30" s="10" t="s">
        <v>854</v>
      </c>
      <c r="AQ30" s="10"/>
    </row>
    <row r="31" customFormat="false" ht="15" hidden="false" customHeight="true" outlineLevel="0" collapsed="false">
      <c r="A31" s="11" t="s">
        <v>855</v>
      </c>
      <c r="B31" s="11" t="s">
        <v>856</v>
      </c>
      <c r="C31" s="11" t="s">
        <v>641</v>
      </c>
      <c r="D31" s="11" t="s">
        <v>857</v>
      </c>
      <c r="E31" s="11" t="s">
        <v>858</v>
      </c>
      <c r="F31" s="11" t="s">
        <v>186</v>
      </c>
      <c r="G31" s="11" t="s">
        <v>227</v>
      </c>
      <c r="H31" s="11" t="s">
        <v>278</v>
      </c>
      <c r="I31" s="11" t="s">
        <v>369</v>
      </c>
      <c r="J31" s="11" t="s">
        <v>371</v>
      </c>
      <c r="K31" s="11" t="s">
        <v>408</v>
      </c>
      <c r="L31" s="11" t="s">
        <v>480</v>
      </c>
      <c r="M31" s="11" t="s">
        <v>478</v>
      </c>
      <c r="N31" s="11" t="s">
        <v>759</v>
      </c>
      <c r="O31" s="11" t="s">
        <v>760</v>
      </c>
      <c r="P31" s="11" t="s">
        <v>232</v>
      </c>
      <c r="Q31" s="11"/>
      <c r="R31" s="11" t="s">
        <v>194</v>
      </c>
      <c r="S31" s="11" t="s">
        <v>859</v>
      </c>
      <c r="T31" s="11" t="s">
        <v>860</v>
      </c>
      <c r="U31" s="11" t="s">
        <v>861</v>
      </c>
      <c r="V31" s="12" t="s">
        <v>862</v>
      </c>
      <c r="W31" s="12" t="s">
        <v>863</v>
      </c>
      <c r="X31" s="12" t="s">
        <v>233</v>
      </c>
      <c r="Y31" s="12" t="s">
        <v>401</v>
      </c>
      <c r="Z31" s="12" t="s">
        <v>402</v>
      </c>
      <c r="AA31" s="12" t="s">
        <v>233</v>
      </c>
      <c r="AB31" s="12" t="s">
        <v>647</v>
      </c>
      <c r="AC31" s="12" t="n">
        <v>2</v>
      </c>
      <c r="AD31" s="12" t="s">
        <v>373</v>
      </c>
      <c r="AE31" s="12" t="s">
        <v>372</v>
      </c>
      <c r="AF31" s="12" t="s">
        <v>864</v>
      </c>
      <c r="AG31" s="12" t="n">
        <v>60</v>
      </c>
      <c r="AH31" s="12" t="s">
        <v>865</v>
      </c>
      <c r="AI31" s="12" t="s">
        <v>227</v>
      </c>
      <c r="AJ31" s="12" t="s">
        <v>227</v>
      </c>
      <c r="AK31" s="12" t="n">
        <v>0.21</v>
      </c>
      <c r="AL31" s="12" t="n">
        <v>15</v>
      </c>
      <c r="AM31" s="12" t="s">
        <v>226</v>
      </c>
      <c r="AN31" s="12" t="n">
        <v>4</v>
      </c>
      <c r="AO31" s="12" t="n">
        <v>2</v>
      </c>
      <c r="AP31" s="12" t="s">
        <v>866</v>
      </c>
      <c r="AQ31" s="12"/>
    </row>
    <row r="32" customFormat="false" ht="15" hidden="false" customHeight="true" outlineLevel="0" collapsed="false">
      <c r="A32" s="9" t="s">
        <v>867</v>
      </c>
      <c r="B32" s="9" t="s">
        <v>868</v>
      </c>
      <c r="C32" s="9" t="s">
        <v>651</v>
      </c>
      <c r="D32" s="9" t="s">
        <v>869</v>
      </c>
      <c r="E32" s="9" t="s">
        <v>858</v>
      </c>
      <c r="F32" s="9" t="s">
        <v>186</v>
      </c>
      <c r="G32" s="9" t="s">
        <v>227</v>
      </c>
      <c r="H32" s="9" t="s">
        <v>285</v>
      </c>
      <c r="I32" s="9" t="s">
        <v>374</v>
      </c>
      <c r="J32" s="9" t="s">
        <v>371</v>
      </c>
      <c r="K32" s="9" t="s">
        <v>408</v>
      </c>
      <c r="L32" s="9" t="s">
        <v>480</v>
      </c>
      <c r="M32" s="9" t="s">
        <v>478</v>
      </c>
      <c r="N32" s="9" t="s">
        <v>808</v>
      </c>
      <c r="O32" s="9" t="s">
        <v>809</v>
      </c>
      <c r="P32" s="9" t="s">
        <v>232</v>
      </c>
      <c r="Q32" s="9"/>
      <c r="R32" s="9" t="s">
        <v>194</v>
      </c>
      <c r="S32" s="9" t="s">
        <v>870</v>
      </c>
      <c r="T32" s="9" t="s">
        <v>871</v>
      </c>
      <c r="U32" s="9" t="s">
        <v>872</v>
      </c>
      <c r="V32" s="10" t="s">
        <v>862</v>
      </c>
      <c r="W32" s="10" t="s">
        <v>863</v>
      </c>
      <c r="X32" s="10" t="s">
        <v>233</v>
      </c>
      <c r="Y32" s="10" t="s">
        <v>401</v>
      </c>
      <c r="Z32" s="10" t="s">
        <v>402</v>
      </c>
      <c r="AA32" s="10" t="s">
        <v>233</v>
      </c>
      <c r="AB32" s="10" t="s">
        <v>647</v>
      </c>
      <c r="AC32" s="10" t="n">
        <v>2</v>
      </c>
      <c r="AD32" s="10" t="s">
        <v>373</v>
      </c>
      <c r="AE32" s="10" t="s">
        <v>376</v>
      </c>
      <c r="AF32" s="10" t="s">
        <v>873</v>
      </c>
      <c r="AG32" s="10" t="n">
        <v>60</v>
      </c>
      <c r="AH32" s="10" t="s">
        <v>865</v>
      </c>
      <c r="AI32" s="10" t="s">
        <v>227</v>
      </c>
      <c r="AJ32" s="10" t="s">
        <v>227</v>
      </c>
      <c r="AK32" s="10" t="n">
        <v>0.21</v>
      </c>
      <c r="AL32" s="10" t="n">
        <v>14</v>
      </c>
      <c r="AM32" s="10" t="s">
        <v>226</v>
      </c>
      <c r="AN32" s="10" t="n">
        <v>4</v>
      </c>
      <c r="AO32" s="10" t="n">
        <v>2</v>
      </c>
      <c r="AP32" s="10" t="s">
        <v>874</v>
      </c>
      <c r="AQ32" s="10"/>
    </row>
    <row r="33" customFormat="false" ht="15" hidden="false" customHeight="true" outlineLevel="0" collapsed="false">
      <c r="A33" s="11" t="s">
        <v>875</v>
      </c>
      <c r="B33" s="11" t="s">
        <v>876</v>
      </c>
      <c r="C33" s="11" t="s">
        <v>641</v>
      </c>
      <c r="D33" s="11" t="s">
        <v>877</v>
      </c>
      <c r="E33" s="11" t="s">
        <v>878</v>
      </c>
      <c r="F33" s="11" t="s">
        <v>186</v>
      </c>
      <c r="G33" s="11" t="s">
        <v>227</v>
      </c>
      <c r="H33" s="11" t="s">
        <v>278</v>
      </c>
      <c r="I33" s="11" t="s">
        <v>383</v>
      </c>
      <c r="J33" s="11" t="s">
        <v>379</v>
      </c>
      <c r="K33" s="11" t="s">
        <v>416</v>
      </c>
      <c r="L33" s="11" t="s">
        <v>456</v>
      </c>
      <c r="M33" s="11" t="s">
        <v>454</v>
      </c>
      <c r="N33" s="11" t="s">
        <v>759</v>
      </c>
      <c r="O33" s="11" t="s">
        <v>760</v>
      </c>
      <c r="P33" s="11" t="s">
        <v>232</v>
      </c>
      <c r="Q33" s="11" t="s">
        <v>879</v>
      </c>
      <c r="R33" s="11" t="s">
        <v>194</v>
      </c>
      <c r="S33" s="11" t="s">
        <v>880</v>
      </c>
      <c r="T33" s="11" t="s">
        <v>881</v>
      </c>
      <c r="U33" s="11" t="s">
        <v>882</v>
      </c>
      <c r="V33" s="12" t="s">
        <v>883</v>
      </c>
      <c r="W33" s="12"/>
      <c r="X33" s="12" t="s">
        <v>226</v>
      </c>
      <c r="Y33" s="12"/>
      <c r="Z33" s="12" t="s">
        <v>419</v>
      </c>
      <c r="AA33" s="12" t="s">
        <v>233</v>
      </c>
      <c r="AB33" s="12" t="s">
        <v>647</v>
      </c>
      <c r="AC33" s="12" t="n">
        <v>2</v>
      </c>
      <c r="AD33" s="12" t="s">
        <v>382</v>
      </c>
      <c r="AE33" s="12" t="s">
        <v>380</v>
      </c>
      <c r="AF33" s="12"/>
      <c r="AG33" s="12"/>
      <c r="AH33" s="12" t="s">
        <v>865</v>
      </c>
      <c r="AI33" s="12" t="s">
        <v>227</v>
      </c>
      <c r="AJ33" s="12" t="s">
        <v>227</v>
      </c>
      <c r="AK33" s="12" t="n">
        <v>1.46</v>
      </c>
      <c r="AL33" s="12" t="n">
        <v>5</v>
      </c>
      <c r="AM33" s="12" t="s">
        <v>226</v>
      </c>
      <c r="AN33" s="12"/>
      <c r="AO33" s="12"/>
      <c r="AP33" s="12" t="s">
        <v>884</v>
      </c>
      <c r="AQ33" s="12" t="s">
        <v>885</v>
      </c>
    </row>
    <row r="34" customFormat="false" ht="15" hidden="false" customHeight="true" outlineLevel="0" collapsed="false">
      <c r="A34" s="9" t="s">
        <v>886</v>
      </c>
      <c r="B34" s="9" t="s">
        <v>887</v>
      </c>
      <c r="C34" s="9" t="s">
        <v>651</v>
      </c>
      <c r="D34" s="9" t="s">
        <v>888</v>
      </c>
      <c r="E34" s="9" t="s">
        <v>889</v>
      </c>
      <c r="F34" s="9" t="s">
        <v>186</v>
      </c>
      <c r="G34" s="9" t="s">
        <v>227</v>
      </c>
      <c r="H34" s="9" t="s">
        <v>282</v>
      </c>
      <c r="I34" s="9" t="s">
        <v>383</v>
      </c>
      <c r="J34" s="9" t="s">
        <v>379</v>
      </c>
      <c r="K34" s="9" t="s">
        <v>416</v>
      </c>
      <c r="L34" s="9" t="s">
        <v>456</v>
      </c>
      <c r="M34" s="9" t="s">
        <v>454</v>
      </c>
      <c r="N34" s="9" t="s">
        <v>785</v>
      </c>
      <c r="O34" s="9" t="s">
        <v>786</v>
      </c>
      <c r="P34" s="9" t="s">
        <v>232</v>
      </c>
      <c r="Q34" s="9" t="s">
        <v>879</v>
      </c>
      <c r="R34" s="9" t="s">
        <v>194</v>
      </c>
      <c r="S34" s="9" t="s">
        <v>890</v>
      </c>
      <c r="T34" s="9" t="s">
        <v>891</v>
      </c>
      <c r="U34" s="9" t="s">
        <v>892</v>
      </c>
      <c r="V34" s="10" t="s">
        <v>883</v>
      </c>
      <c r="W34" s="10"/>
      <c r="X34" s="10" t="s">
        <v>226</v>
      </c>
      <c r="Y34" s="10"/>
      <c r="Z34" s="10" t="s">
        <v>419</v>
      </c>
      <c r="AA34" s="10" t="s">
        <v>233</v>
      </c>
      <c r="AB34" s="10" t="s">
        <v>647</v>
      </c>
      <c r="AC34" s="10" t="n">
        <v>2</v>
      </c>
      <c r="AD34" s="10" t="s">
        <v>382</v>
      </c>
      <c r="AE34" s="10" t="s">
        <v>380</v>
      </c>
      <c r="AF34" s="10"/>
      <c r="AG34" s="10"/>
      <c r="AH34" s="10" t="s">
        <v>865</v>
      </c>
      <c r="AI34" s="10" t="s">
        <v>227</v>
      </c>
      <c r="AJ34" s="10" t="s">
        <v>227</v>
      </c>
      <c r="AK34" s="10" t="n">
        <v>1.25</v>
      </c>
      <c r="AL34" s="10" t="n">
        <v>5</v>
      </c>
      <c r="AM34" s="10" t="s">
        <v>226</v>
      </c>
      <c r="AN34" s="10"/>
      <c r="AO34" s="10"/>
      <c r="AP34" s="10" t="s">
        <v>893</v>
      </c>
      <c r="AQ34" s="10" t="s">
        <v>885</v>
      </c>
    </row>
    <row r="35" customFormat="false" ht="15" hidden="false" customHeight="true" outlineLevel="0" collapsed="false">
      <c r="A35" s="11" t="s">
        <v>894</v>
      </c>
      <c r="B35" s="11" t="s">
        <v>895</v>
      </c>
      <c r="C35" s="11" t="s">
        <v>641</v>
      </c>
      <c r="D35" s="11" t="s">
        <v>896</v>
      </c>
      <c r="E35" s="11" t="s">
        <v>897</v>
      </c>
      <c r="F35" s="11" t="s">
        <v>186</v>
      </c>
      <c r="G35" s="11" t="s">
        <v>227</v>
      </c>
      <c r="H35" s="11" t="s">
        <v>282</v>
      </c>
      <c r="I35" s="11" t="s">
        <v>365</v>
      </c>
      <c r="J35" s="11" t="s">
        <v>362</v>
      </c>
      <c r="K35" s="11" t="s">
        <v>421</v>
      </c>
      <c r="L35" s="11" t="s">
        <v>456</v>
      </c>
      <c r="M35" s="11" t="s">
        <v>454</v>
      </c>
      <c r="N35" s="11" t="s">
        <v>785</v>
      </c>
      <c r="O35" s="11" t="s">
        <v>786</v>
      </c>
      <c r="P35" s="11" t="s">
        <v>232</v>
      </c>
      <c r="Q35" s="11" t="s">
        <v>898</v>
      </c>
      <c r="R35" s="11" t="s">
        <v>194</v>
      </c>
      <c r="S35" s="11" t="s">
        <v>899</v>
      </c>
      <c r="T35" s="11" t="s">
        <v>900</v>
      </c>
      <c r="U35" s="11" t="s">
        <v>901</v>
      </c>
      <c r="V35" s="12" t="s">
        <v>902</v>
      </c>
      <c r="W35" s="12" t="s">
        <v>903</v>
      </c>
      <c r="X35" s="12" t="s">
        <v>233</v>
      </c>
      <c r="Y35" s="12" t="s">
        <v>401</v>
      </c>
      <c r="Z35" s="12" t="s">
        <v>402</v>
      </c>
      <c r="AA35" s="12" t="s">
        <v>233</v>
      </c>
      <c r="AB35" s="12" t="s">
        <v>904</v>
      </c>
      <c r="AC35" s="12" t="n">
        <v>2</v>
      </c>
      <c r="AD35" s="12" t="s">
        <v>382</v>
      </c>
      <c r="AE35" s="12" t="s">
        <v>380</v>
      </c>
      <c r="AF35" s="12"/>
      <c r="AG35" s="12"/>
      <c r="AH35" s="12" t="s">
        <v>865</v>
      </c>
      <c r="AI35" s="12" t="s">
        <v>227</v>
      </c>
      <c r="AJ35" s="12" t="s">
        <v>227</v>
      </c>
      <c r="AK35" s="12" t="n">
        <v>1.59</v>
      </c>
      <c r="AL35" s="12" t="n">
        <v>20</v>
      </c>
      <c r="AM35" s="12" t="s">
        <v>226</v>
      </c>
      <c r="AN35" s="12"/>
      <c r="AO35" s="12"/>
      <c r="AP35" s="12" t="s">
        <v>905</v>
      </c>
      <c r="AQ35" s="12" t="s">
        <v>906</v>
      </c>
    </row>
    <row r="36" customFormat="false" ht="15" hidden="false" customHeight="true" outlineLevel="0" collapsed="false">
      <c r="A36" s="9" t="s">
        <v>907</v>
      </c>
      <c r="B36" s="9" t="s">
        <v>908</v>
      </c>
      <c r="C36" s="9" t="s">
        <v>641</v>
      </c>
      <c r="D36" s="9" t="s">
        <v>909</v>
      </c>
      <c r="E36" s="9" t="s">
        <v>910</v>
      </c>
      <c r="F36" s="9" t="s">
        <v>186</v>
      </c>
      <c r="G36" s="9" t="s">
        <v>227</v>
      </c>
      <c r="H36" s="9" t="s">
        <v>288</v>
      </c>
      <c r="I36" s="9" t="s">
        <v>367</v>
      </c>
      <c r="J36" s="9" t="s">
        <v>362</v>
      </c>
      <c r="K36" s="9" t="s">
        <v>421</v>
      </c>
      <c r="L36" s="9" t="s">
        <v>456</v>
      </c>
      <c r="M36" s="9" t="s">
        <v>454</v>
      </c>
      <c r="N36" s="9" t="s">
        <v>829</v>
      </c>
      <c r="O36" s="9" t="s">
        <v>830</v>
      </c>
      <c r="P36" s="9" t="s">
        <v>232</v>
      </c>
      <c r="Q36" s="9" t="s">
        <v>898</v>
      </c>
      <c r="R36" s="9" t="s">
        <v>194</v>
      </c>
      <c r="S36" s="9" t="s">
        <v>911</v>
      </c>
      <c r="T36" s="9" t="s">
        <v>912</v>
      </c>
      <c r="U36" s="9"/>
      <c r="V36" s="10" t="s">
        <v>902</v>
      </c>
      <c r="W36" s="10" t="s">
        <v>903</v>
      </c>
      <c r="X36" s="10" t="s">
        <v>233</v>
      </c>
      <c r="Y36" s="10" t="s">
        <v>401</v>
      </c>
      <c r="Z36" s="10" t="s">
        <v>402</v>
      </c>
      <c r="AA36" s="10" t="s">
        <v>233</v>
      </c>
      <c r="AB36" s="10" t="s">
        <v>904</v>
      </c>
      <c r="AC36" s="10" t="n">
        <v>2</v>
      </c>
      <c r="AD36" s="10" t="s">
        <v>382</v>
      </c>
      <c r="AE36" s="10" t="s">
        <v>380</v>
      </c>
      <c r="AF36" s="10"/>
      <c r="AG36" s="10"/>
      <c r="AH36" s="10" t="s">
        <v>865</v>
      </c>
      <c r="AI36" s="10" t="s">
        <v>227</v>
      </c>
      <c r="AJ36" s="10" t="s">
        <v>227</v>
      </c>
      <c r="AK36" s="10" t="n">
        <v>1.54</v>
      </c>
      <c r="AL36" s="10" t="n">
        <v>20</v>
      </c>
      <c r="AM36" s="10" t="s">
        <v>226</v>
      </c>
      <c r="AN36" s="10"/>
      <c r="AO36" s="10"/>
      <c r="AP36" s="10" t="s">
        <v>913</v>
      </c>
      <c r="AQ36" s="10" t="s">
        <v>906</v>
      </c>
    </row>
    <row r="37" customFormat="false" ht="15" hidden="false" customHeight="true" outlineLevel="0" collapsed="false">
      <c r="A37" s="11" t="s">
        <v>914</v>
      </c>
      <c r="B37" s="11" t="s">
        <v>915</v>
      </c>
      <c r="C37" s="11" t="s">
        <v>651</v>
      </c>
      <c r="D37" s="11" t="s">
        <v>916</v>
      </c>
      <c r="E37" s="11" t="s">
        <v>917</v>
      </c>
      <c r="F37" s="11" t="s">
        <v>186</v>
      </c>
      <c r="G37" s="11" t="s">
        <v>227</v>
      </c>
      <c r="H37" s="11" t="s">
        <v>294</v>
      </c>
      <c r="I37" s="11" t="s">
        <v>377</v>
      </c>
      <c r="J37" s="11" t="s">
        <v>379</v>
      </c>
      <c r="K37" s="11" t="s">
        <v>426</v>
      </c>
      <c r="L37" s="11" t="s">
        <v>456</v>
      </c>
      <c r="M37" s="11" t="s">
        <v>454</v>
      </c>
      <c r="N37" s="11" t="s">
        <v>589</v>
      </c>
      <c r="O37" s="11" t="s">
        <v>918</v>
      </c>
      <c r="P37" s="11" t="s">
        <v>232</v>
      </c>
      <c r="Q37" s="11" t="s">
        <v>898</v>
      </c>
      <c r="R37" s="11" t="s">
        <v>194</v>
      </c>
      <c r="S37" s="11" t="s">
        <v>919</v>
      </c>
      <c r="T37" s="11" t="s">
        <v>920</v>
      </c>
      <c r="U37" s="11" t="s">
        <v>921</v>
      </c>
      <c r="V37" s="12" t="s">
        <v>902</v>
      </c>
      <c r="W37" s="12" t="s">
        <v>922</v>
      </c>
      <c r="X37" s="12" t="s">
        <v>226</v>
      </c>
      <c r="Y37" s="12"/>
      <c r="Z37" s="12" t="s">
        <v>419</v>
      </c>
      <c r="AA37" s="12" t="s">
        <v>233</v>
      </c>
      <c r="AB37" s="12" t="s">
        <v>904</v>
      </c>
      <c r="AC37" s="12" t="n">
        <v>2</v>
      </c>
      <c r="AD37" s="12" t="s">
        <v>382</v>
      </c>
      <c r="AE37" s="12" t="s">
        <v>380</v>
      </c>
      <c r="AF37" s="12"/>
      <c r="AG37" s="12"/>
      <c r="AH37" s="12" t="s">
        <v>865</v>
      </c>
      <c r="AI37" s="12" t="s">
        <v>227</v>
      </c>
      <c r="AJ37" s="12" t="s">
        <v>227</v>
      </c>
      <c r="AK37" s="12" t="n">
        <v>1.32</v>
      </c>
      <c r="AL37" s="12" t="n">
        <v>5</v>
      </c>
      <c r="AM37" s="12" t="s">
        <v>226</v>
      </c>
      <c r="AN37" s="12"/>
      <c r="AO37" s="12"/>
      <c r="AP37" s="12" t="s">
        <v>923</v>
      </c>
      <c r="AQ37" s="12" t="s">
        <v>924</v>
      </c>
    </row>
    <row r="38" customFormat="false" ht="15" hidden="false" customHeight="true" outlineLevel="0" collapsed="false">
      <c r="A38" s="9" t="s">
        <v>589</v>
      </c>
      <c r="B38" s="9" t="s">
        <v>918</v>
      </c>
      <c r="C38" s="9" t="s">
        <v>641</v>
      </c>
      <c r="D38" s="9" t="s">
        <v>925</v>
      </c>
      <c r="E38" s="9" t="s">
        <v>926</v>
      </c>
      <c r="F38" s="9" t="s">
        <v>186</v>
      </c>
      <c r="G38" s="9" t="s">
        <v>227</v>
      </c>
      <c r="H38" s="9" t="s">
        <v>294</v>
      </c>
      <c r="I38" s="9" t="s">
        <v>360</v>
      </c>
      <c r="J38" s="9" t="s">
        <v>362</v>
      </c>
      <c r="K38" s="9" t="s">
        <v>399</v>
      </c>
      <c r="L38" s="9" t="s">
        <v>480</v>
      </c>
      <c r="M38" s="9" t="s">
        <v>478</v>
      </c>
      <c r="N38" s="9" t="s">
        <v>752</v>
      </c>
      <c r="O38" s="9" t="s">
        <v>753</v>
      </c>
      <c r="P38" s="9" t="s">
        <v>232</v>
      </c>
      <c r="Q38" s="9"/>
      <c r="R38" s="9" t="s">
        <v>194</v>
      </c>
      <c r="S38" s="9" t="s">
        <v>927</v>
      </c>
      <c r="T38" s="9" t="s">
        <v>928</v>
      </c>
      <c r="U38" s="9"/>
      <c r="V38" s="10" t="s">
        <v>646</v>
      </c>
      <c r="W38" s="10"/>
      <c r="X38" s="10" t="s">
        <v>233</v>
      </c>
      <c r="Y38" s="10" t="s">
        <v>401</v>
      </c>
      <c r="Z38" s="10" t="s">
        <v>402</v>
      </c>
      <c r="AA38" s="10" t="s">
        <v>233</v>
      </c>
      <c r="AB38" s="10" t="s">
        <v>647</v>
      </c>
      <c r="AC38" s="10" t="n">
        <v>2</v>
      </c>
      <c r="AD38" s="10" t="s">
        <v>346</v>
      </c>
      <c r="AE38" s="10" t="s">
        <v>345</v>
      </c>
      <c r="AF38" s="10"/>
      <c r="AG38" s="10" t="n">
        <v>60</v>
      </c>
      <c r="AH38" s="10" t="s">
        <v>685</v>
      </c>
      <c r="AI38" s="10" t="s">
        <v>227</v>
      </c>
      <c r="AJ38" s="10" t="s">
        <v>227</v>
      </c>
      <c r="AK38" s="10" t="n">
        <v>7.19</v>
      </c>
      <c r="AL38" s="10" t="n">
        <v>30</v>
      </c>
      <c r="AM38" s="10" t="s">
        <v>226</v>
      </c>
      <c r="AN38" s="10" t="n">
        <v>4</v>
      </c>
      <c r="AO38" s="10" t="n">
        <v>2</v>
      </c>
      <c r="AP38" s="10" t="s">
        <v>929</v>
      </c>
      <c r="AQ38" s="10"/>
    </row>
    <row r="39" customFormat="false" ht="15" hidden="false" customHeight="true" outlineLevel="0" collapsed="false">
      <c r="A39" s="11" t="s">
        <v>930</v>
      </c>
      <c r="B39" s="11" t="s">
        <v>931</v>
      </c>
      <c r="C39" s="11" t="s">
        <v>651</v>
      </c>
      <c r="D39" s="11" t="s">
        <v>932</v>
      </c>
      <c r="E39" s="11" t="s">
        <v>933</v>
      </c>
      <c r="F39" s="11" t="s">
        <v>186</v>
      </c>
      <c r="G39" s="11" t="s">
        <v>227</v>
      </c>
      <c r="H39" s="11" t="s">
        <v>294</v>
      </c>
      <c r="I39" s="11" t="s">
        <v>377</v>
      </c>
      <c r="J39" s="11" t="s">
        <v>379</v>
      </c>
      <c r="K39" s="11" t="s">
        <v>426</v>
      </c>
      <c r="L39" s="11" t="s">
        <v>456</v>
      </c>
      <c r="M39" s="11" t="s">
        <v>454</v>
      </c>
      <c r="N39" s="11" t="s">
        <v>589</v>
      </c>
      <c r="O39" s="11" t="s">
        <v>918</v>
      </c>
      <c r="P39" s="11" t="s">
        <v>232</v>
      </c>
      <c r="Q39" s="11" t="s">
        <v>898</v>
      </c>
      <c r="R39" s="11" t="s">
        <v>194</v>
      </c>
      <c r="S39" s="11" t="s">
        <v>934</v>
      </c>
      <c r="T39" s="11" t="s">
        <v>935</v>
      </c>
      <c r="U39" s="11" t="s">
        <v>936</v>
      </c>
      <c r="V39" s="12" t="s">
        <v>902</v>
      </c>
      <c r="W39" s="12" t="s">
        <v>922</v>
      </c>
      <c r="X39" s="12" t="s">
        <v>226</v>
      </c>
      <c r="Y39" s="12"/>
      <c r="Z39" s="12" t="s">
        <v>419</v>
      </c>
      <c r="AA39" s="12" t="s">
        <v>233</v>
      </c>
      <c r="AB39" s="12" t="s">
        <v>904</v>
      </c>
      <c r="AC39" s="12" t="n">
        <v>2</v>
      </c>
      <c r="AD39" s="12" t="s">
        <v>382</v>
      </c>
      <c r="AE39" s="12" t="s">
        <v>380</v>
      </c>
      <c r="AF39" s="12"/>
      <c r="AG39" s="12"/>
      <c r="AH39" s="12" t="s">
        <v>865</v>
      </c>
      <c r="AI39" s="12" t="s">
        <v>227</v>
      </c>
      <c r="AJ39" s="12" t="s">
        <v>227</v>
      </c>
      <c r="AK39" s="12" t="n">
        <v>0.67</v>
      </c>
      <c r="AL39" s="12" t="n">
        <v>5</v>
      </c>
      <c r="AM39" s="12" t="s">
        <v>226</v>
      </c>
      <c r="AN39" s="12"/>
      <c r="AO39" s="12"/>
      <c r="AP39" s="12" t="s">
        <v>937</v>
      </c>
      <c r="AQ39" s="12" t="s">
        <v>924</v>
      </c>
    </row>
    <row r="40" customFormat="false" ht="15" hidden="false" customHeight="true" outlineLevel="0" collapsed="false">
      <c r="A40" s="9" t="s">
        <v>938</v>
      </c>
      <c r="B40" s="9" t="s">
        <v>939</v>
      </c>
      <c r="C40" s="9" t="s">
        <v>641</v>
      </c>
      <c r="D40" s="9" t="s">
        <v>940</v>
      </c>
      <c r="E40" s="9" t="s">
        <v>941</v>
      </c>
      <c r="F40" s="9" t="s">
        <v>186</v>
      </c>
      <c r="G40" s="9" t="s">
        <v>234</v>
      </c>
      <c r="H40" s="9" t="s">
        <v>275</v>
      </c>
      <c r="I40" s="9" t="s">
        <v>337</v>
      </c>
      <c r="J40" s="9" t="s">
        <v>339</v>
      </c>
      <c r="K40" s="9" t="s">
        <v>399</v>
      </c>
      <c r="L40" s="9" t="s">
        <v>480</v>
      </c>
      <c r="M40" s="9" t="s">
        <v>478</v>
      </c>
      <c r="N40" s="9" t="s">
        <v>555</v>
      </c>
      <c r="O40" s="9" t="s">
        <v>650</v>
      </c>
      <c r="P40" s="9" t="s">
        <v>243</v>
      </c>
      <c r="Q40" s="9"/>
      <c r="R40" s="9" t="s">
        <v>194</v>
      </c>
      <c r="S40" s="9" t="s">
        <v>942</v>
      </c>
      <c r="T40" s="9" t="s">
        <v>943</v>
      </c>
      <c r="U40" s="9"/>
      <c r="V40" s="10" t="s">
        <v>646</v>
      </c>
      <c r="W40" s="10"/>
      <c r="X40" s="10" t="s">
        <v>233</v>
      </c>
      <c r="Y40" s="10" t="s">
        <v>401</v>
      </c>
      <c r="Z40" s="10" t="s">
        <v>402</v>
      </c>
      <c r="AA40" s="10" t="s">
        <v>233</v>
      </c>
      <c r="AB40" s="10" t="s">
        <v>647</v>
      </c>
      <c r="AC40" s="10" t="n">
        <v>2</v>
      </c>
      <c r="AD40" s="10" t="s">
        <v>333</v>
      </c>
      <c r="AE40" s="10" t="s">
        <v>331</v>
      </c>
      <c r="AF40" s="10"/>
      <c r="AG40" s="10" t="n">
        <v>60</v>
      </c>
      <c r="AH40" s="10" t="s">
        <v>648</v>
      </c>
      <c r="AI40" s="10" t="s">
        <v>234</v>
      </c>
      <c r="AJ40" s="10" t="s">
        <v>234</v>
      </c>
      <c r="AK40" s="10" t="n">
        <v>11.29</v>
      </c>
      <c r="AL40" s="10" t="n">
        <v>80</v>
      </c>
      <c r="AM40" s="10" t="s">
        <v>233</v>
      </c>
      <c r="AN40" s="10" t="n">
        <v>4</v>
      </c>
      <c r="AO40" s="10" t="n">
        <v>2</v>
      </c>
      <c r="AP40" s="10" t="s">
        <v>944</v>
      </c>
      <c r="AQ40" s="10"/>
    </row>
    <row r="41" customFormat="false" ht="15" hidden="false" customHeight="true" outlineLevel="0" collapsed="false">
      <c r="A41" s="11" t="s">
        <v>945</v>
      </c>
      <c r="B41" s="11" t="s">
        <v>946</v>
      </c>
      <c r="C41" s="11" t="s">
        <v>651</v>
      </c>
      <c r="D41" s="11" t="s">
        <v>947</v>
      </c>
      <c r="E41" s="11" t="s">
        <v>948</v>
      </c>
      <c r="F41" s="11" t="s">
        <v>186</v>
      </c>
      <c r="G41" s="11" t="s">
        <v>234</v>
      </c>
      <c r="H41" s="11" t="s">
        <v>282</v>
      </c>
      <c r="I41" s="11" t="s">
        <v>348</v>
      </c>
      <c r="J41" s="11" t="s">
        <v>344</v>
      </c>
      <c r="K41" s="11" t="s">
        <v>399</v>
      </c>
      <c r="L41" s="11" t="s">
        <v>480</v>
      </c>
      <c r="M41" s="11" t="s">
        <v>478</v>
      </c>
      <c r="N41" s="11" t="s">
        <v>938</v>
      </c>
      <c r="O41" s="11" t="s">
        <v>939</v>
      </c>
      <c r="P41" s="11" t="s">
        <v>243</v>
      </c>
      <c r="Q41" s="11"/>
      <c r="R41" s="11" t="s">
        <v>194</v>
      </c>
      <c r="S41" s="11" t="s">
        <v>949</v>
      </c>
      <c r="T41" s="11" t="s">
        <v>950</v>
      </c>
      <c r="U41" s="11" t="s">
        <v>951</v>
      </c>
      <c r="V41" s="12" t="s">
        <v>646</v>
      </c>
      <c r="W41" s="12"/>
      <c r="X41" s="12" t="s">
        <v>233</v>
      </c>
      <c r="Y41" s="12" t="s">
        <v>401</v>
      </c>
      <c r="Z41" s="12" t="s">
        <v>402</v>
      </c>
      <c r="AA41" s="12" t="s">
        <v>233</v>
      </c>
      <c r="AB41" s="12" t="s">
        <v>647</v>
      </c>
      <c r="AC41" s="12" t="n">
        <v>2</v>
      </c>
      <c r="AD41" s="12" t="s">
        <v>346</v>
      </c>
      <c r="AE41" s="12" t="s">
        <v>345</v>
      </c>
      <c r="AF41" s="12"/>
      <c r="AG41" s="12" t="n">
        <v>60</v>
      </c>
      <c r="AH41" s="12" t="s">
        <v>685</v>
      </c>
      <c r="AI41" s="12" t="s">
        <v>234</v>
      </c>
      <c r="AJ41" s="12" t="s">
        <v>234</v>
      </c>
      <c r="AK41" s="12" t="n">
        <v>7.82</v>
      </c>
      <c r="AL41" s="12" t="n">
        <v>55</v>
      </c>
      <c r="AM41" s="12" t="s">
        <v>233</v>
      </c>
      <c r="AN41" s="12" t="n">
        <v>4</v>
      </c>
      <c r="AO41" s="12" t="n">
        <v>2</v>
      </c>
      <c r="AP41" s="12" t="s">
        <v>952</v>
      </c>
      <c r="AQ41" s="12"/>
    </row>
    <row r="42" customFormat="false" ht="15" hidden="false" customHeight="true" outlineLevel="0" collapsed="false">
      <c r="A42" s="9" t="s">
        <v>953</v>
      </c>
      <c r="B42" s="9" t="s">
        <v>954</v>
      </c>
      <c r="C42" s="9" t="s">
        <v>641</v>
      </c>
      <c r="D42" s="9" t="s">
        <v>955</v>
      </c>
      <c r="E42" s="9" t="s">
        <v>956</v>
      </c>
      <c r="F42" s="9" t="s">
        <v>186</v>
      </c>
      <c r="G42" s="9" t="s">
        <v>234</v>
      </c>
      <c r="H42" s="9" t="s">
        <v>278</v>
      </c>
      <c r="I42" s="9" t="s">
        <v>352</v>
      </c>
      <c r="J42" s="9" t="s">
        <v>354</v>
      </c>
      <c r="K42" s="9" t="s">
        <v>399</v>
      </c>
      <c r="L42" s="9" t="s">
        <v>468</v>
      </c>
      <c r="M42" s="9" t="s">
        <v>466</v>
      </c>
      <c r="N42" s="9" t="s">
        <v>945</v>
      </c>
      <c r="O42" s="9" t="s">
        <v>946</v>
      </c>
      <c r="P42" s="9" t="s">
        <v>243</v>
      </c>
      <c r="Q42" s="9"/>
      <c r="R42" s="9" t="s">
        <v>194</v>
      </c>
      <c r="S42" s="9" t="s">
        <v>957</v>
      </c>
      <c r="T42" s="9" t="s">
        <v>958</v>
      </c>
      <c r="U42" s="9" t="s">
        <v>959</v>
      </c>
      <c r="V42" s="10" t="s">
        <v>646</v>
      </c>
      <c r="W42" s="10"/>
      <c r="X42" s="10" t="s">
        <v>233</v>
      </c>
      <c r="Y42" s="10" t="s">
        <v>401</v>
      </c>
      <c r="Z42" s="10" t="s">
        <v>402</v>
      </c>
      <c r="AA42" s="10" t="s">
        <v>233</v>
      </c>
      <c r="AB42" s="10" t="s">
        <v>647</v>
      </c>
      <c r="AC42" s="10" t="n">
        <v>2</v>
      </c>
      <c r="AD42" s="10" t="s">
        <v>346</v>
      </c>
      <c r="AE42" s="10" t="s">
        <v>345</v>
      </c>
      <c r="AF42" s="10"/>
      <c r="AG42" s="10" t="n">
        <v>60</v>
      </c>
      <c r="AH42" s="10" t="s">
        <v>685</v>
      </c>
      <c r="AI42" s="10" t="s">
        <v>234</v>
      </c>
      <c r="AJ42" s="10" t="s">
        <v>234</v>
      </c>
      <c r="AK42" s="10" t="n">
        <v>6.65</v>
      </c>
      <c r="AL42" s="10" t="n">
        <v>40</v>
      </c>
      <c r="AM42" s="10" t="s">
        <v>226</v>
      </c>
      <c r="AN42" s="10" t="n">
        <v>4</v>
      </c>
      <c r="AO42" s="10" t="n">
        <v>2</v>
      </c>
      <c r="AP42" s="10" t="s">
        <v>960</v>
      </c>
      <c r="AQ42" s="10"/>
    </row>
    <row r="43" customFormat="false" ht="15" hidden="false" customHeight="true" outlineLevel="0" collapsed="false">
      <c r="A43" s="11" t="s">
        <v>961</v>
      </c>
      <c r="B43" s="11" t="s">
        <v>962</v>
      </c>
      <c r="C43" s="11" t="s">
        <v>641</v>
      </c>
      <c r="D43" s="11" t="s">
        <v>963</v>
      </c>
      <c r="E43" s="11" t="s">
        <v>964</v>
      </c>
      <c r="F43" s="11" t="s">
        <v>186</v>
      </c>
      <c r="G43" s="11" t="s">
        <v>234</v>
      </c>
      <c r="H43" s="11" t="s">
        <v>288</v>
      </c>
      <c r="I43" s="11" t="s">
        <v>356</v>
      </c>
      <c r="J43" s="11" t="s">
        <v>354</v>
      </c>
      <c r="K43" s="11" t="s">
        <v>399</v>
      </c>
      <c r="L43" s="11" t="s">
        <v>468</v>
      </c>
      <c r="M43" s="11" t="s">
        <v>466</v>
      </c>
      <c r="N43" s="11" t="s">
        <v>945</v>
      </c>
      <c r="O43" s="11" t="s">
        <v>946</v>
      </c>
      <c r="P43" s="11" t="s">
        <v>243</v>
      </c>
      <c r="Q43" s="11"/>
      <c r="R43" s="11" t="s">
        <v>965</v>
      </c>
      <c r="S43" s="11" t="s">
        <v>966</v>
      </c>
      <c r="T43" s="11" t="s">
        <v>967</v>
      </c>
      <c r="U43" s="11" t="s">
        <v>968</v>
      </c>
      <c r="V43" s="12" t="s">
        <v>646</v>
      </c>
      <c r="W43" s="12"/>
      <c r="X43" s="12" t="s">
        <v>233</v>
      </c>
      <c r="Y43" s="12" t="s">
        <v>401</v>
      </c>
      <c r="Z43" s="12" t="s">
        <v>402</v>
      </c>
      <c r="AA43" s="12" t="s">
        <v>233</v>
      </c>
      <c r="AB43" s="12" t="s">
        <v>647</v>
      </c>
      <c r="AC43" s="12" t="n">
        <v>2</v>
      </c>
      <c r="AD43" s="12" t="s">
        <v>346</v>
      </c>
      <c r="AE43" s="12" t="s">
        <v>345</v>
      </c>
      <c r="AF43" s="12"/>
      <c r="AG43" s="12" t="n">
        <v>60</v>
      </c>
      <c r="AH43" s="12" t="s">
        <v>685</v>
      </c>
      <c r="AI43" s="12" t="s">
        <v>234</v>
      </c>
      <c r="AJ43" s="12" t="s">
        <v>234</v>
      </c>
      <c r="AK43" s="12" t="n">
        <v>4.03</v>
      </c>
      <c r="AL43" s="12" t="n">
        <v>35</v>
      </c>
      <c r="AM43" s="12" t="s">
        <v>226</v>
      </c>
      <c r="AN43" s="12" t="n">
        <v>4</v>
      </c>
      <c r="AO43" s="12" t="n">
        <v>2</v>
      </c>
      <c r="AP43" s="12" t="s">
        <v>969</v>
      </c>
      <c r="AQ43" s="12"/>
    </row>
    <row r="44" customFormat="false" ht="15" hidden="false" customHeight="true" outlineLevel="0" collapsed="false">
      <c r="A44" s="9" t="s">
        <v>970</v>
      </c>
      <c r="B44" s="9" t="s">
        <v>971</v>
      </c>
      <c r="C44" s="9" t="s">
        <v>651</v>
      </c>
      <c r="D44" s="9" t="s">
        <v>972</v>
      </c>
      <c r="E44" s="9" t="s">
        <v>973</v>
      </c>
      <c r="F44" s="9" t="s">
        <v>186</v>
      </c>
      <c r="G44" s="9" t="s">
        <v>234</v>
      </c>
      <c r="H44" s="9" t="s">
        <v>309</v>
      </c>
      <c r="I44" s="9" t="s">
        <v>360</v>
      </c>
      <c r="J44" s="9" t="s">
        <v>362</v>
      </c>
      <c r="K44" s="9" t="s">
        <v>399</v>
      </c>
      <c r="L44" s="9" t="s">
        <v>480</v>
      </c>
      <c r="M44" s="9" t="s">
        <v>478</v>
      </c>
      <c r="N44" s="9" t="s">
        <v>938</v>
      </c>
      <c r="O44" s="9" t="s">
        <v>939</v>
      </c>
      <c r="P44" s="9" t="s">
        <v>243</v>
      </c>
      <c r="Q44" s="9"/>
      <c r="R44" s="9" t="s">
        <v>194</v>
      </c>
      <c r="S44" s="9" t="s">
        <v>974</v>
      </c>
      <c r="T44" s="9" t="s">
        <v>975</v>
      </c>
      <c r="U44" s="9" t="s">
        <v>976</v>
      </c>
      <c r="V44" s="10" t="s">
        <v>646</v>
      </c>
      <c r="W44" s="10"/>
      <c r="X44" s="10" t="s">
        <v>233</v>
      </c>
      <c r="Y44" s="10" t="s">
        <v>401</v>
      </c>
      <c r="Z44" s="10" t="s">
        <v>402</v>
      </c>
      <c r="AA44" s="10" t="s">
        <v>233</v>
      </c>
      <c r="AB44" s="10" t="s">
        <v>647</v>
      </c>
      <c r="AC44" s="10" t="n">
        <v>2</v>
      </c>
      <c r="AD44" s="10" t="s">
        <v>346</v>
      </c>
      <c r="AE44" s="10" t="s">
        <v>345</v>
      </c>
      <c r="AF44" s="10"/>
      <c r="AG44" s="10" t="n">
        <v>60</v>
      </c>
      <c r="AH44" s="10" t="s">
        <v>685</v>
      </c>
      <c r="AI44" s="10" t="s">
        <v>234</v>
      </c>
      <c r="AJ44" s="10" t="s">
        <v>234</v>
      </c>
      <c r="AK44" s="10" t="n">
        <v>4.87</v>
      </c>
      <c r="AL44" s="10" t="n">
        <v>30</v>
      </c>
      <c r="AM44" s="10" t="s">
        <v>226</v>
      </c>
      <c r="AN44" s="10" t="n">
        <v>4</v>
      </c>
      <c r="AO44" s="10" t="n">
        <v>2</v>
      </c>
      <c r="AP44" s="10" t="s">
        <v>977</v>
      </c>
      <c r="AQ44" s="10"/>
    </row>
    <row r="45" customFormat="false" ht="15" hidden="false" customHeight="true" outlineLevel="0" collapsed="false">
      <c r="A45" s="11" t="s">
        <v>978</v>
      </c>
      <c r="B45" s="11" t="s">
        <v>979</v>
      </c>
      <c r="C45" s="11" t="s">
        <v>641</v>
      </c>
      <c r="D45" s="11" t="s">
        <v>980</v>
      </c>
      <c r="E45" s="11" t="s">
        <v>981</v>
      </c>
      <c r="F45" s="11" t="s">
        <v>186</v>
      </c>
      <c r="G45" s="11" t="s">
        <v>234</v>
      </c>
      <c r="H45" s="11" t="s">
        <v>282</v>
      </c>
      <c r="I45" s="11" t="s">
        <v>363</v>
      </c>
      <c r="J45" s="11" t="s">
        <v>362</v>
      </c>
      <c r="K45" s="11" t="s">
        <v>399</v>
      </c>
      <c r="L45" s="11" t="s">
        <v>468</v>
      </c>
      <c r="M45" s="11" t="s">
        <v>466</v>
      </c>
      <c r="N45" s="11" t="s">
        <v>945</v>
      </c>
      <c r="O45" s="11" t="s">
        <v>946</v>
      </c>
      <c r="P45" s="11" t="s">
        <v>243</v>
      </c>
      <c r="Q45" s="11"/>
      <c r="R45" s="11" t="s">
        <v>194</v>
      </c>
      <c r="S45" s="11" t="s">
        <v>982</v>
      </c>
      <c r="T45" s="11" t="s">
        <v>983</v>
      </c>
      <c r="U45" s="11" t="s">
        <v>984</v>
      </c>
      <c r="V45" s="12" t="s">
        <v>646</v>
      </c>
      <c r="W45" s="12"/>
      <c r="X45" s="12" t="s">
        <v>233</v>
      </c>
      <c r="Y45" s="12" t="s">
        <v>401</v>
      </c>
      <c r="Z45" s="12" t="s">
        <v>402</v>
      </c>
      <c r="AA45" s="12" t="s">
        <v>233</v>
      </c>
      <c r="AB45" s="12" t="s">
        <v>647</v>
      </c>
      <c r="AC45" s="12" t="n">
        <v>2</v>
      </c>
      <c r="AD45" s="12" t="s">
        <v>346</v>
      </c>
      <c r="AE45" s="12" t="s">
        <v>345</v>
      </c>
      <c r="AF45" s="12"/>
      <c r="AG45" s="12" t="n">
        <v>60</v>
      </c>
      <c r="AH45" s="12" t="s">
        <v>685</v>
      </c>
      <c r="AI45" s="12" t="s">
        <v>234</v>
      </c>
      <c r="AJ45" s="12" t="s">
        <v>234</v>
      </c>
      <c r="AK45" s="12" t="n">
        <v>7.52</v>
      </c>
      <c r="AL45" s="12" t="n">
        <v>25</v>
      </c>
      <c r="AM45" s="12" t="s">
        <v>226</v>
      </c>
      <c r="AN45" s="12" t="n">
        <v>4</v>
      </c>
      <c r="AO45" s="12" t="n">
        <v>2</v>
      </c>
      <c r="AP45" s="12" t="s">
        <v>985</v>
      </c>
      <c r="AQ45" s="12"/>
    </row>
    <row r="46" customFormat="false" ht="15" hidden="false" customHeight="true" outlineLevel="0" collapsed="false">
      <c r="A46" s="9" t="s">
        <v>986</v>
      </c>
      <c r="B46" s="9" t="s">
        <v>987</v>
      </c>
      <c r="C46" s="9" t="s">
        <v>651</v>
      </c>
      <c r="D46" s="9" t="s">
        <v>988</v>
      </c>
      <c r="E46" s="9" t="s">
        <v>989</v>
      </c>
      <c r="F46" s="9" t="s">
        <v>186</v>
      </c>
      <c r="G46" s="9" t="s">
        <v>234</v>
      </c>
      <c r="H46" s="9" t="s">
        <v>285</v>
      </c>
      <c r="I46" s="9" t="s">
        <v>365</v>
      </c>
      <c r="J46" s="9" t="s">
        <v>362</v>
      </c>
      <c r="K46" s="9" t="s">
        <v>399</v>
      </c>
      <c r="L46" s="9" t="s">
        <v>468</v>
      </c>
      <c r="M46" s="9" t="s">
        <v>473</v>
      </c>
      <c r="N46" s="9" t="s">
        <v>945</v>
      </c>
      <c r="O46" s="9" t="s">
        <v>946</v>
      </c>
      <c r="P46" s="9" t="s">
        <v>243</v>
      </c>
      <c r="Q46" s="9"/>
      <c r="R46" s="9" t="s">
        <v>194</v>
      </c>
      <c r="S46" s="9" t="s">
        <v>990</v>
      </c>
      <c r="T46" s="9" t="s">
        <v>991</v>
      </c>
      <c r="U46" s="9"/>
      <c r="V46" s="10" t="s">
        <v>646</v>
      </c>
      <c r="W46" s="10"/>
      <c r="X46" s="10" t="s">
        <v>233</v>
      </c>
      <c r="Y46" s="10" t="s">
        <v>401</v>
      </c>
      <c r="Z46" s="10" t="s">
        <v>402</v>
      </c>
      <c r="AA46" s="10" t="s">
        <v>233</v>
      </c>
      <c r="AB46" s="10" t="s">
        <v>647</v>
      </c>
      <c r="AC46" s="10" t="n">
        <v>2</v>
      </c>
      <c r="AD46" s="10" t="s">
        <v>346</v>
      </c>
      <c r="AE46" s="10" t="s">
        <v>345</v>
      </c>
      <c r="AF46" s="10"/>
      <c r="AG46" s="10" t="n">
        <v>60</v>
      </c>
      <c r="AH46" s="10" t="s">
        <v>685</v>
      </c>
      <c r="AI46" s="10" t="s">
        <v>234</v>
      </c>
      <c r="AJ46" s="10" t="s">
        <v>234</v>
      </c>
      <c r="AK46" s="10" t="n">
        <v>3.36</v>
      </c>
      <c r="AL46" s="10" t="n">
        <v>20</v>
      </c>
      <c r="AM46" s="10" t="s">
        <v>226</v>
      </c>
      <c r="AN46" s="10" t="n">
        <v>4</v>
      </c>
      <c r="AO46" s="10" t="n">
        <v>2</v>
      </c>
      <c r="AP46" s="10" t="s">
        <v>992</v>
      </c>
      <c r="AQ46" s="10"/>
    </row>
    <row r="47" customFormat="false" ht="15" hidden="false" customHeight="true" outlineLevel="0" collapsed="false">
      <c r="A47" s="11" t="s">
        <v>993</v>
      </c>
      <c r="B47" s="11" t="s">
        <v>994</v>
      </c>
      <c r="C47" s="11" t="s">
        <v>641</v>
      </c>
      <c r="D47" s="11" t="s">
        <v>995</v>
      </c>
      <c r="E47" s="11" t="s">
        <v>996</v>
      </c>
      <c r="F47" s="11" t="s">
        <v>186</v>
      </c>
      <c r="G47" s="11" t="s">
        <v>234</v>
      </c>
      <c r="H47" s="11" t="s">
        <v>278</v>
      </c>
      <c r="I47" s="11" t="s">
        <v>383</v>
      </c>
      <c r="J47" s="11" t="s">
        <v>379</v>
      </c>
      <c r="K47" s="11" t="s">
        <v>416</v>
      </c>
      <c r="L47" s="11" t="s">
        <v>468</v>
      </c>
      <c r="M47" s="11" t="s">
        <v>466</v>
      </c>
      <c r="N47" s="11" t="s">
        <v>945</v>
      </c>
      <c r="O47" s="11" t="s">
        <v>946</v>
      </c>
      <c r="P47" s="11" t="s">
        <v>243</v>
      </c>
      <c r="Q47" s="11" t="s">
        <v>997</v>
      </c>
      <c r="R47" s="11" t="s">
        <v>194</v>
      </c>
      <c r="S47" s="11" t="s">
        <v>998</v>
      </c>
      <c r="T47" s="11" t="s">
        <v>999</v>
      </c>
      <c r="U47" s="11" t="s">
        <v>1000</v>
      </c>
      <c r="V47" s="12" t="s">
        <v>883</v>
      </c>
      <c r="W47" s="12"/>
      <c r="X47" s="12" t="s">
        <v>226</v>
      </c>
      <c r="Y47" s="12"/>
      <c r="Z47" s="12" t="s">
        <v>419</v>
      </c>
      <c r="AA47" s="12" t="s">
        <v>233</v>
      </c>
      <c r="AB47" s="12" t="s">
        <v>647</v>
      </c>
      <c r="AC47" s="12" t="n">
        <v>2</v>
      </c>
      <c r="AD47" s="12" t="s">
        <v>382</v>
      </c>
      <c r="AE47" s="12" t="s">
        <v>380</v>
      </c>
      <c r="AF47" s="12"/>
      <c r="AG47" s="12"/>
      <c r="AH47" s="12" t="s">
        <v>865</v>
      </c>
      <c r="AI47" s="12" t="s">
        <v>234</v>
      </c>
      <c r="AJ47" s="12" t="s">
        <v>234</v>
      </c>
      <c r="AK47" s="12" t="n">
        <v>0.62</v>
      </c>
      <c r="AL47" s="12" t="n">
        <v>5</v>
      </c>
      <c r="AM47" s="12" t="s">
        <v>226</v>
      </c>
      <c r="AN47" s="12"/>
      <c r="AO47" s="12"/>
      <c r="AP47" s="12" t="s">
        <v>1001</v>
      </c>
      <c r="AQ47" s="12" t="s">
        <v>885</v>
      </c>
    </row>
    <row r="48" customFormat="false" ht="15" hidden="false" customHeight="true" outlineLevel="0" collapsed="false">
      <c r="A48" s="9" t="s">
        <v>1002</v>
      </c>
      <c r="B48" s="9" t="s">
        <v>1003</v>
      </c>
      <c r="C48" s="9" t="s">
        <v>641</v>
      </c>
      <c r="D48" s="9" t="s">
        <v>1004</v>
      </c>
      <c r="E48" s="9" t="s">
        <v>1005</v>
      </c>
      <c r="F48" s="9" t="s">
        <v>195</v>
      </c>
      <c r="G48" s="9" t="s">
        <v>244</v>
      </c>
      <c r="H48" s="9" t="s">
        <v>275</v>
      </c>
      <c r="I48" s="9" t="s">
        <v>337</v>
      </c>
      <c r="J48" s="9" t="s">
        <v>339</v>
      </c>
      <c r="K48" s="9" t="s">
        <v>399</v>
      </c>
      <c r="L48" s="9" t="s">
        <v>480</v>
      </c>
      <c r="M48" s="9" t="s">
        <v>478</v>
      </c>
      <c r="N48" s="9" t="s">
        <v>555</v>
      </c>
      <c r="O48" s="9" t="s">
        <v>650</v>
      </c>
      <c r="P48" s="9" t="s">
        <v>253</v>
      </c>
      <c r="Q48" s="9"/>
      <c r="R48" s="9" t="s">
        <v>194</v>
      </c>
      <c r="S48" s="9" t="s">
        <v>1006</v>
      </c>
      <c r="T48" s="9" t="s">
        <v>1007</v>
      </c>
      <c r="U48" s="9"/>
      <c r="V48" s="10" t="s">
        <v>646</v>
      </c>
      <c r="W48" s="10"/>
      <c r="X48" s="10" t="s">
        <v>233</v>
      </c>
      <c r="Y48" s="10" t="s">
        <v>401</v>
      </c>
      <c r="Z48" s="10" t="s">
        <v>402</v>
      </c>
      <c r="AA48" s="10" t="s">
        <v>233</v>
      </c>
      <c r="AB48" s="10" t="s">
        <v>647</v>
      </c>
      <c r="AC48" s="10" t="n">
        <v>2</v>
      </c>
      <c r="AD48" s="10" t="s">
        <v>333</v>
      </c>
      <c r="AE48" s="10" t="s">
        <v>331</v>
      </c>
      <c r="AF48" s="10"/>
      <c r="AG48" s="10" t="n">
        <v>60</v>
      </c>
      <c r="AH48" s="10" t="s">
        <v>648</v>
      </c>
      <c r="AI48" s="10" t="s">
        <v>244</v>
      </c>
      <c r="AJ48" s="10" t="s">
        <v>244</v>
      </c>
      <c r="AK48" s="10" t="n">
        <v>10.08</v>
      </c>
      <c r="AL48" s="10" t="n">
        <v>80</v>
      </c>
      <c r="AM48" s="10" t="s">
        <v>233</v>
      </c>
      <c r="AN48" s="10" t="n">
        <v>4</v>
      </c>
      <c r="AO48" s="10" t="n">
        <v>2</v>
      </c>
      <c r="AP48" s="10" t="s">
        <v>1008</v>
      </c>
      <c r="AQ48" s="10"/>
    </row>
    <row r="49" customFormat="false" ht="15" hidden="false" customHeight="true" outlineLevel="0" collapsed="false">
      <c r="A49" s="11" t="s">
        <v>1009</v>
      </c>
      <c r="B49" s="11" t="s">
        <v>1010</v>
      </c>
      <c r="C49" s="11" t="s">
        <v>651</v>
      </c>
      <c r="D49" s="11" t="s">
        <v>1011</v>
      </c>
      <c r="E49" s="11" t="s">
        <v>1012</v>
      </c>
      <c r="F49" s="11" t="s">
        <v>195</v>
      </c>
      <c r="G49" s="11" t="s">
        <v>244</v>
      </c>
      <c r="H49" s="11" t="s">
        <v>285</v>
      </c>
      <c r="I49" s="11" t="s">
        <v>348</v>
      </c>
      <c r="J49" s="11" t="s">
        <v>344</v>
      </c>
      <c r="K49" s="11" t="s">
        <v>399</v>
      </c>
      <c r="L49" s="11" t="s">
        <v>480</v>
      </c>
      <c r="M49" s="11" t="s">
        <v>478</v>
      </c>
      <c r="N49" s="11" t="s">
        <v>1002</v>
      </c>
      <c r="O49" s="11" t="s">
        <v>1003</v>
      </c>
      <c r="P49" s="11" t="s">
        <v>253</v>
      </c>
      <c r="Q49" s="11"/>
      <c r="R49" s="11" t="s">
        <v>194</v>
      </c>
      <c r="S49" s="11" t="s">
        <v>1013</v>
      </c>
      <c r="T49" s="11" t="s">
        <v>1014</v>
      </c>
      <c r="U49" s="11"/>
      <c r="V49" s="12" t="s">
        <v>646</v>
      </c>
      <c r="W49" s="12"/>
      <c r="X49" s="12" t="s">
        <v>233</v>
      </c>
      <c r="Y49" s="12" t="s">
        <v>401</v>
      </c>
      <c r="Z49" s="12" t="s">
        <v>402</v>
      </c>
      <c r="AA49" s="12" t="s">
        <v>233</v>
      </c>
      <c r="AB49" s="12" t="s">
        <v>647</v>
      </c>
      <c r="AC49" s="12" t="n">
        <v>2</v>
      </c>
      <c r="AD49" s="12" t="s">
        <v>346</v>
      </c>
      <c r="AE49" s="12" t="s">
        <v>345</v>
      </c>
      <c r="AF49" s="12"/>
      <c r="AG49" s="12" t="n">
        <v>60</v>
      </c>
      <c r="AH49" s="12" t="s">
        <v>685</v>
      </c>
      <c r="AI49" s="12" t="s">
        <v>244</v>
      </c>
      <c r="AJ49" s="12" t="s">
        <v>244</v>
      </c>
      <c r="AK49" s="12" t="n">
        <v>6.98</v>
      </c>
      <c r="AL49" s="12" t="n">
        <v>55</v>
      </c>
      <c r="AM49" s="12" t="s">
        <v>233</v>
      </c>
      <c r="AN49" s="12" t="n">
        <v>4</v>
      </c>
      <c r="AO49" s="12" t="n">
        <v>2</v>
      </c>
      <c r="AP49" s="12" t="s">
        <v>1015</v>
      </c>
      <c r="AQ49" s="12"/>
    </row>
    <row r="50" customFormat="false" ht="15" hidden="false" customHeight="true" outlineLevel="0" collapsed="false">
      <c r="A50" s="9" t="s">
        <v>1016</v>
      </c>
      <c r="B50" s="9" t="s">
        <v>1017</v>
      </c>
      <c r="C50" s="9" t="s">
        <v>641</v>
      </c>
      <c r="D50" s="9" t="s">
        <v>1018</v>
      </c>
      <c r="E50" s="9" t="s">
        <v>1019</v>
      </c>
      <c r="F50" s="9" t="s">
        <v>195</v>
      </c>
      <c r="G50" s="9" t="s">
        <v>244</v>
      </c>
      <c r="H50" s="9" t="s">
        <v>300</v>
      </c>
      <c r="I50" s="9" t="s">
        <v>352</v>
      </c>
      <c r="J50" s="9" t="s">
        <v>354</v>
      </c>
      <c r="K50" s="9" t="s">
        <v>399</v>
      </c>
      <c r="L50" s="9" t="s">
        <v>480</v>
      </c>
      <c r="M50" s="9" t="s">
        <v>478</v>
      </c>
      <c r="N50" s="9" t="s">
        <v>1002</v>
      </c>
      <c r="O50" s="9" t="s">
        <v>1003</v>
      </c>
      <c r="P50" s="9" t="s">
        <v>253</v>
      </c>
      <c r="Q50" s="9"/>
      <c r="R50" s="9" t="s">
        <v>194</v>
      </c>
      <c r="S50" s="9" t="s">
        <v>1020</v>
      </c>
      <c r="T50" s="9" t="s">
        <v>1021</v>
      </c>
      <c r="U50" s="9"/>
      <c r="V50" s="10" t="s">
        <v>646</v>
      </c>
      <c r="W50" s="10"/>
      <c r="X50" s="10" t="s">
        <v>233</v>
      </c>
      <c r="Y50" s="10" t="s">
        <v>401</v>
      </c>
      <c r="Z50" s="10" t="s">
        <v>402</v>
      </c>
      <c r="AA50" s="10" t="s">
        <v>233</v>
      </c>
      <c r="AB50" s="10" t="s">
        <v>647</v>
      </c>
      <c r="AC50" s="10" t="n">
        <v>2</v>
      </c>
      <c r="AD50" s="10" t="s">
        <v>346</v>
      </c>
      <c r="AE50" s="10" t="s">
        <v>345</v>
      </c>
      <c r="AF50" s="10"/>
      <c r="AG50" s="10" t="n">
        <v>60</v>
      </c>
      <c r="AH50" s="10" t="s">
        <v>685</v>
      </c>
      <c r="AI50" s="10" t="s">
        <v>244</v>
      </c>
      <c r="AJ50" s="10" t="s">
        <v>244</v>
      </c>
      <c r="AK50" s="10" t="n">
        <v>5.43</v>
      </c>
      <c r="AL50" s="10" t="n">
        <v>40</v>
      </c>
      <c r="AM50" s="10" t="s">
        <v>226</v>
      </c>
      <c r="AN50" s="10" t="n">
        <v>4</v>
      </c>
      <c r="AO50" s="10" t="n">
        <v>2</v>
      </c>
      <c r="AP50" s="10" t="s">
        <v>1022</v>
      </c>
      <c r="AQ50" s="10"/>
    </row>
    <row r="51" customFormat="false" ht="15" hidden="false" customHeight="true" outlineLevel="0" collapsed="false">
      <c r="A51" s="11" t="s">
        <v>1023</v>
      </c>
      <c r="B51" s="11" t="s">
        <v>1024</v>
      </c>
      <c r="C51" s="11" t="s">
        <v>641</v>
      </c>
      <c r="D51" s="11" t="s">
        <v>1025</v>
      </c>
      <c r="E51" s="11" t="s">
        <v>1026</v>
      </c>
      <c r="F51" s="11" t="s">
        <v>195</v>
      </c>
      <c r="G51" s="11" t="s">
        <v>244</v>
      </c>
      <c r="H51" s="11" t="s">
        <v>297</v>
      </c>
      <c r="I51" s="11" t="s">
        <v>358</v>
      </c>
      <c r="J51" s="11" t="s">
        <v>354</v>
      </c>
      <c r="K51" s="11" t="s">
        <v>399</v>
      </c>
      <c r="L51" s="11" t="s">
        <v>480</v>
      </c>
      <c r="M51" s="11" t="s">
        <v>478</v>
      </c>
      <c r="N51" s="11" t="s">
        <v>1002</v>
      </c>
      <c r="O51" s="11" t="s">
        <v>1003</v>
      </c>
      <c r="P51" s="11" t="s">
        <v>253</v>
      </c>
      <c r="Q51" s="11"/>
      <c r="R51" s="11" t="s">
        <v>194</v>
      </c>
      <c r="S51" s="11" t="s">
        <v>1027</v>
      </c>
      <c r="T51" s="11" t="s">
        <v>1028</v>
      </c>
      <c r="U51" s="11" t="s">
        <v>1029</v>
      </c>
      <c r="V51" s="12" t="s">
        <v>646</v>
      </c>
      <c r="W51" s="12"/>
      <c r="X51" s="12" t="s">
        <v>233</v>
      </c>
      <c r="Y51" s="12" t="s">
        <v>401</v>
      </c>
      <c r="Z51" s="12" t="s">
        <v>402</v>
      </c>
      <c r="AA51" s="12" t="s">
        <v>233</v>
      </c>
      <c r="AB51" s="12" t="s">
        <v>647</v>
      </c>
      <c r="AC51" s="12" t="n">
        <v>2</v>
      </c>
      <c r="AD51" s="12" t="s">
        <v>346</v>
      </c>
      <c r="AE51" s="12" t="s">
        <v>345</v>
      </c>
      <c r="AF51" s="12"/>
      <c r="AG51" s="12" t="n">
        <v>60</v>
      </c>
      <c r="AH51" s="12" t="s">
        <v>685</v>
      </c>
      <c r="AI51" s="12" t="s">
        <v>244</v>
      </c>
      <c r="AJ51" s="12" t="s">
        <v>244</v>
      </c>
      <c r="AK51" s="12" t="n">
        <v>8.88</v>
      </c>
      <c r="AL51" s="12" t="n">
        <v>34</v>
      </c>
      <c r="AM51" s="12" t="s">
        <v>226</v>
      </c>
      <c r="AN51" s="12" t="n">
        <v>4</v>
      </c>
      <c r="AO51" s="12" t="n">
        <v>2</v>
      </c>
      <c r="AP51" s="12" t="s">
        <v>1030</v>
      </c>
      <c r="AQ51" s="12"/>
    </row>
    <row r="52" customFormat="false" ht="15" hidden="false" customHeight="true" outlineLevel="0" collapsed="false">
      <c r="A52" s="9" t="s">
        <v>1031</v>
      </c>
      <c r="B52" s="9" t="s">
        <v>1032</v>
      </c>
      <c r="C52" s="9" t="s">
        <v>651</v>
      </c>
      <c r="D52" s="9" t="s">
        <v>1033</v>
      </c>
      <c r="E52" s="9" t="s">
        <v>1034</v>
      </c>
      <c r="F52" s="9" t="s">
        <v>195</v>
      </c>
      <c r="G52" s="9" t="s">
        <v>244</v>
      </c>
      <c r="H52" s="9" t="s">
        <v>282</v>
      </c>
      <c r="I52" s="9" t="s">
        <v>356</v>
      </c>
      <c r="J52" s="9" t="s">
        <v>354</v>
      </c>
      <c r="K52" s="9" t="s">
        <v>399</v>
      </c>
      <c r="L52" s="9" t="s">
        <v>456</v>
      </c>
      <c r="M52" s="9" t="s">
        <v>454</v>
      </c>
      <c r="N52" s="9" t="s">
        <v>1009</v>
      </c>
      <c r="O52" s="9" t="s">
        <v>1010</v>
      </c>
      <c r="P52" s="9" t="s">
        <v>253</v>
      </c>
      <c r="Q52" s="9"/>
      <c r="R52" s="9" t="s">
        <v>194</v>
      </c>
      <c r="S52" s="9" t="s">
        <v>1035</v>
      </c>
      <c r="T52" s="9" t="s">
        <v>1036</v>
      </c>
      <c r="U52" s="9"/>
      <c r="V52" s="10" t="s">
        <v>646</v>
      </c>
      <c r="W52" s="10"/>
      <c r="X52" s="10" t="s">
        <v>233</v>
      </c>
      <c r="Y52" s="10" t="s">
        <v>401</v>
      </c>
      <c r="Z52" s="10" t="s">
        <v>402</v>
      </c>
      <c r="AA52" s="10" t="s">
        <v>233</v>
      </c>
      <c r="AB52" s="10" t="s">
        <v>647</v>
      </c>
      <c r="AC52" s="10" t="n">
        <v>2</v>
      </c>
      <c r="AD52" s="10" t="s">
        <v>346</v>
      </c>
      <c r="AE52" s="10" t="s">
        <v>345</v>
      </c>
      <c r="AF52" s="10"/>
      <c r="AG52" s="10" t="n">
        <v>60</v>
      </c>
      <c r="AH52" s="10" t="s">
        <v>685</v>
      </c>
      <c r="AI52" s="10" t="s">
        <v>244</v>
      </c>
      <c r="AJ52" s="10" t="s">
        <v>244</v>
      </c>
      <c r="AK52" s="10" t="n">
        <v>2.57</v>
      </c>
      <c r="AL52" s="10" t="n">
        <v>35</v>
      </c>
      <c r="AM52" s="10" t="s">
        <v>226</v>
      </c>
      <c r="AN52" s="10" t="n">
        <v>4</v>
      </c>
      <c r="AO52" s="10" t="n">
        <v>2</v>
      </c>
      <c r="AP52" s="10" t="s">
        <v>1037</v>
      </c>
      <c r="AQ52" s="10"/>
    </row>
    <row r="53" customFormat="false" ht="15" hidden="false" customHeight="true" outlineLevel="0" collapsed="false">
      <c r="A53" s="11" t="s">
        <v>1038</v>
      </c>
      <c r="B53" s="11" t="s">
        <v>1039</v>
      </c>
      <c r="C53" s="11" t="s">
        <v>641</v>
      </c>
      <c r="D53" s="11" t="s">
        <v>1040</v>
      </c>
      <c r="E53" s="11" t="s">
        <v>1041</v>
      </c>
      <c r="F53" s="11" t="s">
        <v>195</v>
      </c>
      <c r="G53" s="11" t="s">
        <v>244</v>
      </c>
      <c r="H53" s="11" t="s">
        <v>278</v>
      </c>
      <c r="I53" s="11" t="s">
        <v>365</v>
      </c>
      <c r="J53" s="11" t="s">
        <v>362</v>
      </c>
      <c r="K53" s="11" t="s">
        <v>399</v>
      </c>
      <c r="L53" s="11" t="s">
        <v>456</v>
      </c>
      <c r="M53" s="11" t="s">
        <v>462</v>
      </c>
      <c r="N53" s="11" t="s">
        <v>1016</v>
      </c>
      <c r="O53" s="11" t="s">
        <v>1017</v>
      </c>
      <c r="P53" s="11" t="s">
        <v>253</v>
      </c>
      <c r="Q53" s="11"/>
      <c r="R53" s="11" t="s">
        <v>194</v>
      </c>
      <c r="S53" s="11" t="s">
        <v>1042</v>
      </c>
      <c r="T53" s="11" t="s">
        <v>1043</v>
      </c>
      <c r="U53" s="11"/>
      <c r="V53" s="12" t="s">
        <v>646</v>
      </c>
      <c r="W53" s="12"/>
      <c r="X53" s="12" t="s">
        <v>233</v>
      </c>
      <c r="Y53" s="12" t="s">
        <v>401</v>
      </c>
      <c r="Z53" s="12" t="s">
        <v>402</v>
      </c>
      <c r="AA53" s="12" t="s">
        <v>233</v>
      </c>
      <c r="AB53" s="12" t="s">
        <v>647</v>
      </c>
      <c r="AC53" s="12" t="n">
        <v>2</v>
      </c>
      <c r="AD53" s="12" t="s">
        <v>346</v>
      </c>
      <c r="AE53" s="12" t="s">
        <v>345</v>
      </c>
      <c r="AF53" s="12"/>
      <c r="AG53" s="12" t="n">
        <v>60</v>
      </c>
      <c r="AH53" s="12" t="s">
        <v>685</v>
      </c>
      <c r="AI53" s="12" t="s">
        <v>244</v>
      </c>
      <c r="AJ53" s="12" t="s">
        <v>244</v>
      </c>
      <c r="AK53" s="12" t="n">
        <v>3.78</v>
      </c>
      <c r="AL53" s="12" t="n">
        <v>20</v>
      </c>
      <c r="AM53" s="12" t="s">
        <v>226</v>
      </c>
      <c r="AN53" s="12" t="n">
        <v>4</v>
      </c>
      <c r="AO53" s="12" t="n">
        <v>2</v>
      </c>
      <c r="AP53" s="12" t="s">
        <v>1044</v>
      </c>
      <c r="AQ53" s="12"/>
    </row>
    <row r="54" customFormat="false" ht="15" hidden="false" customHeight="true" outlineLevel="0" collapsed="false">
      <c r="A54" s="9" t="s">
        <v>1045</v>
      </c>
      <c r="B54" s="9" t="s">
        <v>1046</v>
      </c>
      <c r="C54" s="9" t="s">
        <v>651</v>
      </c>
      <c r="D54" s="9" t="s">
        <v>1047</v>
      </c>
      <c r="E54" s="9" t="s">
        <v>1048</v>
      </c>
      <c r="F54" s="9" t="s">
        <v>195</v>
      </c>
      <c r="G54" s="9" t="s">
        <v>244</v>
      </c>
      <c r="H54" s="9" t="s">
        <v>294</v>
      </c>
      <c r="I54" s="9" t="s">
        <v>377</v>
      </c>
      <c r="J54" s="9" t="s">
        <v>379</v>
      </c>
      <c r="K54" s="9" t="s">
        <v>426</v>
      </c>
      <c r="L54" s="9" t="s">
        <v>456</v>
      </c>
      <c r="M54" s="9" t="s">
        <v>454</v>
      </c>
      <c r="N54" s="9" t="s">
        <v>1023</v>
      </c>
      <c r="O54" s="9" t="s">
        <v>1024</v>
      </c>
      <c r="P54" s="9" t="s">
        <v>253</v>
      </c>
      <c r="Q54" s="9" t="s">
        <v>1049</v>
      </c>
      <c r="R54" s="9" t="s">
        <v>194</v>
      </c>
      <c r="S54" s="9" t="s">
        <v>1050</v>
      </c>
      <c r="T54" s="9" t="s">
        <v>1051</v>
      </c>
      <c r="U54" s="9" t="s">
        <v>1052</v>
      </c>
      <c r="V54" s="10" t="s">
        <v>902</v>
      </c>
      <c r="W54" s="10" t="s">
        <v>922</v>
      </c>
      <c r="X54" s="10" t="s">
        <v>226</v>
      </c>
      <c r="Y54" s="10"/>
      <c r="Z54" s="10" t="s">
        <v>419</v>
      </c>
      <c r="AA54" s="10" t="s">
        <v>233</v>
      </c>
      <c r="AB54" s="10" t="s">
        <v>904</v>
      </c>
      <c r="AC54" s="10" t="n">
        <v>2</v>
      </c>
      <c r="AD54" s="10" t="s">
        <v>382</v>
      </c>
      <c r="AE54" s="10" t="s">
        <v>380</v>
      </c>
      <c r="AF54" s="10"/>
      <c r="AG54" s="10"/>
      <c r="AH54" s="10" t="s">
        <v>865</v>
      </c>
      <c r="AI54" s="10" t="s">
        <v>244</v>
      </c>
      <c r="AJ54" s="10" t="s">
        <v>244</v>
      </c>
      <c r="AK54" s="10" t="n">
        <v>0.52</v>
      </c>
      <c r="AL54" s="10" t="n">
        <v>5</v>
      </c>
      <c r="AM54" s="10" t="s">
        <v>226</v>
      </c>
      <c r="AN54" s="10"/>
      <c r="AO54" s="10"/>
      <c r="AP54" s="10" t="s">
        <v>1053</v>
      </c>
      <c r="AQ54" s="10" t="s">
        <v>924</v>
      </c>
    </row>
    <row r="55" customFormat="false" ht="15" hidden="false" customHeight="true" outlineLevel="0" collapsed="false">
      <c r="A55" s="11" t="s">
        <v>1054</v>
      </c>
      <c r="B55" s="11" t="s">
        <v>1055</v>
      </c>
      <c r="C55" s="11" t="s">
        <v>641</v>
      </c>
      <c r="D55" s="11" t="s">
        <v>1056</v>
      </c>
      <c r="E55" s="11" t="s">
        <v>1057</v>
      </c>
      <c r="F55" s="11" t="s">
        <v>195</v>
      </c>
      <c r="G55" s="11" t="s">
        <v>254</v>
      </c>
      <c r="H55" s="11" t="s">
        <v>275</v>
      </c>
      <c r="I55" s="11" t="s">
        <v>337</v>
      </c>
      <c r="J55" s="11" t="s">
        <v>339</v>
      </c>
      <c r="K55" s="11" t="s">
        <v>399</v>
      </c>
      <c r="L55" s="11" t="s">
        <v>480</v>
      </c>
      <c r="M55" s="11" t="s">
        <v>478</v>
      </c>
      <c r="N55" s="11" t="s">
        <v>555</v>
      </c>
      <c r="O55" s="11" t="s">
        <v>650</v>
      </c>
      <c r="P55" s="11" t="s">
        <v>263</v>
      </c>
      <c r="Q55" s="11"/>
      <c r="R55" s="11" t="s">
        <v>194</v>
      </c>
      <c r="S55" s="11" t="s">
        <v>1058</v>
      </c>
      <c r="T55" s="11" t="s">
        <v>1059</v>
      </c>
      <c r="U55" s="11"/>
      <c r="V55" s="12" t="s">
        <v>646</v>
      </c>
      <c r="W55" s="12"/>
      <c r="X55" s="12" t="s">
        <v>233</v>
      </c>
      <c r="Y55" s="12" t="s">
        <v>401</v>
      </c>
      <c r="Z55" s="12" t="s">
        <v>402</v>
      </c>
      <c r="AA55" s="12" t="s">
        <v>233</v>
      </c>
      <c r="AB55" s="12" t="s">
        <v>647</v>
      </c>
      <c r="AC55" s="12" t="n">
        <v>2</v>
      </c>
      <c r="AD55" s="12" t="s">
        <v>333</v>
      </c>
      <c r="AE55" s="12" t="s">
        <v>331</v>
      </c>
      <c r="AF55" s="12"/>
      <c r="AG55" s="12" t="n">
        <v>60</v>
      </c>
      <c r="AH55" s="12" t="s">
        <v>648</v>
      </c>
      <c r="AI55" s="12" t="s">
        <v>254</v>
      </c>
      <c r="AJ55" s="12" t="s">
        <v>254</v>
      </c>
      <c r="AK55" s="12" t="n">
        <v>11.62</v>
      </c>
      <c r="AL55" s="12" t="n">
        <v>80</v>
      </c>
      <c r="AM55" s="12" t="s">
        <v>233</v>
      </c>
      <c r="AN55" s="12" t="n">
        <v>4</v>
      </c>
      <c r="AO55" s="12" t="n">
        <v>2</v>
      </c>
      <c r="AP55" s="12" t="s">
        <v>1060</v>
      </c>
      <c r="AQ55" s="12"/>
    </row>
    <row r="56" customFormat="false" ht="15" hidden="false" customHeight="true" outlineLevel="0" collapsed="false">
      <c r="A56" s="9" t="s">
        <v>1061</v>
      </c>
      <c r="B56" s="9" t="s">
        <v>1062</v>
      </c>
      <c r="C56" s="9" t="s">
        <v>651</v>
      </c>
      <c r="D56" s="9" t="s">
        <v>1063</v>
      </c>
      <c r="E56" s="9" t="s">
        <v>1064</v>
      </c>
      <c r="F56" s="9" t="s">
        <v>195</v>
      </c>
      <c r="G56" s="9" t="s">
        <v>254</v>
      </c>
      <c r="H56" s="9" t="s">
        <v>309</v>
      </c>
      <c r="I56" s="9" t="s">
        <v>348</v>
      </c>
      <c r="J56" s="9" t="s">
        <v>344</v>
      </c>
      <c r="K56" s="9" t="s">
        <v>399</v>
      </c>
      <c r="L56" s="9" t="s">
        <v>480</v>
      </c>
      <c r="M56" s="9" t="s">
        <v>478</v>
      </c>
      <c r="N56" s="9" t="s">
        <v>1054</v>
      </c>
      <c r="O56" s="9" t="s">
        <v>1055</v>
      </c>
      <c r="P56" s="9" t="s">
        <v>263</v>
      </c>
      <c r="Q56" s="9"/>
      <c r="R56" s="9" t="s">
        <v>194</v>
      </c>
      <c r="S56" s="9" t="s">
        <v>1065</v>
      </c>
      <c r="T56" s="9" t="s">
        <v>1066</v>
      </c>
      <c r="U56" s="9"/>
      <c r="V56" s="10" t="s">
        <v>646</v>
      </c>
      <c r="W56" s="10"/>
      <c r="X56" s="10" t="s">
        <v>233</v>
      </c>
      <c r="Y56" s="10" t="s">
        <v>401</v>
      </c>
      <c r="Z56" s="10" t="s">
        <v>402</v>
      </c>
      <c r="AA56" s="10" t="s">
        <v>233</v>
      </c>
      <c r="AB56" s="10" t="s">
        <v>647</v>
      </c>
      <c r="AC56" s="10" t="n">
        <v>2</v>
      </c>
      <c r="AD56" s="10" t="s">
        <v>346</v>
      </c>
      <c r="AE56" s="10" t="s">
        <v>345</v>
      </c>
      <c r="AF56" s="10"/>
      <c r="AG56" s="10" t="n">
        <v>60</v>
      </c>
      <c r="AH56" s="10" t="s">
        <v>685</v>
      </c>
      <c r="AI56" s="10" t="s">
        <v>254</v>
      </c>
      <c r="AJ56" s="10" t="s">
        <v>254</v>
      </c>
      <c r="AK56" s="10" t="n">
        <v>6.23</v>
      </c>
      <c r="AL56" s="10" t="n">
        <v>55</v>
      </c>
      <c r="AM56" s="10" t="s">
        <v>233</v>
      </c>
      <c r="AN56" s="10" t="n">
        <v>4</v>
      </c>
      <c r="AO56" s="10" t="n">
        <v>2</v>
      </c>
      <c r="AP56" s="10" t="s">
        <v>1067</v>
      </c>
      <c r="AQ56" s="10"/>
    </row>
    <row r="57" customFormat="false" ht="15" hidden="false" customHeight="true" outlineLevel="0" collapsed="false">
      <c r="A57" s="11" t="s">
        <v>1068</v>
      </c>
      <c r="B57" s="11" t="s">
        <v>1069</v>
      </c>
      <c r="C57" s="11" t="s">
        <v>641</v>
      </c>
      <c r="D57" s="11" t="s">
        <v>1070</v>
      </c>
      <c r="E57" s="11" t="s">
        <v>1071</v>
      </c>
      <c r="F57" s="11" t="s">
        <v>195</v>
      </c>
      <c r="G57" s="11" t="s">
        <v>254</v>
      </c>
      <c r="H57" s="11" t="s">
        <v>278</v>
      </c>
      <c r="I57" s="11" t="s">
        <v>352</v>
      </c>
      <c r="J57" s="11" t="s">
        <v>354</v>
      </c>
      <c r="K57" s="11" t="s">
        <v>399</v>
      </c>
      <c r="L57" s="11" t="s">
        <v>456</v>
      </c>
      <c r="M57" s="11" t="s">
        <v>454</v>
      </c>
      <c r="N57" s="11" t="s">
        <v>1054</v>
      </c>
      <c r="O57" s="11" t="s">
        <v>1055</v>
      </c>
      <c r="P57" s="11" t="s">
        <v>225</v>
      </c>
      <c r="Q57" s="11"/>
      <c r="R57" s="11" t="s">
        <v>194</v>
      </c>
      <c r="S57" s="11" t="s">
        <v>1072</v>
      </c>
      <c r="T57" s="11" t="s">
        <v>1073</v>
      </c>
      <c r="U57" s="11" t="s">
        <v>1074</v>
      </c>
      <c r="V57" s="12" t="s">
        <v>646</v>
      </c>
      <c r="W57" s="12"/>
      <c r="X57" s="12" t="s">
        <v>233</v>
      </c>
      <c r="Y57" s="12" t="s">
        <v>401</v>
      </c>
      <c r="Z57" s="12" t="s">
        <v>402</v>
      </c>
      <c r="AA57" s="12" t="s">
        <v>233</v>
      </c>
      <c r="AB57" s="12" t="s">
        <v>647</v>
      </c>
      <c r="AC57" s="12" t="n">
        <v>2</v>
      </c>
      <c r="AD57" s="12" t="s">
        <v>346</v>
      </c>
      <c r="AE57" s="12" t="s">
        <v>345</v>
      </c>
      <c r="AF57" s="12"/>
      <c r="AG57" s="12" t="n">
        <v>60</v>
      </c>
      <c r="AH57" s="12" t="s">
        <v>685</v>
      </c>
      <c r="AI57" s="12" t="s">
        <v>215</v>
      </c>
      <c r="AJ57" s="12" t="s">
        <v>254</v>
      </c>
      <c r="AK57" s="12" t="n">
        <v>8.67</v>
      </c>
      <c r="AL57" s="12" t="n">
        <v>40</v>
      </c>
      <c r="AM57" s="12" t="s">
        <v>226</v>
      </c>
      <c r="AN57" s="12" t="n">
        <v>4</v>
      </c>
      <c r="AO57" s="12" t="n">
        <v>2</v>
      </c>
      <c r="AP57" s="12" t="s">
        <v>1075</v>
      </c>
      <c r="AQ57" s="12" t="s">
        <v>1076</v>
      </c>
    </row>
    <row r="58" customFormat="false" ht="15" hidden="false" customHeight="true" outlineLevel="0" collapsed="false">
      <c r="A58" s="9" t="s">
        <v>1077</v>
      </c>
      <c r="B58" s="9" t="s">
        <v>1078</v>
      </c>
      <c r="C58" s="9" t="s">
        <v>651</v>
      </c>
      <c r="D58" s="9" t="s">
        <v>1079</v>
      </c>
      <c r="E58" s="9" t="s">
        <v>1080</v>
      </c>
      <c r="F58" s="9" t="s">
        <v>195</v>
      </c>
      <c r="G58" s="9" t="s">
        <v>254</v>
      </c>
      <c r="H58" s="9" t="s">
        <v>285</v>
      </c>
      <c r="I58" s="9" t="s">
        <v>360</v>
      </c>
      <c r="J58" s="9" t="s">
        <v>362</v>
      </c>
      <c r="K58" s="9" t="s">
        <v>399</v>
      </c>
      <c r="L58" s="9" t="s">
        <v>456</v>
      </c>
      <c r="M58" s="9" t="s">
        <v>454</v>
      </c>
      <c r="N58" s="9" t="s">
        <v>1061</v>
      </c>
      <c r="O58" s="9" t="s">
        <v>1062</v>
      </c>
      <c r="P58" s="9" t="s">
        <v>263</v>
      </c>
      <c r="Q58" s="9"/>
      <c r="R58" s="9" t="s">
        <v>194</v>
      </c>
      <c r="S58" s="9" t="s">
        <v>1081</v>
      </c>
      <c r="T58" s="9" t="s">
        <v>1082</v>
      </c>
      <c r="U58" s="9"/>
      <c r="V58" s="10" t="s">
        <v>646</v>
      </c>
      <c r="W58" s="10"/>
      <c r="X58" s="10" t="s">
        <v>233</v>
      </c>
      <c r="Y58" s="10" t="s">
        <v>401</v>
      </c>
      <c r="Z58" s="10" t="s">
        <v>402</v>
      </c>
      <c r="AA58" s="10" t="s">
        <v>233</v>
      </c>
      <c r="AB58" s="10" t="s">
        <v>647</v>
      </c>
      <c r="AC58" s="10" t="n">
        <v>2</v>
      </c>
      <c r="AD58" s="10" t="s">
        <v>346</v>
      </c>
      <c r="AE58" s="10" t="s">
        <v>345</v>
      </c>
      <c r="AF58" s="10"/>
      <c r="AG58" s="10" t="n">
        <v>60</v>
      </c>
      <c r="AH58" s="10" t="s">
        <v>685</v>
      </c>
      <c r="AI58" s="10" t="s">
        <v>254</v>
      </c>
      <c r="AJ58" s="10" t="s">
        <v>254</v>
      </c>
      <c r="AK58" s="10" t="n">
        <v>3.47</v>
      </c>
      <c r="AL58" s="10" t="n">
        <v>30</v>
      </c>
      <c r="AM58" s="10" t="s">
        <v>226</v>
      </c>
      <c r="AN58" s="10" t="n">
        <v>4</v>
      </c>
      <c r="AO58" s="10" t="n">
        <v>2</v>
      </c>
      <c r="AP58" s="10" t="s">
        <v>1083</v>
      </c>
      <c r="AQ58" s="10"/>
    </row>
    <row r="59" customFormat="false" ht="15" hidden="false" customHeight="true" outlineLevel="0" collapsed="false">
      <c r="A59" s="11" t="s">
        <v>1084</v>
      </c>
      <c r="B59" s="11" t="s">
        <v>1085</v>
      </c>
      <c r="C59" s="11" t="s">
        <v>641</v>
      </c>
      <c r="D59" s="11" t="s">
        <v>1086</v>
      </c>
      <c r="E59" s="11" t="s">
        <v>1087</v>
      </c>
      <c r="F59" s="11" t="s">
        <v>195</v>
      </c>
      <c r="G59" s="11" t="s">
        <v>254</v>
      </c>
      <c r="H59" s="11" t="s">
        <v>288</v>
      </c>
      <c r="I59" s="11" t="s">
        <v>356</v>
      </c>
      <c r="J59" s="11" t="s">
        <v>354</v>
      </c>
      <c r="K59" s="11" t="s">
        <v>399</v>
      </c>
      <c r="L59" s="11" t="s">
        <v>456</v>
      </c>
      <c r="M59" s="11" t="s">
        <v>454</v>
      </c>
      <c r="N59" s="11" t="s">
        <v>1054</v>
      </c>
      <c r="O59" s="11" t="s">
        <v>1055</v>
      </c>
      <c r="P59" s="11" t="s">
        <v>263</v>
      </c>
      <c r="Q59" s="11"/>
      <c r="R59" s="11" t="s">
        <v>194</v>
      </c>
      <c r="S59" s="11" t="s">
        <v>1088</v>
      </c>
      <c r="T59" s="11" t="s">
        <v>1089</v>
      </c>
      <c r="U59" s="11"/>
      <c r="V59" s="12" t="s">
        <v>646</v>
      </c>
      <c r="W59" s="12"/>
      <c r="X59" s="12" t="s">
        <v>233</v>
      </c>
      <c r="Y59" s="12" t="s">
        <v>401</v>
      </c>
      <c r="Z59" s="12" t="s">
        <v>402</v>
      </c>
      <c r="AA59" s="12" t="s">
        <v>233</v>
      </c>
      <c r="AB59" s="12" t="s">
        <v>647</v>
      </c>
      <c r="AC59" s="12" t="n">
        <v>2</v>
      </c>
      <c r="AD59" s="12" t="s">
        <v>346</v>
      </c>
      <c r="AE59" s="12" t="s">
        <v>345</v>
      </c>
      <c r="AF59" s="12"/>
      <c r="AG59" s="12" t="n">
        <v>60</v>
      </c>
      <c r="AH59" s="12" t="s">
        <v>685</v>
      </c>
      <c r="AI59" s="12" t="s">
        <v>254</v>
      </c>
      <c r="AJ59" s="12" t="s">
        <v>254</v>
      </c>
      <c r="AK59" s="12" t="n">
        <v>1.04</v>
      </c>
      <c r="AL59" s="12" t="n">
        <v>35</v>
      </c>
      <c r="AM59" s="12" t="s">
        <v>226</v>
      </c>
      <c r="AN59" s="12" t="n">
        <v>4</v>
      </c>
      <c r="AO59" s="12" t="n">
        <v>2</v>
      </c>
      <c r="AP59" s="12" t="s">
        <v>1090</v>
      </c>
      <c r="AQ59" s="12"/>
    </row>
    <row r="60" customFormat="false" ht="15" hidden="false" customHeight="true" outlineLevel="0" collapsed="false">
      <c r="A60" s="9" t="s">
        <v>1091</v>
      </c>
      <c r="B60" s="9" t="s">
        <v>1092</v>
      </c>
      <c r="C60" s="9" t="s">
        <v>641</v>
      </c>
      <c r="D60" s="9" t="s">
        <v>1093</v>
      </c>
      <c r="E60" s="9" t="s">
        <v>1094</v>
      </c>
      <c r="F60" s="9" t="s">
        <v>195</v>
      </c>
      <c r="G60" s="9" t="s">
        <v>254</v>
      </c>
      <c r="H60" s="9" t="s">
        <v>282</v>
      </c>
      <c r="I60" s="9" t="s">
        <v>363</v>
      </c>
      <c r="J60" s="9" t="s">
        <v>362</v>
      </c>
      <c r="K60" s="9" t="s">
        <v>399</v>
      </c>
      <c r="L60" s="9" t="s">
        <v>456</v>
      </c>
      <c r="M60" s="9" t="s">
        <v>462</v>
      </c>
      <c r="N60" s="9" t="s">
        <v>1054</v>
      </c>
      <c r="O60" s="9" t="s">
        <v>1055</v>
      </c>
      <c r="P60" s="9" t="s">
        <v>263</v>
      </c>
      <c r="Q60" s="9"/>
      <c r="R60" s="9" t="s">
        <v>194</v>
      </c>
      <c r="S60" s="9" t="s">
        <v>1095</v>
      </c>
      <c r="T60" s="9" t="s">
        <v>1096</v>
      </c>
      <c r="U60" s="9"/>
      <c r="V60" s="10" t="s">
        <v>646</v>
      </c>
      <c r="W60" s="10"/>
      <c r="X60" s="10" t="s">
        <v>233</v>
      </c>
      <c r="Y60" s="10" t="s">
        <v>401</v>
      </c>
      <c r="Z60" s="10" t="s">
        <v>402</v>
      </c>
      <c r="AA60" s="10" t="s">
        <v>233</v>
      </c>
      <c r="AB60" s="10" t="s">
        <v>647</v>
      </c>
      <c r="AC60" s="10" t="n">
        <v>2</v>
      </c>
      <c r="AD60" s="10" t="s">
        <v>346</v>
      </c>
      <c r="AE60" s="10" t="s">
        <v>345</v>
      </c>
      <c r="AF60" s="10"/>
      <c r="AG60" s="10" t="n">
        <v>60</v>
      </c>
      <c r="AH60" s="10" t="s">
        <v>685</v>
      </c>
      <c r="AI60" s="10" t="s">
        <v>254</v>
      </c>
      <c r="AJ60" s="10" t="s">
        <v>254</v>
      </c>
      <c r="AK60" s="10" t="n">
        <v>5.1</v>
      </c>
      <c r="AL60" s="10" t="n">
        <v>25</v>
      </c>
      <c r="AM60" s="10" t="s">
        <v>226</v>
      </c>
      <c r="AN60" s="10" t="n">
        <v>4</v>
      </c>
      <c r="AO60" s="10" t="n">
        <v>2</v>
      </c>
      <c r="AP60" s="10" t="s">
        <v>1097</v>
      </c>
      <c r="AQ60" s="10"/>
    </row>
    <row r="61" customFormat="false" ht="15" hidden="false" customHeight="true" outlineLevel="0" collapsed="false">
      <c r="A61" s="11" t="s">
        <v>1098</v>
      </c>
      <c r="B61" s="11" t="s">
        <v>1099</v>
      </c>
      <c r="C61" s="11" t="s">
        <v>651</v>
      </c>
      <c r="D61" s="11" t="s">
        <v>1100</v>
      </c>
      <c r="E61" s="11" t="s">
        <v>1101</v>
      </c>
      <c r="F61" s="11" t="s">
        <v>195</v>
      </c>
      <c r="G61" s="11" t="s">
        <v>254</v>
      </c>
      <c r="H61" s="11" t="s">
        <v>278</v>
      </c>
      <c r="I61" s="11" t="s">
        <v>365</v>
      </c>
      <c r="J61" s="11" t="s">
        <v>362</v>
      </c>
      <c r="K61" s="11" t="s">
        <v>399</v>
      </c>
      <c r="L61" s="11" t="s">
        <v>456</v>
      </c>
      <c r="M61" s="11" t="s">
        <v>454</v>
      </c>
      <c r="N61" s="11" t="s">
        <v>1054</v>
      </c>
      <c r="O61" s="11" t="s">
        <v>1055</v>
      </c>
      <c r="P61" s="11" t="s">
        <v>263</v>
      </c>
      <c r="Q61" s="11"/>
      <c r="R61" s="11" t="s">
        <v>194</v>
      </c>
      <c r="S61" s="11" t="s">
        <v>1102</v>
      </c>
      <c r="T61" s="11" t="s">
        <v>1103</v>
      </c>
      <c r="U61" s="11" t="s">
        <v>1104</v>
      </c>
      <c r="V61" s="12" t="s">
        <v>646</v>
      </c>
      <c r="W61" s="12"/>
      <c r="X61" s="12" t="s">
        <v>233</v>
      </c>
      <c r="Y61" s="12" t="s">
        <v>401</v>
      </c>
      <c r="Z61" s="12" t="s">
        <v>402</v>
      </c>
      <c r="AA61" s="12" t="s">
        <v>233</v>
      </c>
      <c r="AB61" s="12" t="s">
        <v>647</v>
      </c>
      <c r="AC61" s="12" t="n">
        <v>2</v>
      </c>
      <c r="AD61" s="12" t="s">
        <v>346</v>
      </c>
      <c r="AE61" s="12" t="s">
        <v>345</v>
      </c>
      <c r="AF61" s="12"/>
      <c r="AG61" s="12" t="n">
        <v>60</v>
      </c>
      <c r="AH61" s="12" t="s">
        <v>1105</v>
      </c>
      <c r="AI61" s="12" t="s">
        <v>254</v>
      </c>
      <c r="AJ61" s="12" t="s">
        <v>254</v>
      </c>
      <c r="AK61" s="12" t="n">
        <v>0.44</v>
      </c>
      <c r="AL61" s="12" t="n">
        <v>20</v>
      </c>
      <c r="AM61" s="12" t="s">
        <v>226</v>
      </c>
      <c r="AN61" s="12" t="n">
        <v>4</v>
      </c>
      <c r="AO61" s="12" t="n">
        <v>2</v>
      </c>
      <c r="AP61" s="12" t="s">
        <v>1106</v>
      </c>
      <c r="AQ61" s="12"/>
    </row>
    <row r="62" customFormat="false" ht="15" hidden="false" customHeight="true" outlineLevel="0" collapsed="false">
      <c r="A62" s="9" t="s">
        <v>1107</v>
      </c>
      <c r="B62" s="9" t="s">
        <v>1108</v>
      </c>
      <c r="C62" s="9" t="s">
        <v>641</v>
      </c>
      <c r="D62" s="9" t="s">
        <v>1109</v>
      </c>
      <c r="E62" s="9" t="s">
        <v>1110</v>
      </c>
      <c r="F62" s="9" t="s">
        <v>195</v>
      </c>
      <c r="G62" s="9" t="s">
        <v>254</v>
      </c>
      <c r="H62" s="9" t="s">
        <v>278</v>
      </c>
      <c r="I62" s="9" t="s">
        <v>383</v>
      </c>
      <c r="J62" s="9" t="s">
        <v>379</v>
      </c>
      <c r="K62" s="9" t="s">
        <v>416</v>
      </c>
      <c r="L62" s="9" t="s">
        <v>456</v>
      </c>
      <c r="M62" s="9" t="s">
        <v>454</v>
      </c>
      <c r="N62" s="9" t="s">
        <v>1054</v>
      </c>
      <c r="O62" s="9" t="s">
        <v>1055</v>
      </c>
      <c r="P62" s="9" t="s">
        <v>263</v>
      </c>
      <c r="Q62" s="9" t="s">
        <v>1111</v>
      </c>
      <c r="R62" s="9" t="s">
        <v>194</v>
      </c>
      <c r="S62" s="9" t="s">
        <v>1112</v>
      </c>
      <c r="T62" s="9" t="s">
        <v>1113</v>
      </c>
      <c r="U62" s="9" t="s">
        <v>1114</v>
      </c>
      <c r="V62" s="10" t="s">
        <v>883</v>
      </c>
      <c r="W62" s="10"/>
      <c r="X62" s="10" t="s">
        <v>226</v>
      </c>
      <c r="Y62" s="10"/>
      <c r="Z62" s="10" t="s">
        <v>419</v>
      </c>
      <c r="AA62" s="10" t="s">
        <v>233</v>
      </c>
      <c r="AB62" s="10" t="s">
        <v>647</v>
      </c>
      <c r="AC62" s="10" t="n">
        <v>2</v>
      </c>
      <c r="AD62" s="10" t="s">
        <v>382</v>
      </c>
      <c r="AE62" s="10" t="s">
        <v>380</v>
      </c>
      <c r="AF62" s="10"/>
      <c r="AG62" s="10"/>
      <c r="AH62" s="10" t="s">
        <v>865</v>
      </c>
      <c r="AI62" s="10" t="s">
        <v>254</v>
      </c>
      <c r="AJ62" s="10" t="s">
        <v>254</v>
      </c>
      <c r="AK62" s="10" t="n">
        <v>0.35</v>
      </c>
      <c r="AL62" s="10" t="n">
        <v>5</v>
      </c>
      <c r="AM62" s="10" t="s">
        <v>226</v>
      </c>
      <c r="AN62" s="10"/>
      <c r="AO62" s="10"/>
      <c r="AP62" s="10" t="s">
        <v>1115</v>
      </c>
      <c r="AQ62" s="10" t="s">
        <v>885</v>
      </c>
    </row>
    <row r="63" customFormat="false" ht="15" hidden="false" customHeight="true" outlineLevel="0" collapsed="false">
      <c r="A63" s="11" t="s">
        <v>1116</v>
      </c>
      <c r="B63" s="11" t="s">
        <v>1117</v>
      </c>
      <c r="C63" s="11" t="s">
        <v>641</v>
      </c>
      <c r="D63" s="11" t="s">
        <v>1118</v>
      </c>
      <c r="E63" s="11" t="s">
        <v>1119</v>
      </c>
      <c r="F63" s="11" t="s">
        <v>195</v>
      </c>
      <c r="G63" s="11" t="s">
        <v>254</v>
      </c>
      <c r="H63" s="11" t="s">
        <v>288</v>
      </c>
      <c r="I63" s="11" t="s">
        <v>367</v>
      </c>
      <c r="J63" s="11" t="s">
        <v>362</v>
      </c>
      <c r="K63" s="11" t="s">
        <v>421</v>
      </c>
      <c r="L63" s="11" t="s">
        <v>456</v>
      </c>
      <c r="M63" s="11" t="s">
        <v>454</v>
      </c>
      <c r="N63" s="11" t="s">
        <v>1054</v>
      </c>
      <c r="O63" s="11" t="s">
        <v>1055</v>
      </c>
      <c r="P63" s="11" t="s">
        <v>263</v>
      </c>
      <c r="Q63" s="11" t="s">
        <v>1111</v>
      </c>
      <c r="R63" s="11" t="s">
        <v>194</v>
      </c>
      <c r="S63" s="11" t="s">
        <v>1120</v>
      </c>
      <c r="T63" s="11" t="s">
        <v>1121</v>
      </c>
      <c r="U63" s="11"/>
      <c r="V63" s="12" t="s">
        <v>902</v>
      </c>
      <c r="W63" s="12" t="s">
        <v>903</v>
      </c>
      <c r="X63" s="12" t="s">
        <v>233</v>
      </c>
      <c r="Y63" s="12" t="s">
        <v>401</v>
      </c>
      <c r="Z63" s="12" t="s">
        <v>402</v>
      </c>
      <c r="AA63" s="12" t="s">
        <v>233</v>
      </c>
      <c r="AB63" s="12" t="s">
        <v>904</v>
      </c>
      <c r="AC63" s="12" t="n">
        <v>2</v>
      </c>
      <c r="AD63" s="12" t="s">
        <v>382</v>
      </c>
      <c r="AE63" s="12" t="s">
        <v>380</v>
      </c>
      <c r="AF63" s="12"/>
      <c r="AG63" s="12"/>
      <c r="AH63" s="12" t="s">
        <v>865</v>
      </c>
      <c r="AI63" s="12" t="s">
        <v>254</v>
      </c>
      <c r="AJ63" s="12" t="s">
        <v>254</v>
      </c>
      <c r="AK63" s="12" t="n">
        <v>0.79</v>
      </c>
      <c r="AL63" s="12" t="n">
        <v>20</v>
      </c>
      <c r="AM63" s="12" t="s">
        <v>226</v>
      </c>
      <c r="AN63" s="12"/>
      <c r="AO63" s="12"/>
      <c r="AP63" s="12" t="s">
        <v>1122</v>
      </c>
      <c r="AQ63" s="12" t="s">
        <v>906</v>
      </c>
    </row>
    <row r="64" customFormat="false" ht="15" hidden="false" customHeight="true" outlineLevel="0" collapsed="false">
      <c r="A64" s="9" t="s">
        <v>1123</v>
      </c>
      <c r="B64" s="9" t="s">
        <v>1124</v>
      </c>
      <c r="C64" s="9" t="s">
        <v>651</v>
      </c>
      <c r="D64" s="9" t="s">
        <v>1125</v>
      </c>
      <c r="E64" s="9" t="s">
        <v>1126</v>
      </c>
      <c r="F64" s="9" t="s">
        <v>195</v>
      </c>
      <c r="G64" s="9" t="s">
        <v>254</v>
      </c>
      <c r="H64" s="9" t="s">
        <v>285</v>
      </c>
      <c r="I64" s="9" t="s">
        <v>385</v>
      </c>
      <c r="J64" s="9" t="s">
        <v>371</v>
      </c>
      <c r="K64" s="9" t="s">
        <v>413</v>
      </c>
      <c r="L64" s="9" t="s">
        <v>480</v>
      </c>
      <c r="M64" s="9" t="s">
        <v>478</v>
      </c>
      <c r="N64" s="9" t="s">
        <v>1061</v>
      </c>
      <c r="O64" s="9" t="s">
        <v>1062</v>
      </c>
      <c r="P64" s="9" t="s">
        <v>263</v>
      </c>
      <c r="Q64" s="9"/>
      <c r="R64" s="9" t="s">
        <v>194</v>
      </c>
      <c r="S64" s="9"/>
      <c r="T64" s="9" t="s">
        <v>1127</v>
      </c>
      <c r="U64" s="9" t="s">
        <v>1128</v>
      </c>
      <c r="V64" s="10" t="s">
        <v>1129</v>
      </c>
      <c r="W64" s="10"/>
      <c r="X64" s="10" t="s">
        <v>233</v>
      </c>
      <c r="Y64" s="10" t="s">
        <v>401</v>
      </c>
      <c r="Z64" s="10" t="s">
        <v>402</v>
      </c>
      <c r="AA64" s="10" t="s">
        <v>233</v>
      </c>
      <c r="AB64" s="10" t="s">
        <v>647</v>
      </c>
      <c r="AC64" s="10" t="n">
        <v>2</v>
      </c>
      <c r="AD64" s="10" t="s">
        <v>382</v>
      </c>
      <c r="AE64" s="10" t="s">
        <v>380</v>
      </c>
      <c r="AF64" s="10" t="s">
        <v>386</v>
      </c>
      <c r="AG64" s="10"/>
      <c r="AH64" s="10" t="s">
        <v>865</v>
      </c>
      <c r="AI64" s="10" t="s">
        <v>254</v>
      </c>
      <c r="AJ64" s="10" t="s">
        <v>254</v>
      </c>
      <c r="AK64" s="10" t="n">
        <v>0.58</v>
      </c>
      <c r="AL64" s="10" t="n">
        <v>10</v>
      </c>
      <c r="AM64" s="10" t="s">
        <v>226</v>
      </c>
      <c r="AN64" s="10"/>
      <c r="AO64" s="10"/>
      <c r="AP64" s="10" t="s">
        <v>1130</v>
      </c>
      <c r="AQ64" s="10" t="s">
        <v>1131</v>
      </c>
    </row>
    <row r="65" customFormat="false" ht="15" hidden="false" customHeight="true" outlineLevel="0" collapsed="false">
      <c r="A65" s="11" t="s">
        <v>1132</v>
      </c>
      <c r="B65" s="11" t="s">
        <v>1133</v>
      </c>
      <c r="C65" s="11" t="s">
        <v>641</v>
      </c>
      <c r="D65" s="11" t="s">
        <v>1134</v>
      </c>
      <c r="E65" s="11" t="s">
        <v>1135</v>
      </c>
      <c r="F65" s="11" t="s">
        <v>195</v>
      </c>
      <c r="G65" s="11" t="s">
        <v>254</v>
      </c>
      <c r="H65" s="11" t="s">
        <v>315</v>
      </c>
      <c r="I65" s="11" t="s">
        <v>387</v>
      </c>
      <c r="J65" s="11" t="s">
        <v>344</v>
      </c>
      <c r="K65" s="11" t="s">
        <v>429</v>
      </c>
      <c r="L65" s="11" t="s">
        <v>487</v>
      </c>
      <c r="M65" s="11" t="s">
        <v>485</v>
      </c>
      <c r="N65" s="11" t="s">
        <v>1054</v>
      </c>
      <c r="O65" s="11" t="s">
        <v>1055</v>
      </c>
      <c r="P65" s="11" t="s">
        <v>225</v>
      </c>
      <c r="Q65" s="11"/>
      <c r="R65" s="11" t="s">
        <v>194</v>
      </c>
      <c r="S65" s="11"/>
      <c r="T65" s="11" t="s">
        <v>1136</v>
      </c>
      <c r="U65" s="11" t="s">
        <v>1137</v>
      </c>
      <c r="V65" s="12" t="s">
        <v>1138</v>
      </c>
      <c r="W65" s="12"/>
      <c r="X65" s="12" t="s">
        <v>226</v>
      </c>
      <c r="Y65" s="12"/>
      <c r="Z65" s="12" t="s">
        <v>402</v>
      </c>
      <c r="AA65" s="12" t="s">
        <v>233</v>
      </c>
      <c r="AB65" s="12" t="s">
        <v>647</v>
      </c>
      <c r="AC65" s="12" t="n">
        <v>2</v>
      </c>
      <c r="AD65" s="12" t="s">
        <v>382</v>
      </c>
      <c r="AE65" s="12" t="s">
        <v>380</v>
      </c>
      <c r="AF65" s="12"/>
      <c r="AG65" s="12"/>
      <c r="AH65" s="12" t="s">
        <v>865</v>
      </c>
      <c r="AI65" s="12" t="s">
        <v>215</v>
      </c>
      <c r="AJ65" s="12" t="s">
        <v>254</v>
      </c>
      <c r="AK65" s="12" t="n">
        <v>0.29</v>
      </c>
      <c r="AL65" s="12" t="n">
        <v>50</v>
      </c>
      <c r="AM65" s="12" t="s">
        <v>233</v>
      </c>
      <c r="AN65" s="12"/>
      <c r="AO65" s="12"/>
      <c r="AP65" s="12" t="s">
        <v>1139</v>
      </c>
      <c r="AQ65" s="12" t="s">
        <v>1140</v>
      </c>
    </row>
    <row r="66" customFormat="false" ht="15" hidden="false" customHeight="true" outlineLevel="0" collapsed="false">
      <c r="A66" s="9" t="s">
        <v>599</v>
      </c>
      <c r="B66" s="9" t="s">
        <v>1141</v>
      </c>
      <c r="C66" s="9" t="s">
        <v>651</v>
      </c>
      <c r="D66" s="9" t="s">
        <v>1142</v>
      </c>
      <c r="E66" s="9" t="s">
        <v>1143</v>
      </c>
      <c r="F66" s="9" t="s">
        <v>186</v>
      </c>
      <c r="G66" s="9" t="s">
        <v>215</v>
      </c>
      <c r="H66" s="9" t="s">
        <v>300</v>
      </c>
      <c r="I66" s="9" t="s">
        <v>356</v>
      </c>
      <c r="J66" s="9" t="s">
        <v>354</v>
      </c>
      <c r="K66" s="9" t="s">
        <v>399</v>
      </c>
      <c r="L66" s="9" t="s">
        <v>487</v>
      </c>
      <c r="M66" s="9" t="s">
        <v>485</v>
      </c>
      <c r="N66" s="9" t="s">
        <v>671</v>
      </c>
      <c r="O66" s="9" t="s">
        <v>672</v>
      </c>
      <c r="P66" s="9" t="s">
        <v>225</v>
      </c>
      <c r="Q66" s="9"/>
      <c r="R66" s="9" t="s">
        <v>194</v>
      </c>
      <c r="S66" s="9" t="s">
        <v>1144</v>
      </c>
      <c r="T66" s="9" t="s">
        <v>1145</v>
      </c>
      <c r="U66" s="9" t="s">
        <v>1146</v>
      </c>
      <c r="V66" s="10" t="s">
        <v>646</v>
      </c>
      <c r="W66" s="10"/>
      <c r="X66" s="10" t="s">
        <v>233</v>
      </c>
      <c r="Y66" s="10" t="s">
        <v>401</v>
      </c>
      <c r="Z66" s="10" t="s">
        <v>402</v>
      </c>
      <c r="AA66" s="10" t="s">
        <v>233</v>
      </c>
      <c r="AB66" s="10" t="s">
        <v>647</v>
      </c>
      <c r="AC66" s="10" t="n">
        <v>2</v>
      </c>
      <c r="AD66" s="10" t="s">
        <v>346</v>
      </c>
      <c r="AE66" s="10" t="s">
        <v>345</v>
      </c>
      <c r="AF66" s="10"/>
      <c r="AG66" s="10" t="n">
        <v>60</v>
      </c>
      <c r="AH66" s="10" t="s">
        <v>1147</v>
      </c>
      <c r="AI66" s="10" t="s">
        <v>215</v>
      </c>
      <c r="AJ66" s="10" t="s">
        <v>215</v>
      </c>
      <c r="AK66" s="10" t="n">
        <v>0.08</v>
      </c>
      <c r="AL66" s="10" t="n">
        <v>35</v>
      </c>
      <c r="AM66" s="10" t="s">
        <v>226</v>
      </c>
      <c r="AN66" s="10" t="n">
        <v>4</v>
      </c>
      <c r="AO66" s="10" t="n">
        <v>2</v>
      </c>
      <c r="AP66" s="10" t="s">
        <v>1148</v>
      </c>
      <c r="AQ66" s="10"/>
    </row>
    <row r="67" customFormat="false" ht="15" hidden="false" customHeight="true" outlineLevel="0" collapsed="false">
      <c r="A67" s="11" t="s">
        <v>602</v>
      </c>
      <c r="B67" s="11" t="s">
        <v>1149</v>
      </c>
      <c r="C67" s="11" t="s">
        <v>641</v>
      </c>
      <c r="D67" s="11" t="s">
        <v>1150</v>
      </c>
      <c r="E67" s="11" t="s">
        <v>1151</v>
      </c>
      <c r="F67" s="11" t="s">
        <v>186</v>
      </c>
      <c r="G67" s="11" t="s">
        <v>234</v>
      </c>
      <c r="H67" s="11" t="s">
        <v>297</v>
      </c>
      <c r="I67" s="11" t="s">
        <v>360</v>
      </c>
      <c r="J67" s="11" t="s">
        <v>362</v>
      </c>
      <c r="K67" s="11" t="s">
        <v>399</v>
      </c>
      <c r="L67" s="11" t="s">
        <v>480</v>
      </c>
      <c r="M67" s="11" t="s">
        <v>478</v>
      </c>
      <c r="N67" s="11" t="s">
        <v>938</v>
      </c>
      <c r="O67" s="11" t="s">
        <v>939</v>
      </c>
      <c r="P67" s="11" t="s">
        <v>243</v>
      </c>
      <c r="Q67" s="11"/>
      <c r="R67" s="11" t="s">
        <v>194</v>
      </c>
      <c r="S67" s="11" t="s">
        <v>1152</v>
      </c>
      <c r="T67" s="11" t="s">
        <v>1153</v>
      </c>
      <c r="U67" s="11" t="s">
        <v>1154</v>
      </c>
      <c r="V67" s="12" t="s">
        <v>646</v>
      </c>
      <c r="W67" s="12"/>
      <c r="X67" s="12" t="s">
        <v>233</v>
      </c>
      <c r="Y67" s="12" t="s">
        <v>401</v>
      </c>
      <c r="Z67" s="12" t="s">
        <v>402</v>
      </c>
      <c r="AA67" s="12" t="s">
        <v>233</v>
      </c>
      <c r="AB67" s="12" t="s">
        <v>647</v>
      </c>
      <c r="AC67" s="12" t="n">
        <v>2</v>
      </c>
      <c r="AD67" s="12" t="s">
        <v>346</v>
      </c>
      <c r="AE67" s="12" t="s">
        <v>345</v>
      </c>
      <c r="AF67" s="12"/>
      <c r="AG67" s="12" t="n">
        <v>60</v>
      </c>
      <c r="AH67" s="12" t="s">
        <v>1155</v>
      </c>
      <c r="AI67" s="12" t="s">
        <v>234</v>
      </c>
      <c r="AJ67" s="12" t="s">
        <v>234</v>
      </c>
      <c r="AK67" s="12" t="n">
        <v>0.04</v>
      </c>
      <c r="AL67" s="12" t="n">
        <v>30</v>
      </c>
      <c r="AM67" s="12" t="s">
        <v>226</v>
      </c>
      <c r="AN67" s="12" t="n">
        <v>4</v>
      </c>
      <c r="AO67" s="12" t="n">
        <v>2</v>
      </c>
      <c r="AP67" s="12" t="s">
        <v>1156</v>
      </c>
      <c r="AQ67" s="12"/>
    </row>
    <row r="68" customFormat="false" ht="15" hidden="false" customHeight="true" outlineLevel="0" collapsed="false">
      <c r="A68" s="9" t="s">
        <v>1157</v>
      </c>
      <c r="B68" s="9" t="s">
        <v>1158</v>
      </c>
      <c r="C68" s="9" t="s">
        <v>651</v>
      </c>
      <c r="D68" s="9" t="s">
        <v>1159</v>
      </c>
      <c r="E68" s="9" t="s">
        <v>1160</v>
      </c>
      <c r="F68" s="9" t="s">
        <v>186</v>
      </c>
      <c r="G68" s="9" t="s">
        <v>215</v>
      </c>
      <c r="H68" s="9" t="s">
        <v>285</v>
      </c>
      <c r="I68" s="9" t="s">
        <v>356</v>
      </c>
      <c r="J68" s="9" t="s">
        <v>354</v>
      </c>
      <c r="K68" s="9" t="s">
        <v>399</v>
      </c>
      <c r="L68" s="9" t="s">
        <v>487</v>
      </c>
      <c r="M68" s="9" t="s">
        <v>485</v>
      </c>
      <c r="N68" s="9" t="s">
        <v>671</v>
      </c>
      <c r="O68" s="9" t="s">
        <v>672</v>
      </c>
      <c r="P68" s="9" t="s">
        <v>225</v>
      </c>
      <c r="Q68" s="9"/>
      <c r="R68" s="9" t="s">
        <v>194</v>
      </c>
      <c r="S68" s="9" t="s">
        <v>1161</v>
      </c>
      <c r="T68" s="9" t="s">
        <v>1162</v>
      </c>
      <c r="U68" s="9" t="s">
        <v>1163</v>
      </c>
      <c r="V68" s="10" t="s">
        <v>646</v>
      </c>
      <c r="W68" s="10"/>
      <c r="X68" s="10" t="s">
        <v>233</v>
      </c>
      <c r="Y68" s="10" t="s">
        <v>401</v>
      </c>
      <c r="Z68" s="10" t="s">
        <v>402</v>
      </c>
      <c r="AA68" s="10" t="s">
        <v>233</v>
      </c>
      <c r="AB68" s="10" t="s">
        <v>647</v>
      </c>
      <c r="AC68" s="10" t="n">
        <v>2</v>
      </c>
      <c r="AD68" s="10" t="s">
        <v>346</v>
      </c>
      <c r="AE68" s="10" t="s">
        <v>345</v>
      </c>
      <c r="AF68" s="10"/>
      <c r="AG68" s="10" t="n">
        <v>60</v>
      </c>
      <c r="AH68" s="10" t="s">
        <v>1164</v>
      </c>
      <c r="AI68" s="10" t="s">
        <v>215</v>
      </c>
      <c r="AJ68" s="10" t="s">
        <v>215</v>
      </c>
      <c r="AK68" s="10" t="n">
        <v>0.5</v>
      </c>
      <c r="AL68" s="10" t="n">
        <v>35</v>
      </c>
      <c r="AM68" s="10" t="s">
        <v>226</v>
      </c>
      <c r="AN68" s="10" t="n">
        <v>4</v>
      </c>
      <c r="AO68" s="10" t="n">
        <v>2</v>
      </c>
      <c r="AP68" s="10" t="s">
        <v>1165</v>
      </c>
      <c r="AQ68" s="10"/>
    </row>
    <row r="69" customFormat="false" ht="15" hidden="false" customHeight="true" outlineLevel="0" collapsed="false">
      <c r="A69" s="11" t="s">
        <v>1166</v>
      </c>
      <c r="B69" s="11" t="s">
        <v>1167</v>
      </c>
      <c r="C69" s="11" t="s">
        <v>641</v>
      </c>
      <c r="D69" s="11" t="s">
        <v>1168</v>
      </c>
      <c r="E69" s="11" t="s">
        <v>1169</v>
      </c>
      <c r="F69" s="11" t="s">
        <v>186</v>
      </c>
      <c r="G69" s="11" t="s">
        <v>234</v>
      </c>
      <c r="H69" s="11" t="s">
        <v>300</v>
      </c>
      <c r="I69" s="11" t="s">
        <v>352</v>
      </c>
      <c r="J69" s="11" t="s">
        <v>354</v>
      </c>
      <c r="K69" s="11" t="s">
        <v>399</v>
      </c>
      <c r="L69" s="11" t="s">
        <v>480</v>
      </c>
      <c r="M69" s="11" t="s">
        <v>478</v>
      </c>
      <c r="N69" s="11" t="s">
        <v>938</v>
      </c>
      <c r="O69" s="11" t="s">
        <v>939</v>
      </c>
      <c r="P69" s="11" t="s">
        <v>243</v>
      </c>
      <c r="Q69" s="11"/>
      <c r="R69" s="11" t="s">
        <v>965</v>
      </c>
      <c r="S69" s="11" t="s">
        <v>1170</v>
      </c>
      <c r="T69" s="11" t="s">
        <v>1171</v>
      </c>
      <c r="U69" s="11" t="s">
        <v>1172</v>
      </c>
      <c r="V69" s="12" t="s">
        <v>646</v>
      </c>
      <c r="W69" s="12"/>
      <c r="X69" s="12" t="s">
        <v>233</v>
      </c>
      <c r="Y69" s="12" t="s">
        <v>401</v>
      </c>
      <c r="Z69" s="12" t="s">
        <v>402</v>
      </c>
      <c r="AA69" s="12" t="s">
        <v>233</v>
      </c>
      <c r="AB69" s="12" t="s">
        <v>647</v>
      </c>
      <c r="AC69" s="12" t="n">
        <v>2</v>
      </c>
      <c r="AD69" s="12" t="s">
        <v>346</v>
      </c>
      <c r="AE69" s="12" t="s">
        <v>345</v>
      </c>
      <c r="AF69" s="12"/>
      <c r="AG69" s="12" t="n">
        <v>60</v>
      </c>
      <c r="AH69" s="12" t="s">
        <v>685</v>
      </c>
      <c r="AI69" s="12" t="s">
        <v>234</v>
      </c>
      <c r="AJ69" s="12" t="s">
        <v>234</v>
      </c>
      <c r="AK69" s="12" t="n">
        <v>7.36</v>
      </c>
      <c r="AL69" s="12" t="n">
        <v>40</v>
      </c>
      <c r="AM69" s="12" t="s">
        <v>226</v>
      </c>
      <c r="AN69" s="12" t="n">
        <v>4</v>
      </c>
      <c r="AO69" s="12" t="n">
        <v>2</v>
      </c>
      <c r="AP69" s="12" t="s">
        <v>1173</v>
      </c>
      <c r="AQ69" s="12"/>
    </row>
    <row r="70" customFormat="false" ht="32.25" hidden="false" customHeight="true" outlineLevel="0" collapsed="false">
      <c r="A70" s="10" t="s">
        <v>1174</v>
      </c>
      <c r="B70" s="10" t="s">
        <v>1175</v>
      </c>
      <c r="C70" s="10" t="s">
        <v>651</v>
      </c>
      <c r="D70" s="10" t="s">
        <v>1176</v>
      </c>
      <c r="E70" s="10" t="s">
        <v>933</v>
      </c>
      <c r="F70" s="10" t="s">
        <v>186</v>
      </c>
      <c r="G70" s="10" t="s">
        <v>227</v>
      </c>
      <c r="H70" s="10" t="s">
        <v>285</v>
      </c>
      <c r="I70" s="10" t="s">
        <v>360</v>
      </c>
      <c r="J70" s="10" t="s">
        <v>362</v>
      </c>
      <c r="K70" s="10" t="s">
        <v>399</v>
      </c>
      <c r="L70" s="10" t="s">
        <v>480</v>
      </c>
      <c r="M70" s="10" t="s">
        <v>478</v>
      </c>
      <c r="N70" s="10" t="s">
        <v>808</v>
      </c>
      <c r="O70" s="10" t="s">
        <v>809</v>
      </c>
      <c r="P70" s="10" t="s">
        <v>232</v>
      </c>
      <c r="Q70" s="10"/>
      <c r="R70" s="10" t="s">
        <v>194</v>
      </c>
      <c r="S70" s="10" t="s">
        <v>1177</v>
      </c>
      <c r="T70" s="10" t="s">
        <v>1178</v>
      </c>
      <c r="U70" s="10" t="s">
        <v>1179</v>
      </c>
      <c r="V70" s="10" t="s">
        <v>646</v>
      </c>
      <c r="W70" s="10"/>
      <c r="X70" s="10" t="s">
        <v>233</v>
      </c>
      <c r="Y70" s="10" t="s">
        <v>401</v>
      </c>
      <c r="Z70" s="10" t="s">
        <v>402</v>
      </c>
      <c r="AA70" s="10" t="s">
        <v>233</v>
      </c>
      <c r="AB70" s="10" t="s">
        <v>647</v>
      </c>
      <c r="AC70" s="10" t="n">
        <v>2</v>
      </c>
      <c r="AD70" s="10" t="s">
        <v>346</v>
      </c>
      <c r="AE70" s="10" t="s">
        <v>345</v>
      </c>
      <c r="AF70" s="10"/>
      <c r="AG70" s="10" t="n">
        <v>60</v>
      </c>
      <c r="AH70" s="10" t="s">
        <v>1180</v>
      </c>
      <c r="AI70" s="10" t="s">
        <v>227</v>
      </c>
      <c r="AJ70" s="10" t="s">
        <v>227</v>
      </c>
      <c r="AK70" s="10" t="n">
        <v>0.67</v>
      </c>
      <c r="AL70" s="10" t="n">
        <v>30</v>
      </c>
      <c r="AM70" s="10" t="s">
        <v>226</v>
      </c>
      <c r="AN70" s="10" t="n">
        <v>4</v>
      </c>
      <c r="AO70" s="10" t="n">
        <v>2</v>
      </c>
      <c r="AP70" s="10" t="s">
        <v>1181</v>
      </c>
      <c r="AQ70" s="10"/>
    </row>
    <row r="71" customFormat="false" ht="27.75" hidden="false" customHeight="true" outlineLevel="0" collapsed="false"/>
    <row r="72" customFormat="false" ht="27.75" hidden="false" customHeight="true" outlineLevel="0" collapsed="false">
      <c r="A72" s="14" t="s">
        <v>1182</v>
      </c>
      <c r="B72" s="14"/>
      <c r="C72" s="14"/>
      <c r="D72" s="14"/>
      <c r="E72" s="14"/>
      <c r="F72" s="14"/>
      <c r="G72" s="14"/>
      <c r="H72" s="14"/>
      <c r="I72" s="14"/>
      <c r="J72" s="14"/>
    </row>
  </sheetData>
  <autoFilter ref="A1:U69"/>
  <mergeCells count="1">
    <mergeCell ref="A72:J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12"/>
    <col collapsed="false" customWidth="true" hidden="false" outlineLevel="0" max="4" min="4" style="1" width="10"/>
    <col collapsed="false" customWidth="true" hidden="false" outlineLevel="0" max="5" min="5" style="1" width="12"/>
    <col collapsed="false" customWidth="true" hidden="false" outlineLevel="0" max="7" min="6" style="1" width="11"/>
    <col collapsed="false" customWidth="true" hidden="false" outlineLevel="0" max="8" min="8" style="1" width="13"/>
    <col collapsed="false" customWidth="true" hidden="false" outlineLevel="0" max="9" min="9" style="1" width="18"/>
    <col collapsed="false" customWidth="true" hidden="false" outlineLevel="0" max="10" min="10" style="1" width="12"/>
    <col collapsed="false" customWidth="true" hidden="false" outlineLevel="0" max="11" min="11" style="1" width="16"/>
    <col collapsed="false" customWidth="true" hidden="false" outlineLevel="0" max="12" min="12" style="1" width="14"/>
    <col collapsed="false" customWidth="true" hidden="false" outlineLevel="0" max="13" min="13" style="1" width="20"/>
    <col collapsed="false" customWidth="true" hidden="false" outlineLevel="0" max="14" min="14" style="1" width="18"/>
    <col collapsed="false" customWidth="true" hidden="false" outlineLevel="0" max="15" min="15" style="1" width="16"/>
    <col collapsed="false" customWidth="true" hidden="false" outlineLevel="0" max="16" min="16" style="1" width="17"/>
    <col collapsed="false" customWidth="true" hidden="false" outlineLevel="0" max="17" min="17" style="1" width="18"/>
  </cols>
  <sheetData>
    <row r="1" customFormat="false" ht="30" hidden="false" customHeight="true" outlineLevel="0" collapsed="false">
      <c r="A1" s="7" t="s">
        <v>608</v>
      </c>
      <c r="B1" s="7" t="s">
        <v>1183</v>
      </c>
      <c r="C1" s="7" t="s">
        <v>613</v>
      </c>
      <c r="D1" s="7" t="s">
        <v>394</v>
      </c>
      <c r="E1" s="7" t="s">
        <v>1184</v>
      </c>
      <c r="F1" s="7" t="s">
        <v>1185</v>
      </c>
      <c r="G1" s="7" t="s">
        <v>1186</v>
      </c>
      <c r="H1" s="7" t="s">
        <v>1187</v>
      </c>
      <c r="I1" s="7" t="s">
        <v>1188</v>
      </c>
      <c r="J1" s="7" t="s">
        <v>1189</v>
      </c>
      <c r="K1" s="7" t="s">
        <v>1190</v>
      </c>
      <c r="L1" s="7" t="s">
        <v>1191</v>
      </c>
      <c r="M1" s="7" t="s">
        <v>1192</v>
      </c>
      <c r="N1" s="7" t="s">
        <v>1193</v>
      </c>
      <c r="O1" s="7" t="s">
        <v>1194</v>
      </c>
      <c r="P1" s="7" t="s">
        <v>1195</v>
      </c>
      <c r="Q1" s="7" t="s">
        <v>1196</v>
      </c>
    </row>
    <row r="2" customFormat="false" ht="15" hidden="false" customHeight="true" outlineLevel="0" collapsed="false">
      <c r="A2" s="9" t="s">
        <v>639</v>
      </c>
      <c r="B2" s="9" t="s">
        <v>640</v>
      </c>
      <c r="C2" s="9" t="s">
        <v>399</v>
      </c>
      <c r="D2" s="9" t="s">
        <v>402</v>
      </c>
      <c r="E2" s="17" t="n">
        <v>182000</v>
      </c>
      <c r="F2" s="17" t="n">
        <v>21840</v>
      </c>
      <c r="G2" s="17" t="n">
        <v>72800</v>
      </c>
      <c r="H2" s="17" t="n">
        <v>1600</v>
      </c>
      <c r="I2" s="17" t="n">
        <v>50960</v>
      </c>
      <c r="J2" s="17"/>
      <c r="K2" s="17"/>
      <c r="L2" s="17" t="n">
        <f aca="false">IF($D2&lt;&gt;"Monthly","",SUM($E2:$I2))</f>
        <v>329200</v>
      </c>
      <c r="M2" s="17" t="n">
        <f aca="false">IF($D2&lt;&gt;"Monthly","",$E2+$F2)</f>
        <v>203840</v>
      </c>
      <c r="N2" s="17" t="n">
        <f aca="false">IF($D2&lt;&gt;"Monthly","",$L2-$M2)</f>
        <v>125360</v>
      </c>
      <c r="O2" s="18" t="n">
        <f aca="false">IF($D2&lt;&gt;"Monthly","",$N2/$L2)</f>
        <v>0.380801944106926</v>
      </c>
      <c r="P2" s="17" t="n">
        <f aca="false">IF($D2&lt;&gt;"Monthly","",MAX(0,$N2-0.5*$L2))</f>
        <v>0</v>
      </c>
      <c r="Q2" s="17" t="n">
        <f aca="false">IF($D2&lt;&gt;"Monthly","",$M2+$P2)</f>
        <v>203840</v>
      </c>
    </row>
    <row r="3" customFormat="false" ht="15" hidden="false" customHeight="true" outlineLevel="0" collapsed="false">
      <c r="A3" s="11" t="s">
        <v>555</v>
      </c>
      <c r="B3" s="11" t="s">
        <v>650</v>
      </c>
      <c r="C3" s="11" t="s">
        <v>399</v>
      </c>
      <c r="D3" s="11" t="s">
        <v>402</v>
      </c>
      <c r="E3" s="19" t="n">
        <v>182250</v>
      </c>
      <c r="F3" s="19" t="n">
        <v>21870</v>
      </c>
      <c r="G3" s="19" t="n">
        <v>72900</v>
      </c>
      <c r="H3" s="19" t="n">
        <v>1600</v>
      </c>
      <c r="I3" s="19" t="n">
        <v>51030</v>
      </c>
      <c r="J3" s="19"/>
      <c r="K3" s="19"/>
      <c r="L3" s="19" t="n">
        <f aca="false">IF($D3&lt;&gt;"Monthly","",SUM($E3:$I3))</f>
        <v>329650</v>
      </c>
      <c r="M3" s="19" t="n">
        <f aca="false">IF($D3&lt;&gt;"Monthly","",$E3+$F3)</f>
        <v>204120</v>
      </c>
      <c r="N3" s="19" t="n">
        <f aca="false">IF($D3&lt;&gt;"Monthly","",$L3-$M3)</f>
        <v>125530</v>
      </c>
      <c r="O3" s="20" t="n">
        <f aca="false">IF($D3&lt;&gt;"Monthly","",$N3/$L3)</f>
        <v>0.380797815865312</v>
      </c>
      <c r="P3" s="19" t="n">
        <f aca="false">IF($D3&lt;&gt;"Monthly","",MAX(0,$N3-0.5*$L3))</f>
        <v>0</v>
      </c>
      <c r="Q3" s="19" t="n">
        <f aca="false">IF($D3&lt;&gt;"Monthly","",$M3+$P3)</f>
        <v>204120</v>
      </c>
    </row>
    <row r="4" customFormat="false" ht="15" hidden="false" customHeight="true" outlineLevel="0" collapsed="false">
      <c r="A4" s="9" t="s">
        <v>657</v>
      </c>
      <c r="B4" s="9" t="s">
        <v>658</v>
      </c>
      <c r="C4" s="9" t="s">
        <v>399</v>
      </c>
      <c r="D4" s="9" t="s">
        <v>402</v>
      </c>
      <c r="E4" s="17" t="n">
        <v>182500</v>
      </c>
      <c r="F4" s="17" t="n">
        <v>21900</v>
      </c>
      <c r="G4" s="17" t="n">
        <v>73000</v>
      </c>
      <c r="H4" s="17" t="n">
        <v>1600</v>
      </c>
      <c r="I4" s="17" t="n">
        <v>51100</v>
      </c>
      <c r="J4" s="17"/>
      <c r="K4" s="17"/>
      <c r="L4" s="17" t="n">
        <f aca="false">IF($D4&lt;&gt;"Monthly","",SUM($E4:$I4))</f>
        <v>330100</v>
      </c>
      <c r="M4" s="17" t="n">
        <f aca="false">IF($D4&lt;&gt;"Monthly","",$E4+$F4)</f>
        <v>204400</v>
      </c>
      <c r="N4" s="17" t="n">
        <f aca="false">IF($D4&lt;&gt;"Monthly","",$L4-$M4)</f>
        <v>125700</v>
      </c>
      <c r="O4" s="18" t="n">
        <f aca="false">IF($D4&lt;&gt;"Monthly","",$N4/$L4)</f>
        <v>0.380793698879128</v>
      </c>
      <c r="P4" s="17" t="n">
        <f aca="false">IF($D4&lt;&gt;"Monthly","",MAX(0,$N4-0.5*$L4))</f>
        <v>0</v>
      </c>
      <c r="Q4" s="17" t="n">
        <f aca="false">IF($D4&lt;&gt;"Monthly","",$M4+$P4)</f>
        <v>204400</v>
      </c>
    </row>
    <row r="5" customFormat="false" ht="15" hidden="false" customHeight="true" outlineLevel="0" collapsed="false">
      <c r="A5" s="11" t="s">
        <v>664</v>
      </c>
      <c r="B5" s="11" t="s">
        <v>665</v>
      </c>
      <c r="C5" s="11" t="s">
        <v>399</v>
      </c>
      <c r="D5" s="11" t="s">
        <v>402</v>
      </c>
      <c r="E5" s="19" t="n">
        <v>108750</v>
      </c>
      <c r="F5" s="19" t="n">
        <v>13050</v>
      </c>
      <c r="G5" s="19" t="n">
        <v>43500</v>
      </c>
      <c r="H5" s="19" t="n">
        <v>1600</v>
      </c>
      <c r="I5" s="19" t="n">
        <v>30450</v>
      </c>
      <c r="J5" s="19"/>
      <c r="K5" s="19"/>
      <c r="L5" s="19" t="n">
        <f aca="false">IF($D5&lt;&gt;"Monthly","",SUM($E5:$I5))</f>
        <v>197350</v>
      </c>
      <c r="M5" s="19" t="n">
        <f aca="false">IF($D5&lt;&gt;"Monthly","",$E5+$F5)</f>
        <v>121800</v>
      </c>
      <c r="N5" s="19" t="n">
        <f aca="false">IF($D5&lt;&gt;"Monthly","",$L5-$M5)</f>
        <v>75550</v>
      </c>
      <c r="O5" s="20" t="n">
        <f aca="false">IF($D5&lt;&gt;"Monthly","",$N5/$L5)</f>
        <v>0.382822396757031</v>
      </c>
      <c r="P5" s="19" t="n">
        <f aca="false">IF($D5&lt;&gt;"Monthly","",MAX(0,$N5-0.5*$L5))</f>
        <v>0</v>
      </c>
      <c r="Q5" s="19" t="n">
        <f aca="false">IF($D5&lt;&gt;"Monthly","",$M5+$P5)</f>
        <v>121800</v>
      </c>
    </row>
    <row r="6" customFormat="false" ht="15" hidden="false" customHeight="true" outlineLevel="0" collapsed="false">
      <c r="A6" s="9" t="s">
        <v>671</v>
      </c>
      <c r="B6" s="9" t="s">
        <v>672</v>
      </c>
      <c r="C6" s="9" t="s">
        <v>399</v>
      </c>
      <c r="D6" s="9" t="s">
        <v>402</v>
      </c>
      <c r="E6" s="17" t="n">
        <v>109000</v>
      </c>
      <c r="F6" s="17" t="n">
        <v>13080</v>
      </c>
      <c r="G6" s="17" t="n">
        <v>43600</v>
      </c>
      <c r="H6" s="17" t="n">
        <v>1600</v>
      </c>
      <c r="I6" s="17" t="n">
        <v>30520</v>
      </c>
      <c r="J6" s="17"/>
      <c r="K6" s="17"/>
      <c r="L6" s="17" t="n">
        <f aca="false">IF($D6&lt;&gt;"Monthly","",SUM($E6:$I6))</f>
        <v>197800</v>
      </c>
      <c r="M6" s="17" t="n">
        <f aca="false">IF($D6&lt;&gt;"Monthly","",$E6+$F6)</f>
        <v>122080</v>
      </c>
      <c r="N6" s="17" t="n">
        <f aca="false">IF($D6&lt;&gt;"Monthly","",$L6-$M6)</f>
        <v>75720</v>
      </c>
      <c r="O6" s="18" t="n">
        <f aca="false">IF($D6&lt;&gt;"Monthly","",$N6/$L6)</f>
        <v>0.382810920121335</v>
      </c>
      <c r="P6" s="17" t="n">
        <f aca="false">IF($D6&lt;&gt;"Monthly","",MAX(0,$N6-0.5*$L6))</f>
        <v>0</v>
      </c>
      <c r="Q6" s="17" t="n">
        <f aca="false">IF($D6&lt;&gt;"Monthly","",$M6+$P6)</f>
        <v>122080</v>
      </c>
    </row>
    <row r="7" customFormat="false" ht="15" hidden="false" customHeight="true" outlineLevel="0" collapsed="false">
      <c r="A7" s="11" t="s">
        <v>678</v>
      </c>
      <c r="B7" s="11" t="s">
        <v>679</v>
      </c>
      <c r="C7" s="11" t="s">
        <v>399</v>
      </c>
      <c r="D7" s="11" t="s">
        <v>402</v>
      </c>
      <c r="E7" s="19" t="n">
        <v>62250</v>
      </c>
      <c r="F7" s="19" t="n">
        <v>7470</v>
      </c>
      <c r="G7" s="19" t="n">
        <v>24900</v>
      </c>
      <c r="H7" s="19" t="n">
        <v>1600</v>
      </c>
      <c r="I7" s="19" t="n">
        <v>17430</v>
      </c>
      <c r="J7" s="19"/>
      <c r="K7" s="19"/>
      <c r="L7" s="19" t="n">
        <f aca="false">IF($D7&lt;&gt;"Monthly","",SUM($E7:$I7))</f>
        <v>113650</v>
      </c>
      <c r="M7" s="19" t="n">
        <f aca="false">IF($D7&lt;&gt;"Monthly","",$E7+$F7)</f>
        <v>69720</v>
      </c>
      <c r="N7" s="19" t="n">
        <f aca="false">IF($D7&lt;&gt;"Monthly","",$L7-$M7)</f>
        <v>43930</v>
      </c>
      <c r="O7" s="20" t="n">
        <f aca="false">IF($D7&lt;&gt;"Monthly","",$N7/$L7)</f>
        <v>0.386537615486142</v>
      </c>
      <c r="P7" s="19" t="n">
        <f aca="false">IF($D7&lt;&gt;"Monthly","",MAX(0,$N7-0.5*$L7))</f>
        <v>0</v>
      </c>
      <c r="Q7" s="19" t="n">
        <f aca="false">IF($D7&lt;&gt;"Monthly","",$M7+$P7)</f>
        <v>69720</v>
      </c>
    </row>
    <row r="8" customFormat="false" ht="15" hidden="false" customHeight="true" outlineLevel="0" collapsed="false">
      <c r="A8" s="9" t="s">
        <v>687</v>
      </c>
      <c r="B8" s="9" t="s">
        <v>688</v>
      </c>
      <c r="C8" s="9" t="s">
        <v>399</v>
      </c>
      <c r="D8" s="9" t="s">
        <v>402</v>
      </c>
      <c r="E8" s="17" t="n">
        <v>62500</v>
      </c>
      <c r="F8" s="17" t="n">
        <v>7500</v>
      </c>
      <c r="G8" s="17" t="n">
        <v>25000</v>
      </c>
      <c r="H8" s="17" t="n">
        <v>1600</v>
      </c>
      <c r="I8" s="17" t="n">
        <v>17500</v>
      </c>
      <c r="J8" s="17"/>
      <c r="K8" s="17"/>
      <c r="L8" s="17" t="n">
        <f aca="false">IF($D8&lt;&gt;"Monthly","",SUM($E8:$I8))</f>
        <v>114100</v>
      </c>
      <c r="M8" s="17" t="n">
        <f aca="false">IF($D8&lt;&gt;"Monthly","",$E8+$F8)</f>
        <v>70000</v>
      </c>
      <c r="N8" s="17" t="n">
        <f aca="false">IF($D8&lt;&gt;"Monthly","",$L8-$M8)</f>
        <v>44100</v>
      </c>
      <c r="O8" s="18" t="n">
        <f aca="false">IF($D8&lt;&gt;"Monthly","",$N8/$L8)</f>
        <v>0.386503067484663</v>
      </c>
      <c r="P8" s="17" t="n">
        <f aca="false">IF($D8&lt;&gt;"Monthly","",MAX(0,$N8-0.5*$L8))</f>
        <v>0</v>
      </c>
      <c r="Q8" s="17" t="n">
        <f aca="false">IF($D8&lt;&gt;"Monthly","",$M8+$P8)</f>
        <v>70000</v>
      </c>
    </row>
    <row r="9" customFormat="false" ht="15" hidden="false" customHeight="true" outlineLevel="0" collapsed="false">
      <c r="A9" s="11" t="s">
        <v>695</v>
      </c>
      <c r="B9" s="11" t="s">
        <v>696</v>
      </c>
      <c r="C9" s="11" t="s">
        <v>399</v>
      </c>
      <c r="D9" s="11" t="s">
        <v>402</v>
      </c>
      <c r="E9" s="19" t="n">
        <v>21500</v>
      </c>
      <c r="F9" s="19" t="n">
        <v>2580</v>
      </c>
      <c r="G9" s="19" t="n">
        <v>8600</v>
      </c>
      <c r="H9" s="19" t="n">
        <v>1600</v>
      </c>
      <c r="I9" s="19" t="n">
        <v>6020</v>
      </c>
      <c r="J9" s="19"/>
      <c r="K9" s="19"/>
      <c r="L9" s="19" t="n">
        <f aca="false">IF($D9&lt;&gt;"Monthly","",SUM($E9:$I9))</f>
        <v>40300</v>
      </c>
      <c r="M9" s="19" t="n">
        <f aca="false">IF($D9&lt;&gt;"Monthly","",$E9+$F9)</f>
        <v>24080</v>
      </c>
      <c r="N9" s="19" t="n">
        <f aca="false">IF($D9&lt;&gt;"Monthly","",$L9-$M9)</f>
        <v>16220</v>
      </c>
      <c r="O9" s="20" t="n">
        <f aca="false">IF($D9&lt;&gt;"Monthly","",$N9/$L9)</f>
        <v>0.402481389578164</v>
      </c>
      <c r="P9" s="19" t="n">
        <f aca="false">IF($D9&lt;&gt;"Monthly","",MAX(0,$N9-0.5*$L9))</f>
        <v>0</v>
      </c>
      <c r="Q9" s="19" t="n">
        <f aca="false">IF($D9&lt;&gt;"Monthly","",$M9+$P9)</f>
        <v>24080</v>
      </c>
    </row>
    <row r="10" customFormat="false" ht="15" hidden="false" customHeight="true" outlineLevel="0" collapsed="false">
      <c r="A10" s="9" t="s">
        <v>702</v>
      </c>
      <c r="B10" s="9" t="s">
        <v>703</v>
      </c>
      <c r="C10" s="9" t="s">
        <v>399</v>
      </c>
      <c r="D10" s="9" t="s">
        <v>402</v>
      </c>
      <c r="E10" s="17" t="n">
        <v>37750</v>
      </c>
      <c r="F10" s="17" t="n">
        <v>4530</v>
      </c>
      <c r="G10" s="17" t="n">
        <v>15100</v>
      </c>
      <c r="H10" s="17" t="n">
        <v>1600</v>
      </c>
      <c r="I10" s="17" t="n">
        <v>10570</v>
      </c>
      <c r="J10" s="17"/>
      <c r="K10" s="17"/>
      <c r="L10" s="17" t="n">
        <f aca="false">IF($D10&lt;&gt;"Monthly","",SUM($E10:$I10))</f>
        <v>69550</v>
      </c>
      <c r="M10" s="17" t="n">
        <f aca="false">IF($D10&lt;&gt;"Monthly","",$E10+$F10)</f>
        <v>42280</v>
      </c>
      <c r="N10" s="17" t="n">
        <f aca="false">IF($D10&lt;&gt;"Monthly","",$L10-$M10)</f>
        <v>27270</v>
      </c>
      <c r="O10" s="18" t="n">
        <f aca="false">IF($D10&lt;&gt;"Monthly","",$N10/$L10)</f>
        <v>0.392092020129403</v>
      </c>
      <c r="P10" s="17" t="n">
        <f aca="false">IF($D10&lt;&gt;"Monthly","",MAX(0,$N10-0.5*$L10))</f>
        <v>0</v>
      </c>
      <c r="Q10" s="17" t="n">
        <f aca="false">IF($D10&lt;&gt;"Monthly","",$M10+$P10)</f>
        <v>42280</v>
      </c>
    </row>
    <row r="11" customFormat="false" ht="15" hidden="false" customHeight="true" outlineLevel="0" collapsed="false">
      <c r="A11" s="11" t="s">
        <v>710</v>
      </c>
      <c r="B11" s="11" t="s">
        <v>711</v>
      </c>
      <c r="C11" s="11" t="s">
        <v>399</v>
      </c>
      <c r="D11" s="11" t="s">
        <v>402</v>
      </c>
      <c r="E11" s="19" t="n">
        <v>61500</v>
      </c>
      <c r="F11" s="19" t="n">
        <v>7380</v>
      </c>
      <c r="G11" s="19" t="n">
        <v>24600</v>
      </c>
      <c r="H11" s="19" t="n">
        <v>1600</v>
      </c>
      <c r="I11" s="19" t="n">
        <v>17220</v>
      </c>
      <c r="J11" s="19"/>
      <c r="K11" s="19"/>
      <c r="L11" s="19" t="n">
        <f aca="false">IF($D11&lt;&gt;"Monthly","",SUM($E11:$I11))</f>
        <v>112300</v>
      </c>
      <c r="M11" s="19" t="n">
        <f aca="false">IF($D11&lt;&gt;"Monthly","",$E11+$F11)</f>
        <v>68880</v>
      </c>
      <c r="N11" s="19" t="n">
        <f aca="false">IF($D11&lt;&gt;"Monthly","",$L11-$M11)</f>
        <v>43420</v>
      </c>
      <c r="O11" s="20" t="n">
        <f aca="false">IF($D11&lt;&gt;"Monthly","",$N11/$L11)</f>
        <v>0.386642920747996</v>
      </c>
      <c r="P11" s="19" t="n">
        <f aca="false">IF($D11&lt;&gt;"Monthly","",MAX(0,$N11-0.5*$L11))</f>
        <v>0</v>
      </c>
      <c r="Q11" s="19" t="n">
        <f aca="false">IF($D11&lt;&gt;"Monthly","",$M11+$P11)</f>
        <v>68880</v>
      </c>
    </row>
    <row r="12" customFormat="false" ht="15" hidden="false" customHeight="true" outlineLevel="0" collapsed="false">
      <c r="A12" s="9" t="s">
        <v>717</v>
      </c>
      <c r="B12" s="9" t="s">
        <v>718</v>
      </c>
      <c r="C12" s="9" t="s">
        <v>399</v>
      </c>
      <c r="D12" s="9" t="s">
        <v>402</v>
      </c>
      <c r="E12" s="17" t="n">
        <v>22250</v>
      </c>
      <c r="F12" s="17" t="n">
        <v>2670</v>
      </c>
      <c r="G12" s="17" t="n">
        <v>8900</v>
      </c>
      <c r="H12" s="17" t="n">
        <v>1600</v>
      </c>
      <c r="I12" s="17" t="n">
        <v>6230</v>
      </c>
      <c r="J12" s="17"/>
      <c r="K12" s="17"/>
      <c r="L12" s="17" t="n">
        <f aca="false">IF($D12&lt;&gt;"Monthly","",SUM($E12:$I12))</f>
        <v>41650</v>
      </c>
      <c r="M12" s="17" t="n">
        <f aca="false">IF($D12&lt;&gt;"Monthly","",$E12+$F12)</f>
        <v>24920</v>
      </c>
      <c r="N12" s="17" t="n">
        <f aca="false">IF($D12&lt;&gt;"Monthly","",$L12-$M12)</f>
        <v>16730</v>
      </c>
      <c r="O12" s="18" t="n">
        <f aca="false">IF($D12&lt;&gt;"Monthly","",$N12/$L12)</f>
        <v>0.401680672268908</v>
      </c>
      <c r="P12" s="17" t="n">
        <f aca="false">IF($D12&lt;&gt;"Monthly","",MAX(0,$N12-0.5*$L12))</f>
        <v>0</v>
      </c>
      <c r="Q12" s="17" t="n">
        <f aca="false">IF($D12&lt;&gt;"Monthly","",$M12+$P12)</f>
        <v>24920</v>
      </c>
    </row>
    <row r="13" customFormat="false" ht="15" hidden="false" customHeight="true" outlineLevel="0" collapsed="false">
      <c r="A13" s="11" t="s">
        <v>724</v>
      </c>
      <c r="B13" s="11" t="s">
        <v>725</v>
      </c>
      <c r="C13" s="11" t="s">
        <v>399</v>
      </c>
      <c r="D13" s="11" t="s">
        <v>402</v>
      </c>
      <c r="E13" s="19" t="n">
        <v>62000</v>
      </c>
      <c r="F13" s="19" t="n">
        <v>7440</v>
      </c>
      <c r="G13" s="19" t="n">
        <v>24800</v>
      </c>
      <c r="H13" s="19" t="n">
        <v>1600</v>
      </c>
      <c r="I13" s="19" t="n">
        <v>17360</v>
      </c>
      <c r="J13" s="19"/>
      <c r="K13" s="19"/>
      <c r="L13" s="19" t="n">
        <f aca="false">IF($D13&lt;&gt;"Monthly","",SUM($E13:$I13))</f>
        <v>113200</v>
      </c>
      <c r="M13" s="19" t="n">
        <f aca="false">IF($D13&lt;&gt;"Monthly","",$E13+$F13)</f>
        <v>69440</v>
      </c>
      <c r="N13" s="19" t="n">
        <f aca="false">IF($D13&lt;&gt;"Monthly","",$L13-$M13)</f>
        <v>43760</v>
      </c>
      <c r="O13" s="20" t="n">
        <f aca="false">IF($D13&lt;&gt;"Monthly","",$N13/$L13)</f>
        <v>0.386572438162544</v>
      </c>
      <c r="P13" s="19" t="n">
        <f aca="false">IF($D13&lt;&gt;"Monthly","",MAX(0,$N13-0.5*$L13))</f>
        <v>0</v>
      </c>
      <c r="Q13" s="19" t="n">
        <f aca="false">IF($D13&lt;&gt;"Monthly","",$M13+$P13)</f>
        <v>69440</v>
      </c>
    </row>
    <row r="14" customFormat="false" ht="15" hidden="false" customHeight="true" outlineLevel="0" collapsed="false">
      <c r="A14" s="9" t="s">
        <v>731</v>
      </c>
      <c r="B14" s="9" t="s">
        <v>732</v>
      </c>
      <c r="C14" s="9" t="s">
        <v>399</v>
      </c>
      <c r="D14" s="9" t="s">
        <v>402</v>
      </c>
      <c r="E14" s="17" t="n">
        <v>38750</v>
      </c>
      <c r="F14" s="17" t="n">
        <v>4650</v>
      </c>
      <c r="G14" s="17" t="n">
        <v>15500</v>
      </c>
      <c r="H14" s="17" t="n">
        <v>1600</v>
      </c>
      <c r="I14" s="17" t="n">
        <v>10850</v>
      </c>
      <c r="J14" s="17"/>
      <c r="K14" s="17"/>
      <c r="L14" s="17" t="n">
        <f aca="false">IF($D14&lt;&gt;"Monthly","",SUM($E14:$I14))</f>
        <v>71350</v>
      </c>
      <c r="M14" s="17" t="n">
        <f aca="false">IF($D14&lt;&gt;"Monthly","",$E14+$F14)</f>
        <v>43400</v>
      </c>
      <c r="N14" s="17" t="n">
        <f aca="false">IF($D14&lt;&gt;"Monthly","",$L14-$M14)</f>
        <v>27950</v>
      </c>
      <c r="O14" s="18" t="n">
        <f aca="false">IF($D14&lt;&gt;"Monthly","",$N14/$L14)</f>
        <v>0.391730903994394</v>
      </c>
      <c r="P14" s="17" t="n">
        <f aca="false">IF($D14&lt;&gt;"Monthly","",MAX(0,$N14-0.5*$L14))</f>
        <v>0</v>
      </c>
      <c r="Q14" s="17" t="n">
        <f aca="false">IF($D14&lt;&gt;"Monthly","",$M14+$P14)</f>
        <v>43400</v>
      </c>
    </row>
    <row r="15" customFormat="false" ht="15" hidden="false" customHeight="true" outlineLevel="0" collapsed="false">
      <c r="A15" s="11" t="s">
        <v>738</v>
      </c>
      <c r="B15" s="11" t="s">
        <v>739</v>
      </c>
      <c r="C15" s="11" t="s">
        <v>399</v>
      </c>
      <c r="D15" s="11" t="s">
        <v>402</v>
      </c>
      <c r="E15" s="19" t="n">
        <v>62500</v>
      </c>
      <c r="F15" s="19" t="n">
        <v>7500</v>
      </c>
      <c r="G15" s="19" t="n">
        <v>25000</v>
      </c>
      <c r="H15" s="19" t="n">
        <v>1600</v>
      </c>
      <c r="I15" s="19" t="n">
        <v>84375</v>
      </c>
      <c r="J15" s="19"/>
      <c r="K15" s="19"/>
      <c r="L15" s="19" t="n">
        <f aca="false">IF($D15&lt;&gt;"Monthly","",SUM($E15:$I15))</f>
        <v>180975</v>
      </c>
      <c r="M15" s="19" t="n">
        <f aca="false">IF($D15&lt;&gt;"Monthly","",$E15+$F15)</f>
        <v>70000</v>
      </c>
      <c r="N15" s="19" t="n">
        <f aca="false">IF($D15&lt;&gt;"Monthly","",$L15-$M15)</f>
        <v>110975</v>
      </c>
      <c r="O15" s="20" t="n">
        <f aca="false">IF($D15&lt;&gt;"Monthly","",$N15/$L15)</f>
        <v>0.613206243956348</v>
      </c>
      <c r="P15" s="19" t="n">
        <f aca="false">IF($D15&lt;&gt;"Monthly","",MAX(0,$N15-0.5*$L15))</f>
        <v>20487.5</v>
      </c>
      <c r="Q15" s="19" t="n">
        <f aca="false">IF($D15&lt;&gt;"Monthly","",$M15+$P15)</f>
        <v>90487.5</v>
      </c>
    </row>
    <row r="16" customFormat="false" ht="15" hidden="false" customHeight="true" outlineLevel="0" collapsed="false">
      <c r="A16" s="9" t="s">
        <v>745</v>
      </c>
      <c r="B16" s="9" t="s">
        <v>746</v>
      </c>
      <c r="C16" s="9" t="s">
        <v>399</v>
      </c>
      <c r="D16" s="9" t="s">
        <v>402</v>
      </c>
      <c r="E16" s="17" t="n">
        <v>61000</v>
      </c>
      <c r="F16" s="17" t="n">
        <v>7320</v>
      </c>
      <c r="G16" s="17" t="n">
        <v>24400</v>
      </c>
      <c r="H16" s="17" t="n">
        <v>1600</v>
      </c>
      <c r="I16" s="17" t="n">
        <v>17080</v>
      </c>
      <c r="J16" s="17"/>
      <c r="K16" s="17"/>
      <c r="L16" s="17" t="n">
        <f aca="false">IF($D16&lt;&gt;"Monthly","",SUM($E16:$I16))</f>
        <v>111400</v>
      </c>
      <c r="M16" s="17" t="n">
        <f aca="false">IF($D16&lt;&gt;"Monthly","",$E16+$F16)</f>
        <v>68320</v>
      </c>
      <c r="N16" s="17" t="n">
        <f aca="false">IF($D16&lt;&gt;"Monthly","",$L16-$M16)</f>
        <v>43080</v>
      </c>
      <c r="O16" s="18" t="n">
        <f aca="false">IF($D16&lt;&gt;"Monthly","",$N16/$L16)</f>
        <v>0.386714542190305</v>
      </c>
      <c r="P16" s="17" t="n">
        <f aca="false">IF($D16&lt;&gt;"Monthly","",MAX(0,$N16-0.5*$L16))</f>
        <v>0</v>
      </c>
      <c r="Q16" s="17" t="n">
        <f aca="false">IF($D16&lt;&gt;"Monthly","",$M16+$P16)</f>
        <v>68320</v>
      </c>
    </row>
    <row r="17" customFormat="false" ht="15" hidden="false" customHeight="true" outlineLevel="0" collapsed="false">
      <c r="A17" s="11" t="s">
        <v>752</v>
      </c>
      <c r="B17" s="11" t="s">
        <v>753</v>
      </c>
      <c r="C17" s="11" t="s">
        <v>399</v>
      </c>
      <c r="D17" s="11" t="s">
        <v>402</v>
      </c>
      <c r="E17" s="19" t="n">
        <v>108250</v>
      </c>
      <c r="F17" s="19" t="n">
        <v>12990</v>
      </c>
      <c r="G17" s="19" t="n">
        <v>43300</v>
      </c>
      <c r="H17" s="19" t="n">
        <v>1600</v>
      </c>
      <c r="I17" s="19" t="n">
        <v>30310</v>
      </c>
      <c r="J17" s="19"/>
      <c r="K17" s="19"/>
      <c r="L17" s="19" t="n">
        <f aca="false">IF($D17&lt;&gt;"Monthly","",SUM($E17:$I17))</f>
        <v>196450</v>
      </c>
      <c r="M17" s="19" t="n">
        <f aca="false">IF($D17&lt;&gt;"Monthly","",$E17+$F17)</f>
        <v>121240</v>
      </c>
      <c r="N17" s="19" t="n">
        <f aca="false">IF($D17&lt;&gt;"Monthly","",$L17-$M17)</f>
        <v>75210</v>
      </c>
      <c r="O17" s="20" t="n">
        <f aca="false">IF($D17&lt;&gt;"Monthly","",$N17/$L17)</f>
        <v>0.38284550776279</v>
      </c>
      <c r="P17" s="19" t="n">
        <f aca="false">IF($D17&lt;&gt;"Monthly","",MAX(0,$N17-0.5*$L17))</f>
        <v>0</v>
      </c>
      <c r="Q17" s="19" t="n">
        <f aca="false">IF($D17&lt;&gt;"Monthly","",$M17+$P17)</f>
        <v>121240</v>
      </c>
    </row>
    <row r="18" customFormat="false" ht="15" hidden="false" customHeight="true" outlineLevel="0" collapsed="false">
      <c r="A18" s="9" t="s">
        <v>759</v>
      </c>
      <c r="B18" s="9" t="s">
        <v>760</v>
      </c>
      <c r="C18" s="9" t="s">
        <v>399</v>
      </c>
      <c r="D18" s="9" t="s">
        <v>402</v>
      </c>
      <c r="E18" s="17" t="n">
        <v>61500</v>
      </c>
      <c r="F18" s="17" t="n">
        <v>7380</v>
      </c>
      <c r="G18" s="17" t="n">
        <v>24600</v>
      </c>
      <c r="H18" s="17" t="n">
        <v>1600</v>
      </c>
      <c r="I18" s="17" t="n">
        <v>17220</v>
      </c>
      <c r="J18" s="17"/>
      <c r="K18" s="17"/>
      <c r="L18" s="17" t="n">
        <f aca="false">IF($D18&lt;&gt;"Monthly","",SUM($E18:$I18))</f>
        <v>112300</v>
      </c>
      <c r="M18" s="17" t="n">
        <f aca="false">IF($D18&lt;&gt;"Monthly","",$E18+$F18)</f>
        <v>68880</v>
      </c>
      <c r="N18" s="17" t="n">
        <f aca="false">IF($D18&lt;&gt;"Monthly","",$L18-$M18)</f>
        <v>43420</v>
      </c>
      <c r="O18" s="18" t="n">
        <f aca="false">IF($D18&lt;&gt;"Monthly","",$N18/$L18)</f>
        <v>0.386642920747996</v>
      </c>
      <c r="P18" s="17" t="n">
        <f aca="false">IF($D18&lt;&gt;"Monthly","",MAX(0,$N18-0.5*$L18))</f>
        <v>0</v>
      </c>
      <c r="Q18" s="17" t="n">
        <f aca="false">IF($D18&lt;&gt;"Monthly","",$M18+$P18)</f>
        <v>68880</v>
      </c>
    </row>
    <row r="19" customFormat="false" ht="15" hidden="false" customHeight="true" outlineLevel="0" collapsed="false">
      <c r="A19" s="11" t="s">
        <v>580</v>
      </c>
      <c r="B19" s="11" t="s">
        <v>766</v>
      </c>
      <c r="C19" s="11" t="s">
        <v>399</v>
      </c>
      <c r="D19" s="11" t="s">
        <v>402</v>
      </c>
      <c r="E19" s="19" t="n">
        <v>38250</v>
      </c>
      <c r="F19" s="19" t="n">
        <v>4590</v>
      </c>
      <c r="G19" s="19" t="n">
        <v>15300</v>
      </c>
      <c r="H19" s="19" t="n">
        <v>1600</v>
      </c>
      <c r="I19" s="19" t="n">
        <v>10710</v>
      </c>
      <c r="J19" s="19"/>
      <c r="K19" s="19"/>
      <c r="L19" s="19" t="n">
        <f aca="false">IF($D19&lt;&gt;"Monthly","",SUM($E19:$I19))</f>
        <v>70450</v>
      </c>
      <c r="M19" s="19" t="n">
        <f aca="false">IF($D19&lt;&gt;"Monthly","",$E19+$F19)</f>
        <v>42840</v>
      </c>
      <c r="N19" s="19" t="n">
        <f aca="false">IF($D19&lt;&gt;"Monthly","",$L19-$M19)</f>
        <v>27610</v>
      </c>
      <c r="O19" s="20" t="n">
        <f aca="false">IF($D19&lt;&gt;"Monthly","",$N19/$L19)</f>
        <v>0.391909155429383</v>
      </c>
      <c r="P19" s="19" t="n">
        <f aca="false">IF($D19&lt;&gt;"Monthly","",MAX(0,$N19-0.5*$L19))</f>
        <v>0</v>
      </c>
      <c r="Q19" s="19" t="n">
        <f aca="false">IF($D19&lt;&gt;"Monthly","",$M19+$P19)</f>
        <v>42840</v>
      </c>
    </row>
    <row r="20" customFormat="false" ht="15" hidden="false" customHeight="true" outlineLevel="0" collapsed="false">
      <c r="A20" s="9" t="s">
        <v>773</v>
      </c>
      <c r="B20" s="9" t="s">
        <v>774</v>
      </c>
      <c r="C20" s="9" t="s">
        <v>399</v>
      </c>
      <c r="D20" s="9" t="s">
        <v>402</v>
      </c>
      <c r="E20" s="17" t="n">
        <v>38500</v>
      </c>
      <c r="F20" s="17" t="n">
        <v>4620</v>
      </c>
      <c r="G20" s="17" t="n">
        <v>15400</v>
      </c>
      <c r="H20" s="17" t="n">
        <v>1600</v>
      </c>
      <c r="I20" s="17" t="n">
        <v>10780</v>
      </c>
      <c r="J20" s="17"/>
      <c r="K20" s="17"/>
      <c r="L20" s="17" t="n">
        <f aca="false">IF($D20&lt;&gt;"Monthly","",SUM($E20:$I20))</f>
        <v>70900</v>
      </c>
      <c r="M20" s="17" t="n">
        <f aca="false">IF($D20&lt;&gt;"Monthly","",$E20+$F20)</f>
        <v>43120</v>
      </c>
      <c r="N20" s="17" t="n">
        <f aca="false">IF($D20&lt;&gt;"Monthly","",$L20-$M20)</f>
        <v>27780</v>
      </c>
      <c r="O20" s="18" t="n">
        <f aca="false">IF($D20&lt;&gt;"Monthly","",$N20/$L20)</f>
        <v>0.391819464033851</v>
      </c>
      <c r="P20" s="17" t="n">
        <f aca="false">IF($D20&lt;&gt;"Monthly","",MAX(0,$N20-0.5*$L20))</f>
        <v>0</v>
      </c>
      <c r="Q20" s="17" t="n">
        <f aca="false">IF($D20&lt;&gt;"Monthly","",$M20+$P20)</f>
        <v>43120</v>
      </c>
    </row>
    <row r="21" customFormat="false" ht="15" hidden="false" customHeight="true" outlineLevel="0" collapsed="false">
      <c r="A21" s="11" t="s">
        <v>781</v>
      </c>
      <c r="B21" s="11" t="s">
        <v>782</v>
      </c>
      <c r="C21" s="11" t="s">
        <v>399</v>
      </c>
      <c r="D21" s="11" t="s">
        <v>402</v>
      </c>
      <c r="E21" s="19" t="n">
        <v>38750</v>
      </c>
      <c r="F21" s="19" t="n">
        <v>4650</v>
      </c>
      <c r="G21" s="19" t="n">
        <v>15500</v>
      </c>
      <c r="H21" s="19" t="n">
        <v>1600</v>
      </c>
      <c r="I21" s="19" t="n">
        <v>10850</v>
      </c>
      <c r="J21" s="19"/>
      <c r="K21" s="19"/>
      <c r="L21" s="19" t="n">
        <f aca="false">IF($D21&lt;&gt;"Monthly","",SUM($E21:$I21))</f>
        <v>71350</v>
      </c>
      <c r="M21" s="19" t="n">
        <f aca="false">IF($D21&lt;&gt;"Monthly","",$E21+$F21)</f>
        <v>43400</v>
      </c>
      <c r="N21" s="19" t="n">
        <f aca="false">IF($D21&lt;&gt;"Monthly","",$L21-$M21)</f>
        <v>27950</v>
      </c>
      <c r="O21" s="20" t="n">
        <f aca="false">IF($D21&lt;&gt;"Monthly","",$N21/$L21)</f>
        <v>0.391730903994394</v>
      </c>
      <c r="P21" s="19" t="n">
        <f aca="false">IF($D21&lt;&gt;"Monthly","",MAX(0,$N21-0.5*$L21))</f>
        <v>0</v>
      </c>
      <c r="Q21" s="19" t="n">
        <f aca="false">IF($D21&lt;&gt;"Monthly","",$M21+$P21)</f>
        <v>43400</v>
      </c>
    </row>
    <row r="22" customFormat="false" ht="15" hidden="false" customHeight="true" outlineLevel="0" collapsed="false">
      <c r="A22" s="9" t="s">
        <v>785</v>
      </c>
      <c r="B22" s="9" t="s">
        <v>786</v>
      </c>
      <c r="C22" s="9" t="s">
        <v>399</v>
      </c>
      <c r="D22" s="9" t="s">
        <v>402</v>
      </c>
      <c r="E22" s="17" t="n">
        <v>62500</v>
      </c>
      <c r="F22" s="17" t="n">
        <v>7500</v>
      </c>
      <c r="G22" s="17" t="n">
        <v>25000</v>
      </c>
      <c r="H22" s="17" t="n">
        <v>1600</v>
      </c>
      <c r="I22" s="17" t="n">
        <v>17500</v>
      </c>
      <c r="J22" s="17"/>
      <c r="K22" s="17"/>
      <c r="L22" s="17" t="n">
        <f aca="false">IF($D22&lt;&gt;"Monthly","",SUM($E22:$I22))</f>
        <v>114100</v>
      </c>
      <c r="M22" s="17" t="n">
        <f aca="false">IF($D22&lt;&gt;"Monthly","",$E22+$F22)</f>
        <v>70000</v>
      </c>
      <c r="N22" s="17" t="n">
        <f aca="false">IF($D22&lt;&gt;"Monthly","",$L22-$M22)</f>
        <v>44100</v>
      </c>
      <c r="O22" s="18" t="n">
        <f aca="false">IF($D22&lt;&gt;"Monthly","",$N22/$L22)</f>
        <v>0.386503067484663</v>
      </c>
      <c r="P22" s="17" t="n">
        <f aca="false">IF($D22&lt;&gt;"Monthly","",MAX(0,$N22-0.5*$L22))</f>
        <v>0</v>
      </c>
      <c r="Q22" s="17" t="n">
        <f aca="false">IF($D22&lt;&gt;"Monthly","",$M22+$P22)</f>
        <v>70000</v>
      </c>
    </row>
    <row r="23" customFormat="false" ht="15" hidden="false" customHeight="true" outlineLevel="0" collapsed="false">
      <c r="A23" s="11" t="s">
        <v>797</v>
      </c>
      <c r="B23" s="11" t="s">
        <v>798</v>
      </c>
      <c r="C23" s="11" t="s">
        <v>399</v>
      </c>
      <c r="D23" s="11" t="s">
        <v>402</v>
      </c>
      <c r="E23" s="19" t="n">
        <v>21500</v>
      </c>
      <c r="F23" s="19" t="n">
        <v>2580</v>
      </c>
      <c r="G23" s="19" t="n">
        <v>8600</v>
      </c>
      <c r="H23" s="19" t="n">
        <v>1600</v>
      </c>
      <c r="I23" s="19" t="n">
        <v>6020</v>
      </c>
      <c r="J23" s="19"/>
      <c r="K23" s="19"/>
      <c r="L23" s="19" t="n">
        <f aca="false">IF($D23&lt;&gt;"Monthly","",SUM($E23:$I23))</f>
        <v>40300</v>
      </c>
      <c r="M23" s="19" t="n">
        <f aca="false">IF($D23&lt;&gt;"Monthly","",$E23+$F23)</f>
        <v>24080</v>
      </c>
      <c r="N23" s="19" t="n">
        <f aca="false">IF($D23&lt;&gt;"Monthly","",$L23-$M23)</f>
        <v>16220</v>
      </c>
      <c r="O23" s="20" t="n">
        <f aca="false">IF($D23&lt;&gt;"Monthly","",$N23/$L23)</f>
        <v>0.402481389578164</v>
      </c>
      <c r="P23" s="19" t="n">
        <f aca="false">IF($D23&lt;&gt;"Monthly","",MAX(0,$N23-0.5*$L23))</f>
        <v>0</v>
      </c>
      <c r="Q23" s="19" t="n">
        <f aca="false">IF($D23&lt;&gt;"Monthly","",$M23+$P23)</f>
        <v>24080</v>
      </c>
    </row>
    <row r="24" customFormat="false" ht="15" hidden="false" customHeight="true" outlineLevel="0" collapsed="false">
      <c r="A24" s="9" t="s">
        <v>583</v>
      </c>
      <c r="B24" s="9" t="s">
        <v>805</v>
      </c>
      <c r="C24" s="9" t="s">
        <v>399</v>
      </c>
      <c r="D24" s="9" t="s">
        <v>402</v>
      </c>
      <c r="E24" s="17" t="n">
        <v>21750</v>
      </c>
      <c r="F24" s="17" t="n">
        <v>2610</v>
      </c>
      <c r="G24" s="17" t="n">
        <v>8700</v>
      </c>
      <c r="H24" s="17" t="n">
        <v>1600</v>
      </c>
      <c r="I24" s="17" t="n">
        <v>6090</v>
      </c>
      <c r="J24" s="17"/>
      <c r="K24" s="17"/>
      <c r="L24" s="17" t="n">
        <f aca="false">IF($D24&lt;&gt;"Monthly","",SUM($E24:$I24))</f>
        <v>40750</v>
      </c>
      <c r="M24" s="17" t="n">
        <f aca="false">IF($D24&lt;&gt;"Monthly","",$E24+$F24)</f>
        <v>24360</v>
      </c>
      <c r="N24" s="17" t="n">
        <f aca="false">IF($D24&lt;&gt;"Monthly","",$L24-$M24)</f>
        <v>16390</v>
      </c>
      <c r="O24" s="18" t="n">
        <f aca="false">IF($D24&lt;&gt;"Monthly","",$N24/$L24)</f>
        <v>0.402208588957055</v>
      </c>
      <c r="P24" s="17" t="n">
        <f aca="false">IF($D24&lt;&gt;"Monthly","",MAX(0,$N24-0.5*$L24))</f>
        <v>0</v>
      </c>
      <c r="Q24" s="17" t="n">
        <f aca="false">IF($D24&lt;&gt;"Monthly","",$M24+$P24)</f>
        <v>24360</v>
      </c>
    </row>
    <row r="25" customFormat="false" ht="15" hidden="false" customHeight="true" outlineLevel="0" collapsed="false">
      <c r="A25" s="11" t="s">
        <v>808</v>
      </c>
      <c r="B25" s="11" t="s">
        <v>809</v>
      </c>
      <c r="C25" s="11" t="s">
        <v>399</v>
      </c>
      <c r="D25" s="11" t="s">
        <v>402</v>
      </c>
      <c r="E25" s="19" t="n">
        <v>61500</v>
      </c>
      <c r="F25" s="19" t="n">
        <v>7380</v>
      </c>
      <c r="G25" s="19" t="n">
        <v>24600</v>
      </c>
      <c r="H25" s="19" t="n">
        <v>1600</v>
      </c>
      <c r="I25" s="19" t="n">
        <v>17220</v>
      </c>
      <c r="J25" s="19"/>
      <c r="K25" s="19"/>
      <c r="L25" s="19" t="n">
        <f aca="false">IF($D25&lt;&gt;"Monthly","",SUM($E25:$I25))</f>
        <v>112300</v>
      </c>
      <c r="M25" s="19" t="n">
        <f aca="false">IF($D25&lt;&gt;"Monthly","",$E25+$F25)</f>
        <v>68880</v>
      </c>
      <c r="N25" s="19" t="n">
        <f aca="false">IF($D25&lt;&gt;"Monthly","",$L25-$M25)</f>
        <v>43420</v>
      </c>
      <c r="O25" s="20" t="n">
        <f aca="false">IF($D25&lt;&gt;"Monthly","",$N25/$L25)</f>
        <v>0.386642920747996</v>
      </c>
      <c r="P25" s="19" t="n">
        <f aca="false">IF($D25&lt;&gt;"Monthly","",MAX(0,$N25-0.5*$L25))</f>
        <v>0</v>
      </c>
      <c r="Q25" s="19" t="n">
        <f aca="false">IF($D25&lt;&gt;"Monthly","",$M25+$P25)</f>
        <v>68880</v>
      </c>
    </row>
    <row r="26" customFormat="false" ht="15" hidden="false" customHeight="true" outlineLevel="0" collapsed="false">
      <c r="A26" s="9" t="s">
        <v>819</v>
      </c>
      <c r="B26" s="9" t="s">
        <v>820</v>
      </c>
      <c r="C26" s="9" t="s">
        <v>399</v>
      </c>
      <c r="D26" s="9" t="s">
        <v>402</v>
      </c>
      <c r="E26" s="17" t="n">
        <v>22250</v>
      </c>
      <c r="F26" s="17" t="n">
        <v>2670</v>
      </c>
      <c r="G26" s="17" t="n">
        <v>8900</v>
      </c>
      <c r="H26" s="17" t="n">
        <v>1600</v>
      </c>
      <c r="I26" s="17" t="n">
        <v>6230</v>
      </c>
      <c r="J26" s="17"/>
      <c r="K26" s="17"/>
      <c r="L26" s="17" t="n">
        <f aca="false">IF($D26&lt;&gt;"Monthly","",SUM($E26:$I26))</f>
        <v>41650</v>
      </c>
      <c r="M26" s="17" t="n">
        <f aca="false">IF($D26&lt;&gt;"Monthly","",$E26+$F26)</f>
        <v>24920</v>
      </c>
      <c r="N26" s="17" t="n">
        <f aca="false">IF($D26&lt;&gt;"Monthly","",$L26-$M26)</f>
        <v>16730</v>
      </c>
      <c r="O26" s="18" t="n">
        <f aca="false">IF($D26&lt;&gt;"Monthly","",$N26/$L26)</f>
        <v>0.401680672268908</v>
      </c>
      <c r="P26" s="17" t="n">
        <f aca="false">IF($D26&lt;&gt;"Monthly","",MAX(0,$N26-0.5*$L26))</f>
        <v>0</v>
      </c>
      <c r="Q26" s="17" t="n">
        <f aca="false">IF($D26&lt;&gt;"Monthly","",$M26+$P26)</f>
        <v>24920</v>
      </c>
    </row>
    <row r="27" customFormat="false" ht="15" hidden="false" customHeight="true" outlineLevel="0" collapsed="false">
      <c r="A27" s="11" t="s">
        <v>586</v>
      </c>
      <c r="B27" s="11" t="s">
        <v>826</v>
      </c>
      <c r="C27" s="11" t="s">
        <v>399</v>
      </c>
      <c r="D27" s="11" t="s">
        <v>402</v>
      </c>
      <c r="E27" s="19" t="n">
        <v>22500</v>
      </c>
      <c r="F27" s="19" t="n">
        <v>2700</v>
      </c>
      <c r="G27" s="19" t="n">
        <v>9000</v>
      </c>
      <c r="H27" s="19" t="n">
        <v>1600</v>
      </c>
      <c r="I27" s="19" t="n">
        <v>6300</v>
      </c>
      <c r="J27" s="19"/>
      <c r="K27" s="19"/>
      <c r="L27" s="19" t="n">
        <f aca="false">IF($D27&lt;&gt;"Monthly","",SUM($E27:$I27))</f>
        <v>42100</v>
      </c>
      <c r="M27" s="19" t="n">
        <f aca="false">IF($D27&lt;&gt;"Monthly","",$E27+$F27)</f>
        <v>25200</v>
      </c>
      <c r="N27" s="19" t="n">
        <f aca="false">IF($D27&lt;&gt;"Monthly","",$L27-$M27)</f>
        <v>16900</v>
      </c>
      <c r="O27" s="20" t="n">
        <f aca="false">IF($D27&lt;&gt;"Monthly","",$N27/$L27)</f>
        <v>0.401425178147268</v>
      </c>
      <c r="P27" s="19" t="n">
        <f aca="false">IF($D27&lt;&gt;"Monthly","",MAX(0,$N27-0.5*$L27))</f>
        <v>0</v>
      </c>
      <c r="Q27" s="19" t="n">
        <f aca="false">IF($D27&lt;&gt;"Monthly","",$M27+$P27)</f>
        <v>25200</v>
      </c>
    </row>
    <row r="28" customFormat="false" ht="15" hidden="false" customHeight="true" outlineLevel="0" collapsed="false">
      <c r="A28" s="9" t="s">
        <v>829</v>
      </c>
      <c r="B28" s="9" t="s">
        <v>830</v>
      </c>
      <c r="C28" s="9" t="s">
        <v>399</v>
      </c>
      <c r="D28" s="9" t="s">
        <v>402</v>
      </c>
      <c r="E28" s="17" t="n">
        <v>62250</v>
      </c>
      <c r="F28" s="17" t="n">
        <v>7470</v>
      </c>
      <c r="G28" s="17" t="n">
        <v>24900</v>
      </c>
      <c r="H28" s="17" t="n">
        <v>1600</v>
      </c>
      <c r="I28" s="17" t="n">
        <v>17430</v>
      </c>
      <c r="J28" s="17"/>
      <c r="K28" s="17"/>
      <c r="L28" s="17" t="n">
        <f aca="false">IF($D28&lt;&gt;"Monthly","",SUM($E28:$I28))</f>
        <v>113650</v>
      </c>
      <c r="M28" s="17" t="n">
        <f aca="false">IF($D28&lt;&gt;"Monthly","",$E28+$F28)</f>
        <v>69720</v>
      </c>
      <c r="N28" s="17" t="n">
        <f aca="false">IF($D28&lt;&gt;"Monthly","",$L28-$M28)</f>
        <v>43930</v>
      </c>
      <c r="O28" s="18" t="n">
        <f aca="false">IF($D28&lt;&gt;"Monthly","",$N28/$L28)</f>
        <v>0.386537615486142</v>
      </c>
      <c r="P28" s="17" t="n">
        <f aca="false">IF($D28&lt;&gt;"Monthly","",MAX(0,$N28-0.5*$L28))</f>
        <v>0</v>
      </c>
      <c r="Q28" s="17" t="n">
        <f aca="false">IF($D28&lt;&gt;"Monthly","",$M28+$P28)</f>
        <v>69720</v>
      </c>
    </row>
    <row r="29" customFormat="false" ht="15" hidden="false" customHeight="true" outlineLevel="0" collapsed="false">
      <c r="A29" s="11" t="s">
        <v>840</v>
      </c>
      <c r="B29" s="11" t="s">
        <v>841</v>
      </c>
      <c r="C29" s="11" t="s">
        <v>399</v>
      </c>
      <c r="D29" s="11" t="s">
        <v>402</v>
      </c>
      <c r="E29" s="19" t="n">
        <v>23000</v>
      </c>
      <c r="F29" s="19" t="n">
        <v>2760</v>
      </c>
      <c r="G29" s="19" t="n">
        <v>9200</v>
      </c>
      <c r="H29" s="19" t="n">
        <v>1600</v>
      </c>
      <c r="I29" s="19" t="n">
        <v>6440</v>
      </c>
      <c r="J29" s="19"/>
      <c r="K29" s="19"/>
      <c r="L29" s="19" t="n">
        <f aca="false">IF($D29&lt;&gt;"Monthly","",SUM($E29:$I29))</f>
        <v>43000</v>
      </c>
      <c r="M29" s="19" t="n">
        <f aca="false">IF($D29&lt;&gt;"Monthly","",$E29+$F29)</f>
        <v>25760</v>
      </c>
      <c r="N29" s="19" t="n">
        <f aca="false">IF($D29&lt;&gt;"Monthly","",$L29-$M29)</f>
        <v>17240</v>
      </c>
      <c r="O29" s="20" t="n">
        <f aca="false">IF($D29&lt;&gt;"Monthly","",$N29/$L29)</f>
        <v>0.40093023255814</v>
      </c>
      <c r="P29" s="19" t="n">
        <f aca="false">IF($D29&lt;&gt;"Monthly","",MAX(0,$N29-0.5*$L29))</f>
        <v>0</v>
      </c>
      <c r="Q29" s="19" t="n">
        <f aca="false">IF($D29&lt;&gt;"Monthly","",$M29+$P29)</f>
        <v>25760</v>
      </c>
    </row>
    <row r="30" customFormat="false" ht="15" hidden="false" customHeight="true" outlineLevel="0" collapsed="false">
      <c r="A30" s="9" t="s">
        <v>848</v>
      </c>
      <c r="B30" s="9" t="s">
        <v>849</v>
      </c>
      <c r="C30" s="9" t="s">
        <v>399</v>
      </c>
      <c r="D30" s="9" t="s">
        <v>402</v>
      </c>
      <c r="E30" s="17" t="n">
        <v>21500</v>
      </c>
      <c r="F30" s="17" t="n">
        <v>2580</v>
      </c>
      <c r="G30" s="17" t="n">
        <v>8600</v>
      </c>
      <c r="H30" s="17" t="n">
        <v>1600</v>
      </c>
      <c r="I30" s="17" t="n">
        <v>6020</v>
      </c>
      <c r="J30" s="17"/>
      <c r="K30" s="17"/>
      <c r="L30" s="17" t="n">
        <f aca="false">IF($D30&lt;&gt;"Monthly","",SUM($E30:$I30))</f>
        <v>40300</v>
      </c>
      <c r="M30" s="17" t="n">
        <f aca="false">IF($D30&lt;&gt;"Monthly","",$E30+$F30)</f>
        <v>24080</v>
      </c>
      <c r="N30" s="17" t="n">
        <f aca="false">IF($D30&lt;&gt;"Monthly","",$L30-$M30)</f>
        <v>16220</v>
      </c>
      <c r="O30" s="18" t="n">
        <f aca="false">IF($D30&lt;&gt;"Monthly","",$N30/$L30)</f>
        <v>0.402481389578164</v>
      </c>
      <c r="P30" s="17" t="n">
        <f aca="false">IF($D30&lt;&gt;"Monthly","",MAX(0,$N30-0.5*$L30))</f>
        <v>0</v>
      </c>
      <c r="Q30" s="17" t="n">
        <f aca="false">IF($D30&lt;&gt;"Monthly","",$M30+$P30)</f>
        <v>24080</v>
      </c>
    </row>
    <row r="31" customFormat="false" ht="15" hidden="false" customHeight="true" outlineLevel="0" collapsed="false">
      <c r="A31" s="11" t="s">
        <v>855</v>
      </c>
      <c r="B31" s="11" t="s">
        <v>856</v>
      </c>
      <c r="C31" s="11" t="s">
        <v>408</v>
      </c>
      <c r="D31" s="11" t="s">
        <v>402</v>
      </c>
      <c r="E31" s="19" t="n">
        <v>13750</v>
      </c>
      <c r="F31" s="19" t="n">
        <v>1650</v>
      </c>
      <c r="G31" s="19" t="n">
        <v>5500</v>
      </c>
      <c r="H31" s="19" t="n">
        <v>1600</v>
      </c>
      <c r="I31" s="19" t="n">
        <v>3850</v>
      </c>
      <c r="J31" s="19"/>
      <c r="K31" s="19"/>
      <c r="L31" s="19" t="n">
        <f aca="false">IF($D31&lt;&gt;"Monthly","",SUM($E31:$I31))</f>
        <v>26350</v>
      </c>
      <c r="M31" s="19" t="n">
        <f aca="false">IF($D31&lt;&gt;"Monthly","",$E31+$F31)</f>
        <v>15400</v>
      </c>
      <c r="N31" s="19" t="n">
        <f aca="false">IF($D31&lt;&gt;"Monthly","",$L31-$M31)</f>
        <v>10950</v>
      </c>
      <c r="O31" s="20" t="n">
        <f aca="false">IF($D31&lt;&gt;"Monthly","",$N31/$L31)</f>
        <v>0.415559772296015</v>
      </c>
      <c r="P31" s="19" t="n">
        <f aca="false">IF($D31&lt;&gt;"Monthly","",MAX(0,$N31-0.5*$L31))</f>
        <v>0</v>
      </c>
      <c r="Q31" s="19" t="n">
        <f aca="false">IF($D31&lt;&gt;"Monthly","",$M31+$P31)</f>
        <v>15400</v>
      </c>
    </row>
    <row r="32" customFormat="false" ht="15" hidden="false" customHeight="true" outlineLevel="0" collapsed="false">
      <c r="A32" s="9" t="s">
        <v>867</v>
      </c>
      <c r="B32" s="9" t="s">
        <v>868</v>
      </c>
      <c r="C32" s="9" t="s">
        <v>408</v>
      </c>
      <c r="D32" s="9" t="s">
        <v>402</v>
      </c>
      <c r="E32" s="17" t="n">
        <v>14000</v>
      </c>
      <c r="F32" s="17" t="n">
        <v>1680</v>
      </c>
      <c r="G32" s="17" t="n">
        <v>5600</v>
      </c>
      <c r="H32" s="17" t="n">
        <v>1600</v>
      </c>
      <c r="I32" s="17" t="n">
        <v>3920</v>
      </c>
      <c r="J32" s="17"/>
      <c r="K32" s="17"/>
      <c r="L32" s="17" t="n">
        <f aca="false">IF($D32&lt;&gt;"Monthly","",SUM($E32:$I32))</f>
        <v>26800</v>
      </c>
      <c r="M32" s="17" t="n">
        <f aca="false">IF($D32&lt;&gt;"Monthly","",$E32+$F32)</f>
        <v>15680</v>
      </c>
      <c r="N32" s="17" t="n">
        <f aca="false">IF($D32&lt;&gt;"Monthly","",$L32-$M32)</f>
        <v>11120</v>
      </c>
      <c r="O32" s="18" t="n">
        <f aca="false">IF($D32&lt;&gt;"Monthly","",$N32/$L32)</f>
        <v>0.414925373134328</v>
      </c>
      <c r="P32" s="17" t="n">
        <f aca="false">IF($D32&lt;&gt;"Monthly","",MAX(0,$N32-0.5*$L32))</f>
        <v>0</v>
      </c>
      <c r="Q32" s="17" t="n">
        <f aca="false">IF($D32&lt;&gt;"Monthly","",$M32+$P32)</f>
        <v>15680</v>
      </c>
    </row>
    <row r="33" customFormat="false" ht="15" hidden="false" customHeight="true" outlineLevel="0" collapsed="false">
      <c r="A33" s="11" t="s">
        <v>875</v>
      </c>
      <c r="B33" s="11" t="s">
        <v>876</v>
      </c>
      <c r="C33" s="11" t="s">
        <v>416</v>
      </c>
      <c r="D33" s="11" t="s">
        <v>419</v>
      </c>
      <c r="E33" s="19"/>
      <c r="F33" s="19"/>
      <c r="G33" s="19"/>
      <c r="H33" s="19"/>
      <c r="I33" s="19"/>
      <c r="J33" s="19" t="n">
        <v>650</v>
      </c>
      <c r="K33" s="19"/>
      <c r="L33" s="19" t="str">
        <f aca="false">IF($D33&lt;&gt;"Monthly","",SUM($E33:$I33))</f>
        <v/>
      </c>
      <c r="M33" s="19" t="str">
        <f aca="false">IF($D33&lt;&gt;"Monthly","",$E33+$F33)</f>
        <v/>
      </c>
      <c r="N33" s="19" t="str">
        <f aca="false">IF($D33&lt;&gt;"Monthly","",$L33-$M33)</f>
        <v/>
      </c>
      <c r="O33" s="20" t="str">
        <f aca="false">IF($D33&lt;&gt;"Monthly","",$N33/$L33)</f>
        <v/>
      </c>
      <c r="P33" s="19" t="str">
        <f aca="false">IF($D33&lt;&gt;"Monthly","",MAX(0,$N33-0.5*$L33))</f>
        <v/>
      </c>
      <c r="Q33" s="19" t="str">
        <f aca="false">IF($D33&lt;&gt;"Monthly","",$M33+$P33)</f>
        <v/>
      </c>
    </row>
    <row r="34" customFormat="false" ht="15" hidden="false" customHeight="true" outlineLevel="0" collapsed="false">
      <c r="A34" s="9" t="s">
        <v>886</v>
      </c>
      <c r="B34" s="9" t="s">
        <v>887</v>
      </c>
      <c r="C34" s="9" t="s">
        <v>416</v>
      </c>
      <c r="D34" s="9" t="s">
        <v>419</v>
      </c>
      <c r="E34" s="17"/>
      <c r="F34" s="17"/>
      <c r="G34" s="17"/>
      <c r="H34" s="17"/>
      <c r="I34" s="17"/>
      <c r="J34" s="17" t="n">
        <v>665</v>
      </c>
      <c r="K34" s="17"/>
      <c r="L34" s="17" t="str">
        <f aca="false">IF($D34&lt;&gt;"Monthly","",SUM($E34:$I34))</f>
        <v/>
      </c>
      <c r="M34" s="17" t="str">
        <f aca="false">IF($D34&lt;&gt;"Monthly","",$E34+$F34)</f>
        <v/>
      </c>
      <c r="N34" s="17" t="str">
        <f aca="false">IF($D34&lt;&gt;"Monthly","",$L34-$M34)</f>
        <v/>
      </c>
      <c r="O34" s="18" t="str">
        <f aca="false">IF($D34&lt;&gt;"Monthly","",$N34/$L34)</f>
        <v/>
      </c>
      <c r="P34" s="17" t="str">
        <f aca="false">IF($D34&lt;&gt;"Monthly","",MAX(0,$N34-0.5*$L34))</f>
        <v/>
      </c>
      <c r="Q34" s="17" t="str">
        <f aca="false">IF($D34&lt;&gt;"Monthly","",$M34+$P34)</f>
        <v/>
      </c>
    </row>
    <row r="35" customFormat="false" ht="15" hidden="false" customHeight="true" outlineLevel="0" collapsed="false">
      <c r="A35" s="11" t="s">
        <v>894</v>
      </c>
      <c r="B35" s="11" t="s">
        <v>895</v>
      </c>
      <c r="C35" s="11" t="s">
        <v>421</v>
      </c>
      <c r="D35" s="11" t="s">
        <v>402</v>
      </c>
      <c r="E35" s="19" t="n">
        <v>22750</v>
      </c>
      <c r="F35" s="19" t="n">
        <v>2730</v>
      </c>
      <c r="G35" s="19" t="n">
        <v>9100</v>
      </c>
      <c r="H35" s="19" t="n">
        <v>1600</v>
      </c>
      <c r="I35" s="19" t="n">
        <v>6370</v>
      </c>
      <c r="J35" s="19"/>
      <c r="K35" s="19"/>
      <c r="L35" s="19" t="n">
        <f aca="false">IF($D35&lt;&gt;"Monthly","",SUM($E35:$I35))</f>
        <v>42550</v>
      </c>
      <c r="M35" s="19" t="n">
        <f aca="false">IF($D35&lt;&gt;"Monthly","",$E35+$F35)</f>
        <v>25480</v>
      </c>
      <c r="N35" s="19" t="n">
        <f aca="false">IF($D35&lt;&gt;"Monthly","",$L35-$M35)</f>
        <v>17070</v>
      </c>
      <c r="O35" s="20" t="n">
        <f aca="false">IF($D35&lt;&gt;"Monthly","",$N35/$L35)</f>
        <v>0.40117508813161</v>
      </c>
      <c r="P35" s="19" t="n">
        <f aca="false">IF($D35&lt;&gt;"Monthly","",MAX(0,$N35-0.5*$L35))</f>
        <v>0</v>
      </c>
      <c r="Q35" s="19" t="n">
        <f aca="false">IF($D35&lt;&gt;"Monthly","",$M35+$P35)</f>
        <v>25480</v>
      </c>
    </row>
    <row r="36" customFormat="false" ht="15" hidden="false" customHeight="true" outlineLevel="0" collapsed="false">
      <c r="A36" s="9" t="s">
        <v>907</v>
      </c>
      <c r="B36" s="9" t="s">
        <v>908</v>
      </c>
      <c r="C36" s="9" t="s">
        <v>421</v>
      </c>
      <c r="D36" s="9" t="s">
        <v>402</v>
      </c>
      <c r="E36" s="17" t="n">
        <v>23000</v>
      </c>
      <c r="F36" s="17" t="n">
        <v>2760</v>
      </c>
      <c r="G36" s="17" t="n">
        <v>9200</v>
      </c>
      <c r="H36" s="17" t="n">
        <v>1600</v>
      </c>
      <c r="I36" s="17" t="n">
        <v>6440</v>
      </c>
      <c r="J36" s="17"/>
      <c r="K36" s="17"/>
      <c r="L36" s="17" t="n">
        <f aca="false">IF($D36&lt;&gt;"Monthly","",SUM($E36:$I36))</f>
        <v>43000</v>
      </c>
      <c r="M36" s="17" t="n">
        <f aca="false">IF($D36&lt;&gt;"Monthly","",$E36+$F36)</f>
        <v>25760</v>
      </c>
      <c r="N36" s="17" t="n">
        <f aca="false">IF($D36&lt;&gt;"Monthly","",$L36-$M36)</f>
        <v>17240</v>
      </c>
      <c r="O36" s="18" t="n">
        <f aca="false">IF($D36&lt;&gt;"Monthly","",$N36/$L36)</f>
        <v>0.40093023255814</v>
      </c>
      <c r="P36" s="17" t="n">
        <f aca="false">IF($D36&lt;&gt;"Monthly","",MAX(0,$N36-0.5*$L36))</f>
        <v>0</v>
      </c>
      <c r="Q36" s="17" t="n">
        <f aca="false">IF($D36&lt;&gt;"Monthly","",$M36+$P36)</f>
        <v>25760</v>
      </c>
    </row>
    <row r="37" customFormat="false" ht="15" hidden="false" customHeight="true" outlineLevel="0" collapsed="false">
      <c r="A37" s="11" t="s">
        <v>914</v>
      </c>
      <c r="B37" s="11" t="s">
        <v>915</v>
      </c>
      <c r="C37" s="11" t="s">
        <v>426</v>
      </c>
      <c r="D37" s="11" t="s">
        <v>419</v>
      </c>
      <c r="E37" s="19"/>
      <c r="F37" s="19"/>
      <c r="G37" s="19"/>
      <c r="H37" s="19"/>
      <c r="I37" s="19"/>
      <c r="J37" s="19" t="n">
        <v>635</v>
      </c>
      <c r="K37" s="19"/>
      <c r="L37" s="19" t="str">
        <f aca="false">IF($D37&lt;&gt;"Monthly","",SUM($E37:$I37))</f>
        <v/>
      </c>
      <c r="M37" s="19" t="str">
        <f aca="false">IF($D37&lt;&gt;"Monthly","",$E37+$F37)</f>
        <v/>
      </c>
      <c r="N37" s="19" t="str">
        <f aca="false">IF($D37&lt;&gt;"Monthly","",$L37-$M37)</f>
        <v/>
      </c>
      <c r="O37" s="20" t="str">
        <f aca="false">IF($D37&lt;&gt;"Monthly","",$N37/$L37)</f>
        <v/>
      </c>
      <c r="P37" s="19" t="str">
        <f aca="false">IF($D37&lt;&gt;"Monthly","",MAX(0,$N37-0.5*$L37))</f>
        <v/>
      </c>
      <c r="Q37" s="19" t="str">
        <f aca="false">IF($D37&lt;&gt;"Monthly","",$M37+$P37)</f>
        <v/>
      </c>
    </row>
    <row r="38" customFormat="false" ht="15" hidden="false" customHeight="true" outlineLevel="0" collapsed="false">
      <c r="A38" s="9" t="s">
        <v>589</v>
      </c>
      <c r="B38" s="9" t="s">
        <v>918</v>
      </c>
      <c r="C38" s="9" t="s">
        <v>399</v>
      </c>
      <c r="D38" s="9" t="s">
        <v>402</v>
      </c>
      <c r="E38" s="17" t="n">
        <v>21750</v>
      </c>
      <c r="F38" s="17" t="n">
        <v>2610</v>
      </c>
      <c r="G38" s="17" t="n">
        <v>8700</v>
      </c>
      <c r="H38" s="17" t="n">
        <v>1600</v>
      </c>
      <c r="I38" s="17" t="n">
        <v>6090</v>
      </c>
      <c r="J38" s="17"/>
      <c r="K38" s="17"/>
      <c r="L38" s="17" t="n">
        <f aca="false">IF($D38&lt;&gt;"Monthly","",SUM($E38:$I38))</f>
        <v>40750</v>
      </c>
      <c r="M38" s="17" t="n">
        <f aca="false">IF($D38&lt;&gt;"Monthly","",$E38+$F38)</f>
        <v>24360</v>
      </c>
      <c r="N38" s="17" t="n">
        <f aca="false">IF($D38&lt;&gt;"Monthly","",$L38-$M38)</f>
        <v>16390</v>
      </c>
      <c r="O38" s="18" t="n">
        <f aca="false">IF($D38&lt;&gt;"Monthly","",$N38/$L38)</f>
        <v>0.402208588957055</v>
      </c>
      <c r="P38" s="17" t="n">
        <f aca="false">IF($D38&lt;&gt;"Monthly","",MAX(0,$N38-0.5*$L38))</f>
        <v>0</v>
      </c>
      <c r="Q38" s="17" t="n">
        <f aca="false">IF($D38&lt;&gt;"Monthly","",$M38+$P38)</f>
        <v>24360</v>
      </c>
    </row>
    <row r="39" customFormat="false" ht="15" hidden="false" customHeight="true" outlineLevel="0" collapsed="false">
      <c r="A39" s="11" t="s">
        <v>930</v>
      </c>
      <c r="B39" s="11" t="s">
        <v>931</v>
      </c>
      <c r="C39" s="11" t="s">
        <v>426</v>
      </c>
      <c r="D39" s="11" t="s">
        <v>419</v>
      </c>
      <c r="E39" s="19"/>
      <c r="F39" s="19"/>
      <c r="G39" s="19"/>
      <c r="H39" s="19"/>
      <c r="I39" s="19"/>
      <c r="J39" s="19" t="n">
        <v>665</v>
      </c>
      <c r="K39" s="19"/>
      <c r="L39" s="19" t="str">
        <f aca="false">IF($D39&lt;&gt;"Monthly","",SUM($E39:$I39))</f>
        <v/>
      </c>
      <c r="M39" s="19" t="str">
        <f aca="false">IF($D39&lt;&gt;"Monthly","",$E39+$F39)</f>
        <v/>
      </c>
      <c r="N39" s="19" t="str">
        <f aca="false">IF($D39&lt;&gt;"Monthly","",$L39-$M39)</f>
        <v/>
      </c>
      <c r="O39" s="20" t="str">
        <f aca="false">IF($D39&lt;&gt;"Monthly","",$N39/$L39)</f>
        <v/>
      </c>
      <c r="P39" s="19" t="str">
        <f aca="false">IF($D39&lt;&gt;"Monthly","",MAX(0,$N39-0.5*$L39))</f>
        <v/>
      </c>
      <c r="Q39" s="19" t="str">
        <f aca="false">IF($D39&lt;&gt;"Monthly","",$M39+$P39)</f>
        <v/>
      </c>
    </row>
    <row r="40" customFormat="false" ht="15" hidden="false" customHeight="true" outlineLevel="0" collapsed="false">
      <c r="A40" s="9" t="s">
        <v>938</v>
      </c>
      <c r="B40" s="9" t="s">
        <v>939</v>
      </c>
      <c r="C40" s="9" t="s">
        <v>399</v>
      </c>
      <c r="D40" s="9" t="s">
        <v>402</v>
      </c>
      <c r="E40" s="17" t="n">
        <v>108750</v>
      </c>
      <c r="F40" s="17" t="n">
        <v>13050</v>
      </c>
      <c r="G40" s="17" t="n">
        <v>43500</v>
      </c>
      <c r="H40" s="17" t="n">
        <v>1600</v>
      </c>
      <c r="I40" s="17" t="n">
        <v>30450</v>
      </c>
      <c r="J40" s="17"/>
      <c r="K40" s="17"/>
      <c r="L40" s="17" t="n">
        <f aca="false">IF($D40&lt;&gt;"Monthly","",SUM($E40:$I40))</f>
        <v>197350</v>
      </c>
      <c r="M40" s="17" t="n">
        <f aca="false">IF($D40&lt;&gt;"Monthly","",$E40+$F40)</f>
        <v>121800</v>
      </c>
      <c r="N40" s="17" t="n">
        <f aca="false">IF($D40&lt;&gt;"Monthly","",$L40-$M40)</f>
        <v>75550</v>
      </c>
      <c r="O40" s="18" t="n">
        <f aca="false">IF($D40&lt;&gt;"Monthly","",$N40/$L40)</f>
        <v>0.382822396757031</v>
      </c>
      <c r="P40" s="17" t="n">
        <f aca="false">IF($D40&lt;&gt;"Monthly","",MAX(0,$N40-0.5*$L40))</f>
        <v>0</v>
      </c>
      <c r="Q40" s="17" t="n">
        <f aca="false">IF($D40&lt;&gt;"Monthly","",$M40+$P40)</f>
        <v>121800</v>
      </c>
    </row>
    <row r="41" customFormat="false" ht="15" hidden="false" customHeight="true" outlineLevel="0" collapsed="false">
      <c r="A41" s="11" t="s">
        <v>945</v>
      </c>
      <c r="B41" s="11" t="s">
        <v>946</v>
      </c>
      <c r="C41" s="11" t="s">
        <v>399</v>
      </c>
      <c r="D41" s="11" t="s">
        <v>402</v>
      </c>
      <c r="E41" s="19" t="n">
        <v>62000</v>
      </c>
      <c r="F41" s="19" t="n">
        <v>7440</v>
      </c>
      <c r="G41" s="19" t="n">
        <v>24800</v>
      </c>
      <c r="H41" s="19" t="n">
        <v>1600</v>
      </c>
      <c r="I41" s="19" t="n">
        <v>17360</v>
      </c>
      <c r="J41" s="19"/>
      <c r="K41" s="19"/>
      <c r="L41" s="19" t="n">
        <f aca="false">IF($D41&lt;&gt;"Monthly","",SUM($E41:$I41))</f>
        <v>113200</v>
      </c>
      <c r="M41" s="19" t="n">
        <f aca="false">IF($D41&lt;&gt;"Monthly","",$E41+$F41)</f>
        <v>69440</v>
      </c>
      <c r="N41" s="19" t="n">
        <f aca="false">IF($D41&lt;&gt;"Monthly","",$L41-$M41)</f>
        <v>43760</v>
      </c>
      <c r="O41" s="20" t="n">
        <f aca="false">IF($D41&lt;&gt;"Monthly","",$N41/$L41)</f>
        <v>0.386572438162544</v>
      </c>
      <c r="P41" s="19" t="n">
        <f aca="false">IF($D41&lt;&gt;"Monthly","",MAX(0,$N41-0.5*$L41))</f>
        <v>0</v>
      </c>
      <c r="Q41" s="19" t="n">
        <f aca="false">IF($D41&lt;&gt;"Monthly","",$M41+$P41)</f>
        <v>69440</v>
      </c>
    </row>
    <row r="42" customFormat="false" ht="15" hidden="false" customHeight="true" outlineLevel="0" collapsed="false">
      <c r="A42" s="9" t="s">
        <v>953</v>
      </c>
      <c r="B42" s="9" t="s">
        <v>954</v>
      </c>
      <c r="C42" s="9" t="s">
        <v>399</v>
      </c>
      <c r="D42" s="9" t="s">
        <v>402</v>
      </c>
      <c r="E42" s="17" t="n">
        <v>38750</v>
      </c>
      <c r="F42" s="17" t="n">
        <v>4650</v>
      </c>
      <c r="G42" s="17" t="n">
        <v>15500</v>
      </c>
      <c r="H42" s="17" t="n">
        <v>1600</v>
      </c>
      <c r="I42" s="17" t="n">
        <v>10850</v>
      </c>
      <c r="J42" s="17"/>
      <c r="K42" s="17"/>
      <c r="L42" s="17" t="n">
        <f aca="false">IF($D42&lt;&gt;"Monthly","",SUM($E42:$I42))</f>
        <v>71350</v>
      </c>
      <c r="M42" s="17" t="n">
        <f aca="false">IF($D42&lt;&gt;"Monthly","",$E42+$F42)</f>
        <v>43400</v>
      </c>
      <c r="N42" s="17" t="n">
        <f aca="false">IF($D42&lt;&gt;"Monthly","",$L42-$M42)</f>
        <v>27950</v>
      </c>
      <c r="O42" s="18" t="n">
        <f aca="false">IF($D42&lt;&gt;"Monthly","",$N42/$L42)</f>
        <v>0.391730903994394</v>
      </c>
      <c r="P42" s="17" t="n">
        <f aca="false">IF($D42&lt;&gt;"Monthly","",MAX(0,$N42-0.5*$L42))</f>
        <v>0</v>
      </c>
      <c r="Q42" s="17" t="n">
        <f aca="false">IF($D42&lt;&gt;"Monthly","",$M42+$P42)</f>
        <v>43400</v>
      </c>
    </row>
    <row r="43" customFormat="false" ht="15" hidden="false" customHeight="true" outlineLevel="0" collapsed="false">
      <c r="A43" s="11" t="s">
        <v>961</v>
      </c>
      <c r="B43" s="11" t="s">
        <v>962</v>
      </c>
      <c r="C43" s="11" t="s">
        <v>399</v>
      </c>
      <c r="D43" s="11" t="s">
        <v>402</v>
      </c>
      <c r="E43" s="19" t="n">
        <v>39000</v>
      </c>
      <c r="F43" s="19" t="n">
        <v>4680</v>
      </c>
      <c r="G43" s="19" t="n">
        <v>15600</v>
      </c>
      <c r="H43" s="19" t="n">
        <v>1600</v>
      </c>
      <c r="I43" s="19" t="n">
        <v>10920</v>
      </c>
      <c r="J43" s="19"/>
      <c r="K43" s="19"/>
      <c r="L43" s="19" t="n">
        <f aca="false">IF($D43&lt;&gt;"Monthly","",SUM($E43:$I43))</f>
        <v>71800</v>
      </c>
      <c r="M43" s="19" t="n">
        <f aca="false">IF($D43&lt;&gt;"Monthly","",$E43+$F43)</f>
        <v>43680</v>
      </c>
      <c r="N43" s="19" t="n">
        <f aca="false">IF($D43&lt;&gt;"Monthly","",$L43-$M43)</f>
        <v>28120</v>
      </c>
      <c r="O43" s="20" t="n">
        <f aca="false">IF($D43&lt;&gt;"Monthly","",$N43/$L43)</f>
        <v>0.391643454038997</v>
      </c>
      <c r="P43" s="19" t="n">
        <f aca="false">IF($D43&lt;&gt;"Monthly","",MAX(0,$N43-0.5*$L43))</f>
        <v>0</v>
      </c>
      <c r="Q43" s="19" t="n">
        <f aca="false">IF($D43&lt;&gt;"Monthly","",$M43+$P43)</f>
        <v>43680</v>
      </c>
    </row>
    <row r="44" customFormat="false" ht="15" hidden="false" customHeight="true" outlineLevel="0" collapsed="false">
      <c r="A44" s="9" t="s">
        <v>970</v>
      </c>
      <c r="B44" s="9" t="s">
        <v>971</v>
      </c>
      <c r="C44" s="9" t="s">
        <v>399</v>
      </c>
      <c r="D44" s="9" t="s">
        <v>402</v>
      </c>
      <c r="E44" s="17" t="n">
        <v>21500</v>
      </c>
      <c r="F44" s="17" t="n">
        <v>2580</v>
      </c>
      <c r="G44" s="17" t="n">
        <v>8600</v>
      </c>
      <c r="H44" s="17" t="n">
        <v>1600</v>
      </c>
      <c r="I44" s="17" t="n">
        <v>6020</v>
      </c>
      <c r="J44" s="17"/>
      <c r="K44" s="17"/>
      <c r="L44" s="17" t="n">
        <f aca="false">IF($D44&lt;&gt;"Monthly","",SUM($E44:$I44))</f>
        <v>40300</v>
      </c>
      <c r="M44" s="17" t="n">
        <f aca="false">IF($D44&lt;&gt;"Monthly","",$E44+$F44)</f>
        <v>24080</v>
      </c>
      <c r="N44" s="17" t="n">
        <f aca="false">IF($D44&lt;&gt;"Monthly","",$L44-$M44)</f>
        <v>16220</v>
      </c>
      <c r="O44" s="18" t="n">
        <f aca="false">IF($D44&lt;&gt;"Monthly","",$N44/$L44)</f>
        <v>0.402481389578164</v>
      </c>
      <c r="P44" s="17" t="n">
        <f aca="false">IF($D44&lt;&gt;"Monthly","",MAX(0,$N44-0.5*$L44))</f>
        <v>0</v>
      </c>
      <c r="Q44" s="17" t="n">
        <f aca="false">IF($D44&lt;&gt;"Monthly","",$M44+$P44)</f>
        <v>24080</v>
      </c>
    </row>
    <row r="45" customFormat="false" ht="15" hidden="false" customHeight="true" outlineLevel="0" collapsed="false">
      <c r="A45" s="11" t="s">
        <v>978</v>
      </c>
      <c r="B45" s="11" t="s">
        <v>979</v>
      </c>
      <c r="C45" s="11" t="s">
        <v>399</v>
      </c>
      <c r="D45" s="11" t="s">
        <v>402</v>
      </c>
      <c r="E45" s="19" t="n">
        <v>21750</v>
      </c>
      <c r="F45" s="19" t="n">
        <v>2610</v>
      </c>
      <c r="G45" s="19" t="n">
        <v>8700</v>
      </c>
      <c r="H45" s="19" t="n">
        <v>1600</v>
      </c>
      <c r="I45" s="19" t="n">
        <v>6090</v>
      </c>
      <c r="J45" s="19"/>
      <c r="K45" s="19"/>
      <c r="L45" s="19" t="n">
        <f aca="false">IF($D45&lt;&gt;"Monthly","",SUM($E45:$I45))</f>
        <v>40750</v>
      </c>
      <c r="M45" s="19" t="n">
        <f aca="false">IF($D45&lt;&gt;"Monthly","",$E45+$F45)</f>
        <v>24360</v>
      </c>
      <c r="N45" s="19" t="n">
        <f aca="false">IF($D45&lt;&gt;"Monthly","",$L45-$M45)</f>
        <v>16390</v>
      </c>
      <c r="O45" s="20" t="n">
        <f aca="false">IF($D45&lt;&gt;"Monthly","",$N45/$L45)</f>
        <v>0.402208588957055</v>
      </c>
      <c r="P45" s="19" t="n">
        <f aca="false">IF($D45&lt;&gt;"Monthly","",MAX(0,$N45-0.5*$L45))</f>
        <v>0</v>
      </c>
      <c r="Q45" s="19" t="n">
        <f aca="false">IF($D45&lt;&gt;"Monthly","",$M45+$P45)</f>
        <v>24360</v>
      </c>
    </row>
    <row r="46" customFormat="false" ht="15" hidden="false" customHeight="true" outlineLevel="0" collapsed="false">
      <c r="A46" s="9" t="s">
        <v>986</v>
      </c>
      <c r="B46" s="9" t="s">
        <v>987</v>
      </c>
      <c r="C46" s="9" t="s">
        <v>399</v>
      </c>
      <c r="D46" s="9" t="s">
        <v>402</v>
      </c>
      <c r="E46" s="17" t="n">
        <v>22000</v>
      </c>
      <c r="F46" s="17" t="n">
        <v>2640</v>
      </c>
      <c r="G46" s="17" t="n">
        <v>8800</v>
      </c>
      <c r="H46" s="17" t="n">
        <v>1600</v>
      </c>
      <c r="I46" s="17" t="n">
        <v>6160</v>
      </c>
      <c r="J46" s="17"/>
      <c r="K46" s="17"/>
      <c r="L46" s="17" t="n">
        <f aca="false">IF($D46&lt;&gt;"Monthly","",SUM($E46:$I46))</f>
        <v>41200</v>
      </c>
      <c r="M46" s="17" t="n">
        <f aca="false">IF($D46&lt;&gt;"Monthly","",$E46+$F46)</f>
        <v>24640</v>
      </c>
      <c r="N46" s="17" t="n">
        <f aca="false">IF($D46&lt;&gt;"Monthly","",$L46-$M46)</f>
        <v>16560</v>
      </c>
      <c r="O46" s="18" t="n">
        <f aca="false">IF($D46&lt;&gt;"Monthly","",$N46/$L46)</f>
        <v>0.401941747572816</v>
      </c>
      <c r="P46" s="17" t="n">
        <f aca="false">IF($D46&lt;&gt;"Monthly","",MAX(0,$N46-0.5*$L46))</f>
        <v>0</v>
      </c>
      <c r="Q46" s="17" t="n">
        <f aca="false">IF($D46&lt;&gt;"Monthly","",$M46+$P46)</f>
        <v>24640</v>
      </c>
    </row>
    <row r="47" customFormat="false" ht="15" hidden="false" customHeight="true" outlineLevel="0" collapsed="false">
      <c r="A47" s="11" t="s">
        <v>993</v>
      </c>
      <c r="B47" s="11" t="s">
        <v>994</v>
      </c>
      <c r="C47" s="11" t="s">
        <v>416</v>
      </c>
      <c r="D47" s="11" t="s">
        <v>419</v>
      </c>
      <c r="E47" s="19"/>
      <c r="F47" s="19"/>
      <c r="G47" s="19"/>
      <c r="H47" s="19"/>
      <c r="I47" s="19"/>
      <c r="J47" s="19" t="n">
        <v>635</v>
      </c>
      <c r="K47" s="19"/>
      <c r="L47" s="19" t="str">
        <f aca="false">IF($D47&lt;&gt;"Monthly","",SUM($E47:$I47))</f>
        <v/>
      </c>
      <c r="M47" s="19" t="str">
        <f aca="false">IF($D47&lt;&gt;"Monthly","",$E47+$F47)</f>
        <v/>
      </c>
      <c r="N47" s="19" t="str">
        <f aca="false">IF($D47&lt;&gt;"Monthly","",$L47-$M47)</f>
        <v/>
      </c>
      <c r="O47" s="20" t="str">
        <f aca="false">IF($D47&lt;&gt;"Monthly","",$N47/$L47)</f>
        <v/>
      </c>
      <c r="P47" s="19" t="str">
        <f aca="false">IF($D47&lt;&gt;"Monthly","",MAX(0,$N47-0.5*$L47))</f>
        <v/>
      </c>
      <c r="Q47" s="19" t="str">
        <f aca="false">IF($D47&lt;&gt;"Monthly","",$M47+$P47)</f>
        <v/>
      </c>
    </row>
    <row r="48" customFormat="false" ht="15" hidden="false" customHeight="true" outlineLevel="0" collapsed="false">
      <c r="A48" s="9" t="s">
        <v>1002</v>
      </c>
      <c r="B48" s="9" t="s">
        <v>1003</v>
      </c>
      <c r="C48" s="9" t="s">
        <v>399</v>
      </c>
      <c r="D48" s="9" t="s">
        <v>402</v>
      </c>
      <c r="E48" s="17" t="n">
        <v>109000</v>
      </c>
      <c r="F48" s="17" t="n">
        <v>13080</v>
      </c>
      <c r="G48" s="17" t="n">
        <v>43600</v>
      </c>
      <c r="H48" s="17" t="n">
        <v>1600</v>
      </c>
      <c r="I48" s="17" t="n">
        <v>30520</v>
      </c>
      <c r="J48" s="17"/>
      <c r="K48" s="17"/>
      <c r="L48" s="17" t="n">
        <f aca="false">IF($D48&lt;&gt;"Monthly","",SUM($E48:$I48))</f>
        <v>197800</v>
      </c>
      <c r="M48" s="17" t="n">
        <f aca="false">IF($D48&lt;&gt;"Monthly","",$E48+$F48)</f>
        <v>122080</v>
      </c>
      <c r="N48" s="17" t="n">
        <f aca="false">IF($D48&lt;&gt;"Monthly","",$L48-$M48)</f>
        <v>75720</v>
      </c>
      <c r="O48" s="18" t="n">
        <f aca="false">IF($D48&lt;&gt;"Monthly","",$N48/$L48)</f>
        <v>0.382810920121335</v>
      </c>
      <c r="P48" s="17" t="n">
        <f aca="false">IF($D48&lt;&gt;"Monthly","",MAX(0,$N48-0.5*$L48))</f>
        <v>0</v>
      </c>
      <c r="Q48" s="17" t="n">
        <f aca="false">IF($D48&lt;&gt;"Monthly","",$M48+$P48)</f>
        <v>122080</v>
      </c>
    </row>
    <row r="49" customFormat="false" ht="15" hidden="false" customHeight="true" outlineLevel="0" collapsed="false">
      <c r="A49" s="11" t="s">
        <v>1009</v>
      </c>
      <c r="B49" s="11" t="s">
        <v>1010</v>
      </c>
      <c r="C49" s="11" t="s">
        <v>399</v>
      </c>
      <c r="D49" s="11" t="s">
        <v>402</v>
      </c>
      <c r="E49" s="19" t="n">
        <v>62250</v>
      </c>
      <c r="F49" s="19" t="n">
        <v>7470</v>
      </c>
      <c r="G49" s="19" t="n">
        <v>24900</v>
      </c>
      <c r="H49" s="19" t="n">
        <v>1600</v>
      </c>
      <c r="I49" s="19" t="n">
        <v>17430</v>
      </c>
      <c r="J49" s="19"/>
      <c r="K49" s="19"/>
      <c r="L49" s="19" t="n">
        <f aca="false">IF($D49&lt;&gt;"Monthly","",SUM($E49:$I49))</f>
        <v>113650</v>
      </c>
      <c r="M49" s="19" t="n">
        <f aca="false">IF($D49&lt;&gt;"Monthly","",$E49+$F49)</f>
        <v>69720</v>
      </c>
      <c r="N49" s="19" t="n">
        <f aca="false">IF($D49&lt;&gt;"Monthly","",$L49-$M49)</f>
        <v>43930</v>
      </c>
      <c r="O49" s="20" t="n">
        <f aca="false">IF($D49&lt;&gt;"Monthly","",$N49/$L49)</f>
        <v>0.386537615486142</v>
      </c>
      <c r="P49" s="19" t="n">
        <f aca="false">IF($D49&lt;&gt;"Monthly","",MAX(0,$N49-0.5*$L49))</f>
        <v>0</v>
      </c>
      <c r="Q49" s="19" t="n">
        <f aca="false">IF($D49&lt;&gt;"Monthly","",$M49+$P49)</f>
        <v>69720</v>
      </c>
    </row>
    <row r="50" customFormat="false" ht="15" hidden="false" customHeight="true" outlineLevel="0" collapsed="false">
      <c r="A50" s="9" t="s">
        <v>1016</v>
      </c>
      <c r="B50" s="9" t="s">
        <v>1017</v>
      </c>
      <c r="C50" s="9" t="s">
        <v>399</v>
      </c>
      <c r="D50" s="9" t="s">
        <v>402</v>
      </c>
      <c r="E50" s="17" t="n">
        <v>39000</v>
      </c>
      <c r="F50" s="17" t="n">
        <v>4680</v>
      </c>
      <c r="G50" s="17" t="n">
        <v>15600</v>
      </c>
      <c r="H50" s="17" t="n">
        <v>1600</v>
      </c>
      <c r="I50" s="17" t="n">
        <v>52650</v>
      </c>
      <c r="J50" s="17"/>
      <c r="K50" s="17"/>
      <c r="L50" s="17" t="n">
        <f aca="false">IF($D50&lt;&gt;"Monthly","",SUM($E50:$I50))</f>
        <v>113530</v>
      </c>
      <c r="M50" s="17" t="n">
        <f aca="false">IF($D50&lt;&gt;"Monthly","",$E50+$F50)</f>
        <v>43680</v>
      </c>
      <c r="N50" s="17" t="n">
        <f aca="false">IF($D50&lt;&gt;"Monthly","",$L50-$M50)</f>
        <v>69850</v>
      </c>
      <c r="O50" s="18" t="n">
        <f aca="false">IF($D50&lt;&gt;"Monthly","",$N50/$L50)</f>
        <v>0.615255879503215</v>
      </c>
      <c r="P50" s="17" t="n">
        <f aca="false">IF($D50&lt;&gt;"Monthly","",MAX(0,$N50-0.5*$L50))</f>
        <v>13085</v>
      </c>
      <c r="Q50" s="17" t="n">
        <f aca="false">IF($D50&lt;&gt;"Monthly","",$M50+$P50)</f>
        <v>56765</v>
      </c>
    </row>
    <row r="51" customFormat="false" ht="15" hidden="false" customHeight="true" outlineLevel="0" collapsed="false">
      <c r="A51" s="11" t="s">
        <v>1023</v>
      </c>
      <c r="B51" s="11" t="s">
        <v>1024</v>
      </c>
      <c r="C51" s="11" t="s">
        <v>399</v>
      </c>
      <c r="D51" s="11" t="s">
        <v>402</v>
      </c>
      <c r="E51" s="19" t="n">
        <v>37500</v>
      </c>
      <c r="F51" s="19" t="n">
        <v>4500</v>
      </c>
      <c r="G51" s="19" t="n">
        <v>15000</v>
      </c>
      <c r="H51" s="19" t="n">
        <v>1600</v>
      </c>
      <c r="I51" s="19" t="n">
        <v>10500</v>
      </c>
      <c r="J51" s="19"/>
      <c r="K51" s="19"/>
      <c r="L51" s="19" t="n">
        <f aca="false">IF($D51&lt;&gt;"Monthly","",SUM($E51:$I51))</f>
        <v>69100</v>
      </c>
      <c r="M51" s="19" t="n">
        <f aca="false">IF($D51&lt;&gt;"Monthly","",$E51+$F51)</f>
        <v>42000</v>
      </c>
      <c r="N51" s="19" t="n">
        <f aca="false">IF($D51&lt;&gt;"Monthly","",$L51-$M51)</f>
        <v>27100</v>
      </c>
      <c r="O51" s="20" t="n">
        <f aca="false">IF($D51&lt;&gt;"Monthly","",$N51/$L51)</f>
        <v>0.392185238784371</v>
      </c>
      <c r="P51" s="19" t="n">
        <f aca="false">IF($D51&lt;&gt;"Monthly","",MAX(0,$N51-0.5*$L51))</f>
        <v>0</v>
      </c>
      <c r="Q51" s="19" t="n">
        <f aca="false">IF($D51&lt;&gt;"Monthly","",$M51+$P51)</f>
        <v>42000</v>
      </c>
    </row>
    <row r="52" customFormat="false" ht="15" hidden="false" customHeight="true" outlineLevel="0" collapsed="false">
      <c r="A52" s="9" t="s">
        <v>1031</v>
      </c>
      <c r="B52" s="9" t="s">
        <v>1032</v>
      </c>
      <c r="C52" s="9" t="s">
        <v>399</v>
      </c>
      <c r="D52" s="9" t="s">
        <v>402</v>
      </c>
      <c r="E52" s="17" t="n">
        <v>37750</v>
      </c>
      <c r="F52" s="17" t="n">
        <v>4530</v>
      </c>
      <c r="G52" s="17" t="n">
        <v>15100</v>
      </c>
      <c r="H52" s="17" t="n">
        <v>1600</v>
      </c>
      <c r="I52" s="17" t="n">
        <v>10570</v>
      </c>
      <c r="J52" s="17"/>
      <c r="K52" s="17"/>
      <c r="L52" s="17" t="n">
        <f aca="false">IF($D52&lt;&gt;"Monthly","",SUM($E52:$I52))</f>
        <v>69550</v>
      </c>
      <c r="M52" s="17" t="n">
        <f aca="false">IF($D52&lt;&gt;"Monthly","",$E52+$F52)</f>
        <v>42280</v>
      </c>
      <c r="N52" s="17" t="n">
        <f aca="false">IF($D52&lt;&gt;"Monthly","",$L52-$M52)</f>
        <v>27270</v>
      </c>
      <c r="O52" s="18" t="n">
        <f aca="false">IF($D52&lt;&gt;"Monthly","",$N52/$L52)</f>
        <v>0.392092020129403</v>
      </c>
      <c r="P52" s="17" t="n">
        <f aca="false">IF($D52&lt;&gt;"Monthly","",MAX(0,$N52-0.5*$L52))</f>
        <v>0</v>
      </c>
      <c r="Q52" s="17" t="n">
        <f aca="false">IF($D52&lt;&gt;"Monthly","",$M52+$P52)</f>
        <v>42280</v>
      </c>
    </row>
    <row r="53" customFormat="false" ht="15" hidden="false" customHeight="true" outlineLevel="0" collapsed="false">
      <c r="A53" s="11" t="s">
        <v>1038</v>
      </c>
      <c r="B53" s="11" t="s">
        <v>1039</v>
      </c>
      <c r="C53" s="11" t="s">
        <v>399</v>
      </c>
      <c r="D53" s="11" t="s">
        <v>402</v>
      </c>
      <c r="E53" s="19" t="n">
        <v>22000</v>
      </c>
      <c r="F53" s="19" t="n">
        <v>2640</v>
      </c>
      <c r="G53" s="19" t="n">
        <v>8800</v>
      </c>
      <c r="H53" s="19" t="n">
        <v>1600</v>
      </c>
      <c r="I53" s="19" t="n">
        <v>6160</v>
      </c>
      <c r="J53" s="19"/>
      <c r="K53" s="19"/>
      <c r="L53" s="19" t="n">
        <f aca="false">IF($D53&lt;&gt;"Monthly","",SUM($E53:$I53))</f>
        <v>41200</v>
      </c>
      <c r="M53" s="19" t="n">
        <f aca="false">IF($D53&lt;&gt;"Monthly","",$E53+$F53)</f>
        <v>24640</v>
      </c>
      <c r="N53" s="19" t="n">
        <f aca="false">IF($D53&lt;&gt;"Monthly","",$L53-$M53)</f>
        <v>16560</v>
      </c>
      <c r="O53" s="20" t="n">
        <f aca="false">IF($D53&lt;&gt;"Monthly","",$N53/$L53)</f>
        <v>0.401941747572816</v>
      </c>
      <c r="P53" s="19" t="n">
        <f aca="false">IF($D53&lt;&gt;"Monthly","",MAX(0,$N53-0.5*$L53))</f>
        <v>0</v>
      </c>
      <c r="Q53" s="19" t="n">
        <f aca="false">IF($D53&lt;&gt;"Monthly","",$M53+$P53)</f>
        <v>24640</v>
      </c>
    </row>
    <row r="54" customFormat="false" ht="15" hidden="false" customHeight="true" outlineLevel="0" collapsed="false">
      <c r="A54" s="9" t="s">
        <v>1045</v>
      </c>
      <c r="B54" s="9" t="s">
        <v>1046</v>
      </c>
      <c r="C54" s="9" t="s">
        <v>426</v>
      </c>
      <c r="D54" s="9" t="s">
        <v>419</v>
      </c>
      <c r="E54" s="17"/>
      <c r="F54" s="17"/>
      <c r="G54" s="17"/>
      <c r="H54" s="17"/>
      <c r="I54" s="17"/>
      <c r="J54" s="17" t="n">
        <v>665</v>
      </c>
      <c r="K54" s="17"/>
      <c r="L54" s="17" t="str">
        <f aca="false">IF($D54&lt;&gt;"Monthly","",SUM($E54:$I54))</f>
        <v/>
      </c>
      <c r="M54" s="17" t="str">
        <f aca="false">IF($D54&lt;&gt;"Monthly","",$E54+$F54)</f>
        <v/>
      </c>
      <c r="N54" s="17" t="str">
        <f aca="false">IF($D54&lt;&gt;"Monthly","",$L54-$M54)</f>
        <v/>
      </c>
      <c r="O54" s="18" t="str">
        <f aca="false">IF($D54&lt;&gt;"Monthly","",$N54/$L54)</f>
        <v/>
      </c>
      <c r="P54" s="17" t="str">
        <f aca="false">IF($D54&lt;&gt;"Monthly","",MAX(0,$N54-0.5*$L54))</f>
        <v/>
      </c>
      <c r="Q54" s="17" t="str">
        <f aca="false">IF($D54&lt;&gt;"Monthly","",$M54+$P54)</f>
        <v/>
      </c>
    </row>
    <row r="55" customFormat="false" ht="15" hidden="false" customHeight="true" outlineLevel="0" collapsed="false">
      <c r="A55" s="11" t="s">
        <v>1054</v>
      </c>
      <c r="B55" s="11" t="s">
        <v>1055</v>
      </c>
      <c r="C55" s="11" t="s">
        <v>399</v>
      </c>
      <c r="D55" s="11" t="s">
        <v>402</v>
      </c>
      <c r="E55" s="19" t="n">
        <v>109000</v>
      </c>
      <c r="F55" s="19" t="n">
        <v>13080</v>
      </c>
      <c r="G55" s="19" t="n">
        <v>43600</v>
      </c>
      <c r="H55" s="19" t="n">
        <v>1600</v>
      </c>
      <c r="I55" s="19" t="n">
        <v>30520</v>
      </c>
      <c r="J55" s="19"/>
      <c r="K55" s="19"/>
      <c r="L55" s="19" t="n">
        <f aca="false">IF($D55&lt;&gt;"Monthly","",SUM($E55:$I55))</f>
        <v>197800</v>
      </c>
      <c r="M55" s="19" t="n">
        <f aca="false">IF($D55&lt;&gt;"Monthly","",$E55+$F55)</f>
        <v>122080</v>
      </c>
      <c r="N55" s="19" t="n">
        <f aca="false">IF($D55&lt;&gt;"Monthly","",$L55-$M55)</f>
        <v>75720</v>
      </c>
      <c r="O55" s="20" t="n">
        <f aca="false">IF($D55&lt;&gt;"Monthly","",$N55/$L55)</f>
        <v>0.382810920121335</v>
      </c>
      <c r="P55" s="19" t="n">
        <f aca="false">IF($D55&lt;&gt;"Monthly","",MAX(0,$N55-0.5*$L55))</f>
        <v>0</v>
      </c>
      <c r="Q55" s="19" t="n">
        <f aca="false">IF($D55&lt;&gt;"Monthly","",$M55+$P55)</f>
        <v>122080</v>
      </c>
    </row>
    <row r="56" customFormat="false" ht="15" hidden="false" customHeight="true" outlineLevel="0" collapsed="false">
      <c r="A56" s="9" t="s">
        <v>1061</v>
      </c>
      <c r="B56" s="9" t="s">
        <v>1062</v>
      </c>
      <c r="C56" s="9" t="s">
        <v>399</v>
      </c>
      <c r="D56" s="9" t="s">
        <v>402</v>
      </c>
      <c r="E56" s="17" t="n">
        <v>62250</v>
      </c>
      <c r="F56" s="17" t="n">
        <v>7470</v>
      </c>
      <c r="G56" s="17" t="n">
        <v>24900</v>
      </c>
      <c r="H56" s="17" t="n">
        <v>1600</v>
      </c>
      <c r="I56" s="17" t="n">
        <v>17430</v>
      </c>
      <c r="J56" s="17"/>
      <c r="K56" s="17"/>
      <c r="L56" s="17" t="n">
        <f aca="false">IF($D56&lt;&gt;"Monthly","",SUM($E56:$I56))</f>
        <v>113650</v>
      </c>
      <c r="M56" s="17" t="n">
        <f aca="false">IF($D56&lt;&gt;"Monthly","",$E56+$F56)</f>
        <v>69720</v>
      </c>
      <c r="N56" s="17" t="n">
        <f aca="false">IF($D56&lt;&gt;"Monthly","",$L56-$M56)</f>
        <v>43930</v>
      </c>
      <c r="O56" s="18" t="n">
        <f aca="false">IF($D56&lt;&gt;"Monthly","",$N56/$L56)</f>
        <v>0.386537615486142</v>
      </c>
      <c r="P56" s="17" t="n">
        <f aca="false">IF($D56&lt;&gt;"Monthly","",MAX(0,$N56-0.5*$L56))</f>
        <v>0</v>
      </c>
      <c r="Q56" s="17" t="n">
        <f aca="false">IF($D56&lt;&gt;"Monthly","",$M56+$P56)</f>
        <v>69720</v>
      </c>
    </row>
    <row r="57" customFormat="false" ht="15" hidden="false" customHeight="true" outlineLevel="0" collapsed="false">
      <c r="A57" s="11" t="s">
        <v>1068</v>
      </c>
      <c r="B57" s="11" t="s">
        <v>1069</v>
      </c>
      <c r="C57" s="11" t="s">
        <v>399</v>
      </c>
      <c r="D57" s="11" t="s">
        <v>402</v>
      </c>
      <c r="E57" s="19" t="n">
        <v>39000</v>
      </c>
      <c r="F57" s="19" t="n">
        <v>4680</v>
      </c>
      <c r="G57" s="19" t="n">
        <v>15600</v>
      </c>
      <c r="H57" s="19" t="n">
        <v>1600</v>
      </c>
      <c r="I57" s="19" t="n">
        <v>10920</v>
      </c>
      <c r="J57" s="19"/>
      <c r="K57" s="19"/>
      <c r="L57" s="19" t="n">
        <f aca="false">IF($D57&lt;&gt;"Monthly","",SUM($E57:$I57))</f>
        <v>71800</v>
      </c>
      <c r="M57" s="19" t="n">
        <f aca="false">IF($D57&lt;&gt;"Monthly","",$E57+$F57)</f>
        <v>43680</v>
      </c>
      <c r="N57" s="19" t="n">
        <f aca="false">IF($D57&lt;&gt;"Monthly","",$L57-$M57)</f>
        <v>28120</v>
      </c>
      <c r="O57" s="20" t="n">
        <f aca="false">IF($D57&lt;&gt;"Monthly","",$N57/$L57)</f>
        <v>0.391643454038997</v>
      </c>
      <c r="P57" s="19" t="n">
        <f aca="false">IF($D57&lt;&gt;"Monthly","",MAX(0,$N57-0.5*$L57))</f>
        <v>0</v>
      </c>
      <c r="Q57" s="19" t="n">
        <f aca="false">IF($D57&lt;&gt;"Monthly","",$M57+$P57)</f>
        <v>43680</v>
      </c>
    </row>
    <row r="58" customFormat="false" ht="15" hidden="false" customHeight="true" outlineLevel="0" collapsed="false">
      <c r="A58" s="9" t="s">
        <v>1077</v>
      </c>
      <c r="B58" s="9" t="s">
        <v>1078</v>
      </c>
      <c r="C58" s="9" t="s">
        <v>399</v>
      </c>
      <c r="D58" s="9" t="s">
        <v>402</v>
      </c>
      <c r="E58" s="17" t="n">
        <v>21500</v>
      </c>
      <c r="F58" s="17" t="n">
        <v>2580</v>
      </c>
      <c r="G58" s="17" t="n">
        <v>8600</v>
      </c>
      <c r="H58" s="17" t="n">
        <v>1600</v>
      </c>
      <c r="I58" s="17" t="n">
        <v>6020</v>
      </c>
      <c r="J58" s="17"/>
      <c r="K58" s="17"/>
      <c r="L58" s="17" t="n">
        <f aca="false">IF($D58&lt;&gt;"Monthly","",SUM($E58:$I58))</f>
        <v>40300</v>
      </c>
      <c r="M58" s="17" t="n">
        <f aca="false">IF($D58&lt;&gt;"Monthly","",$E58+$F58)</f>
        <v>24080</v>
      </c>
      <c r="N58" s="17" t="n">
        <f aca="false">IF($D58&lt;&gt;"Monthly","",$L58-$M58)</f>
        <v>16220</v>
      </c>
      <c r="O58" s="18" t="n">
        <f aca="false">IF($D58&lt;&gt;"Monthly","",$N58/$L58)</f>
        <v>0.402481389578164</v>
      </c>
      <c r="P58" s="17" t="n">
        <f aca="false">IF($D58&lt;&gt;"Monthly","",MAX(0,$N58-0.5*$L58))</f>
        <v>0</v>
      </c>
      <c r="Q58" s="17" t="n">
        <f aca="false">IF($D58&lt;&gt;"Monthly","",$M58+$P58)</f>
        <v>24080</v>
      </c>
    </row>
    <row r="59" customFormat="false" ht="15" hidden="false" customHeight="true" outlineLevel="0" collapsed="false">
      <c r="A59" s="11" t="s">
        <v>1084</v>
      </c>
      <c r="B59" s="11" t="s">
        <v>1085</v>
      </c>
      <c r="C59" s="11" t="s">
        <v>399</v>
      </c>
      <c r="D59" s="11" t="s">
        <v>402</v>
      </c>
      <c r="E59" s="19" t="n">
        <v>37750</v>
      </c>
      <c r="F59" s="19" t="n">
        <v>4530</v>
      </c>
      <c r="G59" s="19" t="n">
        <v>15100</v>
      </c>
      <c r="H59" s="19" t="n">
        <v>1600</v>
      </c>
      <c r="I59" s="19" t="n">
        <v>10570</v>
      </c>
      <c r="J59" s="19"/>
      <c r="K59" s="19"/>
      <c r="L59" s="19" t="n">
        <f aca="false">IF($D59&lt;&gt;"Monthly","",SUM($E59:$I59))</f>
        <v>69550</v>
      </c>
      <c r="M59" s="19" t="n">
        <f aca="false">IF($D59&lt;&gt;"Monthly","",$E59+$F59)</f>
        <v>42280</v>
      </c>
      <c r="N59" s="19" t="n">
        <f aca="false">IF($D59&lt;&gt;"Monthly","",$L59-$M59)</f>
        <v>27270</v>
      </c>
      <c r="O59" s="20" t="n">
        <f aca="false">IF($D59&lt;&gt;"Monthly","",$N59/$L59)</f>
        <v>0.392092020129403</v>
      </c>
      <c r="P59" s="19" t="n">
        <f aca="false">IF($D59&lt;&gt;"Monthly","",MAX(0,$N59-0.5*$L59))</f>
        <v>0</v>
      </c>
      <c r="Q59" s="19" t="n">
        <f aca="false">IF($D59&lt;&gt;"Monthly","",$M59+$P59)</f>
        <v>42280</v>
      </c>
    </row>
    <row r="60" customFormat="false" ht="15" hidden="false" customHeight="true" outlineLevel="0" collapsed="false">
      <c r="A60" s="9" t="s">
        <v>1091</v>
      </c>
      <c r="B60" s="9" t="s">
        <v>1092</v>
      </c>
      <c r="C60" s="9" t="s">
        <v>399</v>
      </c>
      <c r="D60" s="9" t="s">
        <v>402</v>
      </c>
      <c r="E60" s="17" t="n">
        <v>22000</v>
      </c>
      <c r="F60" s="17" t="n">
        <v>2640</v>
      </c>
      <c r="G60" s="17" t="n">
        <v>8800</v>
      </c>
      <c r="H60" s="17" t="n">
        <v>1600</v>
      </c>
      <c r="I60" s="17" t="n">
        <v>6160</v>
      </c>
      <c r="J60" s="17"/>
      <c r="K60" s="17"/>
      <c r="L60" s="17" t="n">
        <f aca="false">IF($D60&lt;&gt;"Monthly","",SUM($E60:$I60))</f>
        <v>41200</v>
      </c>
      <c r="M60" s="17" t="n">
        <f aca="false">IF($D60&lt;&gt;"Monthly","",$E60+$F60)</f>
        <v>24640</v>
      </c>
      <c r="N60" s="17" t="n">
        <f aca="false">IF($D60&lt;&gt;"Monthly","",$L60-$M60)</f>
        <v>16560</v>
      </c>
      <c r="O60" s="18" t="n">
        <f aca="false">IF($D60&lt;&gt;"Monthly","",$N60/$L60)</f>
        <v>0.401941747572816</v>
      </c>
      <c r="P60" s="17" t="n">
        <f aca="false">IF($D60&lt;&gt;"Monthly","",MAX(0,$N60-0.5*$L60))</f>
        <v>0</v>
      </c>
      <c r="Q60" s="17" t="n">
        <f aca="false">IF($D60&lt;&gt;"Monthly","",$M60+$P60)</f>
        <v>24640</v>
      </c>
    </row>
    <row r="61" customFormat="false" ht="15" hidden="false" customHeight="true" outlineLevel="0" collapsed="false">
      <c r="A61" s="11" t="s">
        <v>1098</v>
      </c>
      <c r="B61" s="11" t="s">
        <v>1099</v>
      </c>
      <c r="C61" s="11" t="s">
        <v>399</v>
      </c>
      <c r="D61" s="11" t="s">
        <v>402</v>
      </c>
      <c r="E61" s="19" t="n">
        <v>22250</v>
      </c>
      <c r="F61" s="19" t="n">
        <v>2670</v>
      </c>
      <c r="G61" s="19" t="n">
        <v>8900</v>
      </c>
      <c r="H61" s="19" t="n">
        <v>1600</v>
      </c>
      <c r="I61" s="19" t="n">
        <v>6230</v>
      </c>
      <c r="J61" s="19"/>
      <c r="K61" s="19"/>
      <c r="L61" s="19" t="n">
        <f aca="false">IF($D61&lt;&gt;"Monthly","",SUM($E61:$I61))</f>
        <v>41650</v>
      </c>
      <c r="M61" s="19" t="n">
        <f aca="false">IF($D61&lt;&gt;"Monthly","",$E61+$F61)</f>
        <v>24920</v>
      </c>
      <c r="N61" s="19" t="n">
        <f aca="false">IF($D61&lt;&gt;"Monthly","",$L61-$M61)</f>
        <v>16730</v>
      </c>
      <c r="O61" s="20" t="n">
        <f aca="false">IF($D61&lt;&gt;"Monthly","",$N61/$L61)</f>
        <v>0.401680672268908</v>
      </c>
      <c r="P61" s="19" t="n">
        <f aca="false">IF($D61&lt;&gt;"Monthly","",MAX(0,$N61-0.5*$L61))</f>
        <v>0</v>
      </c>
      <c r="Q61" s="19" t="n">
        <f aca="false">IF($D61&lt;&gt;"Monthly","",$M61+$P61)</f>
        <v>24920</v>
      </c>
    </row>
    <row r="62" customFormat="false" ht="15" hidden="false" customHeight="true" outlineLevel="0" collapsed="false">
      <c r="A62" s="9" t="s">
        <v>1107</v>
      </c>
      <c r="B62" s="9" t="s">
        <v>1108</v>
      </c>
      <c r="C62" s="9" t="s">
        <v>416</v>
      </c>
      <c r="D62" s="9" t="s">
        <v>419</v>
      </c>
      <c r="E62" s="17"/>
      <c r="F62" s="17"/>
      <c r="G62" s="17"/>
      <c r="H62" s="17"/>
      <c r="I62" s="17"/>
      <c r="J62" s="17" t="n">
        <v>635</v>
      </c>
      <c r="K62" s="17"/>
      <c r="L62" s="17" t="str">
        <f aca="false">IF($D62&lt;&gt;"Monthly","",SUM($E62:$I62))</f>
        <v/>
      </c>
      <c r="M62" s="17" t="str">
        <f aca="false">IF($D62&lt;&gt;"Monthly","",$E62+$F62)</f>
        <v/>
      </c>
      <c r="N62" s="17" t="str">
        <f aca="false">IF($D62&lt;&gt;"Monthly","",$L62-$M62)</f>
        <v/>
      </c>
      <c r="O62" s="18" t="str">
        <f aca="false">IF($D62&lt;&gt;"Monthly","",$N62/$L62)</f>
        <v/>
      </c>
      <c r="P62" s="17" t="str">
        <f aca="false">IF($D62&lt;&gt;"Monthly","",MAX(0,$N62-0.5*$L62))</f>
        <v/>
      </c>
      <c r="Q62" s="17" t="str">
        <f aca="false">IF($D62&lt;&gt;"Monthly","",$M62+$P62)</f>
        <v/>
      </c>
    </row>
    <row r="63" customFormat="false" ht="15" hidden="false" customHeight="true" outlineLevel="0" collapsed="false">
      <c r="A63" s="11" t="s">
        <v>1116</v>
      </c>
      <c r="B63" s="11" t="s">
        <v>1117</v>
      </c>
      <c r="C63" s="11" t="s">
        <v>421</v>
      </c>
      <c r="D63" s="11" t="s">
        <v>402</v>
      </c>
      <c r="E63" s="19" t="n">
        <v>22750</v>
      </c>
      <c r="F63" s="19" t="n">
        <v>2730</v>
      </c>
      <c r="G63" s="19" t="n">
        <v>9100</v>
      </c>
      <c r="H63" s="19" t="n">
        <v>1600</v>
      </c>
      <c r="I63" s="19" t="n">
        <v>6370</v>
      </c>
      <c r="J63" s="19"/>
      <c r="K63" s="19"/>
      <c r="L63" s="19" t="n">
        <f aca="false">IF($D63&lt;&gt;"Monthly","",SUM($E63:$I63))</f>
        <v>42550</v>
      </c>
      <c r="M63" s="19" t="n">
        <f aca="false">IF($D63&lt;&gt;"Monthly","",$E63+$F63)</f>
        <v>25480</v>
      </c>
      <c r="N63" s="19" t="n">
        <f aca="false">IF($D63&lt;&gt;"Monthly","",$L63-$M63)</f>
        <v>17070</v>
      </c>
      <c r="O63" s="20" t="n">
        <f aca="false">IF($D63&lt;&gt;"Monthly","",$N63/$L63)</f>
        <v>0.40117508813161</v>
      </c>
      <c r="P63" s="19" t="n">
        <f aca="false">IF($D63&lt;&gt;"Monthly","",MAX(0,$N63-0.5*$L63))</f>
        <v>0</v>
      </c>
      <c r="Q63" s="19" t="n">
        <f aca="false">IF($D63&lt;&gt;"Monthly","",$M63+$P63)</f>
        <v>25480</v>
      </c>
    </row>
    <row r="64" customFormat="false" ht="15" hidden="false" customHeight="true" outlineLevel="0" collapsed="false">
      <c r="A64" s="9" t="s">
        <v>1123</v>
      </c>
      <c r="B64" s="9" t="s">
        <v>1124</v>
      </c>
      <c r="C64" s="9" t="s">
        <v>413</v>
      </c>
      <c r="D64" s="9" t="s">
        <v>402</v>
      </c>
      <c r="E64" s="17" t="n">
        <v>15000</v>
      </c>
      <c r="F64" s="17" t="n">
        <v>1800</v>
      </c>
      <c r="G64" s="17" t="n">
        <v>6000</v>
      </c>
      <c r="H64" s="17" t="n">
        <v>1600</v>
      </c>
      <c r="I64" s="17" t="n">
        <v>4200</v>
      </c>
      <c r="J64" s="17"/>
      <c r="K64" s="17"/>
      <c r="L64" s="17" t="n">
        <f aca="false">IF($D64&lt;&gt;"Monthly","",SUM($E64:$I64))</f>
        <v>28600</v>
      </c>
      <c r="M64" s="17" t="n">
        <f aca="false">IF($D64&lt;&gt;"Monthly","",$E64+$F64)</f>
        <v>16800</v>
      </c>
      <c r="N64" s="17" t="n">
        <f aca="false">IF($D64&lt;&gt;"Monthly","",$L64-$M64)</f>
        <v>11800</v>
      </c>
      <c r="O64" s="18" t="n">
        <f aca="false">IF($D64&lt;&gt;"Monthly","",$N64/$L64)</f>
        <v>0.412587412587413</v>
      </c>
      <c r="P64" s="17" t="n">
        <f aca="false">IF($D64&lt;&gt;"Monthly","",MAX(0,$N64-0.5*$L64))</f>
        <v>0</v>
      </c>
      <c r="Q64" s="17" t="n">
        <f aca="false">IF($D64&lt;&gt;"Monthly","",$M64+$P64)</f>
        <v>16800</v>
      </c>
    </row>
    <row r="65" customFormat="false" ht="15" hidden="false" customHeight="true" outlineLevel="0" collapsed="false">
      <c r="A65" s="11" t="s">
        <v>1132</v>
      </c>
      <c r="B65" s="11" t="s">
        <v>1133</v>
      </c>
      <c r="C65" s="11" t="s">
        <v>429</v>
      </c>
      <c r="D65" s="11" t="s">
        <v>430</v>
      </c>
      <c r="E65" s="19"/>
      <c r="F65" s="19"/>
      <c r="G65" s="19"/>
      <c r="H65" s="19"/>
      <c r="I65" s="19"/>
      <c r="J65" s="19"/>
      <c r="K65" s="19" t="n">
        <v>165000</v>
      </c>
      <c r="L65" s="19" t="str">
        <f aca="false">IF($D65&lt;&gt;"Monthly","",SUM($E65:$I65))</f>
        <v/>
      </c>
      <c r="M65" s="19" t="str">
        <f aca="false">IF($D65&lt;&gt;"Monthly","",$E65+$F65)</f>
        <v/>
      </c>
      <c r="N65" s="19" t="str">
        <f aca="false">IF($D65&lt;&gt;"Monthly","",$L65-$M65)</f>
        <v/>
      </c>
      <c r="O65" s="20" t="str">
        <f aca="false">IF($D65&lt;&gt;"Monthly","",$N65/$L65)</f>
        <v/>
      </c>
      <c r="P65" s="19" t="str">
        <f aca="false">IF($D65&lt;&gt;"Monthly","",MAX(0,$N65-0.5*$L65))</f>
        <v/>
      </c>
      <c r="Q65" s="19" t="str">
        <f aca="false">IF($D65&lt;&gt;"Monthly","",$M65+$P65)</f>
        <v/>
      </c>
    </row>
    <row r="66" customFormat="false" ht="15" hidden="false" customHeight="true" outlineLevel="0" collapsed="false">
      <c r="A66" s="9" t="s">
        <v>599</v>
      </c>
      <c r="B66" s="9" t="s">
        <v>1141</v>
      </c>
      <c r="C66" s="9" t="s">
        <v>399</v>
      </c>
      <c r="D66" s="9" t="s">
        <v>402</v>
      </c>
      <c r="E66" s="17" t="n">
        <v>37750</v>
      </c>
      <c r="F66" s="17" t="n">
        <v>4530</v>
      </c>
      <c r="G66" s="17" t="n">
        <v>15100</v>
      </c>
      <c r="H66" s="17" t="n">
        <v>1600</v>
      </c>
      <c r="I66" s="17" t="n">
        <v>10570</v>
      </c>
      <c r="J66" s="17"/>
      <c r="K66" s="17"/>
      <c r="L66" s="17" t="n">
        <f aca="false">IF($D66&lt;&gt;"Monthly","",SUM($E66:$I66))</f>
        <v>69550</v>
      </c>
      <c r="M66" s="17" t="n">
        <f aca="false">IF($D66&lt;&gt;"Monthly","",$E66+$F66)</f>
        <v>42280</v>
      </c>
      <c r="N66" s="17" t="n">
        <f aca="false">IF($D66&lt;&gt;"Monthly","",$L66-$M66)</f>
        <v>27270</v>
      </c>
      <c r="O66" s="18" t="n">
        <f aca="false">IF($D66&lt;&gt;"Monthly","",$N66/$L66)</f>
        <v>0.392092020129403</v>
      </c>
      <c r="P66" s="17" t="n">
        <f aca="false">IF($D66&lt;&gt;"Monthly","",MAX(0,$N66-0.5*$L66))</f>
        <v>0</v>
      </c>
      <c r="Q66" s="17" t="n">
        <f aca="false">IF($D66&lt;&gt;"Monthly","",$M66+$P66)</f>
        <v>42280</v>
      </c>
    </row>
    <row r="67" customFormat="false" ht="15" hidden="false" customHeight="true" outlineLevel="0" collapsed="false">
      <c r="A67" s="11" t="s">
        <v>602</v>
      </c>
      <c r="B67" s="11" t="s">
        <v>1149</v>
      </c>
      <c r="C67" s="11" t="s">
        <v>399</v>
      </c>
      <c r="D67" s="11" t="s">
        <v>402</v>
      </c>
      <c r="E67" s="19" t="n">
        <v>22000</v>
      </c>
      <c r="F67" s="19" t="n">
        <v>2640</v>
      </c>
      <c r="G67" s="19" t="n">
        <v>8800</v>
      </c>
      <c r="H67" s="19" t="n">
        <v>1600</v>
      </c>
      <c r="I67" s="19" t="n">
        <v>6160</v>
      </c>
      <c r="J67" s="19"/>
      <c r="K67" s="19"/>
      <c r="L67" s="19" t="n">
        <f aca="false">IF($D67&lt;&gt;"Monthly","",SUM($E67:$I67))</f>
        <v>41200</v>
      </c>
      <c r="M67" s="19" t="n">
        <f aca="false">IF($D67&lt;&gt;"Monthly","",$E67+$F67)</f>
        <v>24640</v>
      </c>
      <c r="N67" s="19" t="n">
        <f aca="false">IF($D67&lt;&gt;"Monthly","",$L67-$M67)</f>
        <v>16560</v>
      </c>
      <c r="O67" s="20" t="n">
        <f aca="false">IF($D67&lt;&gt;"Monthly","",$N67/$L67)</f>
        <v>0.401941747572816</v>
      </c>
      <c r="P67" s="19" t="n">
        <f aca="false">IF($D67&lt;&gt;"Monthly","",MAX(0,$N67-0.5*$L67))</f>
        <v>0</v>
      </c>
      <c r="Q67" s="19" t="n">
        <f aca="false">IF($D67&lt;&gt;"Monthly","",$M67+$P67)</f>
        <v>24640</v>
      </c>
    </row>
    <row r="68" customFormat="false" ht="15" hidden="false" customHeight="true" outlineLevel="0" collapsed="false">
      <c r="A68" s="9" t="s">
        <v>1157</v>
      </c>
      <c r="B68" s="9" t="s">
        <v>1158</v>
      </c>
      <c r="C68" s="9" t="s">
        <v>399</v>
      </c>
      <c r="D68" s="9" t="s">
        <v>402</v>
      </c>
      <c r="E68" s="17" t="n">
        <v>38250</v>
      </c>
      <c r="F68" s="17" t="n">
        <v>4590</v>
      </c>
      <c r="G68" s="17" t="n">
        <v>15300</v>
      </c>
      <c r="H68" s="17" t="n">
        <v>1600</v>
      </c>
      <c r="I68" s="17" t="n">
        <v>10710</v>
      </c>
      <c r="J68" s="17"/>
      <c r="K68" s="17"/>
      <c r="L68" s="17" t="n">
        <f aca="false">IF($D68&lt;&gt;"Monthly","",SUM($E68:$I68))</f>
        <v>70450</v>
      </c>
      <c r="M68" s="17" t="n">
        <f aca="false">IF($D68&lt;&gt;"Monthly","",$E68+$F68)</f>
        <v>42840</v>
      </c>
      <c r="N68" s="17" t="n">
        <f aca="false">IF($D68&lt;&gt;"Monthly","",$L68-$M68)</f>
        <v>27610</v>
      </c>
      <c r="O68" s="18" t="n">
        <f aca="false">IF($D68&lt;&gt;"Monthly","",$N68/$L68)</f>
        <v>0.391909155429383</v>
      </c>
      <c r="P68" s="17" t="n">
        <f aca="false">IF($D68&lt;&gt;"Monthly","",MAX(0,$N68-0.5*$L68))</f>
        <v>0</v>
      </c>
      <c r="Q68" s="17" t="n">
        <f aca="false">IF($D68&lt;&gt;"Monthly","",$M68+$P68)</f>
        <v>42840</v>
      </c>
    </row>
    <row r="69" customFormat="false" ht="15" hidden="false" customHeight="true" outlineLevel="0" collapsed="false">
      <c r="A69" s="11" t="s">
        <v>1166</v>
      </c>
      <c r="B69" s="11" t="s">
        <v>1167</v>
      </c>
      <c r="C69" s="11" t="s">
        <v>399</v>
      </c>
      <c r="D69" s="11" t="s">
        <v>402</v>
      </c>
      <c r="E69" s="19" t="n">
        <v>38500</v>
      </c>
      <c r="F69" s="19" t="n">
        <v>4620</v>
      </c>
      <c r="G69" s="19" t="n">
        <v>15400</v>
      </c>
      <c r="H69" s="19" t="n">
        <v>1600</v>
      </c>
      <c r="I69" s="19" t="n">
        <v>10780</v>
      </c>
      <c r="J69" s="19"/>
      <c r="K69" s="19"/>
      <c r="L69" s="19" t="n">
        <f aca="false">IF($D69&lt;&gt;"Monthly","",SUM($E69:$I69))</f>
        <v>70900</v>
      </c>
      <c r="M69" s="19" t="n">
        <f aca="false">IF($D69&lt;&gt;"Monthly","",$E69+$F69)</f>
        <v>43120</v>
      </c>
      <c r="N69" s="19" t="n">
        <f aca="false">IF($D69&lt;&gt;"Monthly","",$L69-$M69)</f>
        <v>27780</v>
      </c>
      <c r="O69" s="20" t="n">
        <f aca="false">IF($D69&lt;&gt;"Monthly","",$N69/$L69)</f>
        <v>0.391819464033851</v>
      </c>
      <c r="P69" s="19" t="n">
        <f aca="false">IF($D69&lt;&gt;"Monthly","",MAX(0,$N69-0.5*$L69))</f>
        <v>0</v>
      </c>
      <c r="Q69" s="19" t="n">
        <f aca="false">IF($D69&lt;&gt;"Monthly","",$M69+$P69)</f>
        <v>43120</v>
      </c>
    </row>
    <row r="70" customFormat="false" ht="15" hidden="false" customHeight="true" outlineLevel="0" collapsed="false">
      <c r="A70" s="10" t="s">
        <v>1174</v>
      </c>
      <c r="B70" s="10" t="s">
        <v>1175</v>
      </c>
      <c r="C70" s="10" t="s">
        <v>399</v>
      </c>
      <c r="D70" s="10" t="s">
        <v>402</v>
      </c>
      <c r="E70" s="10" t="n">
        <v>21750</v>
      </c>
      <c r="F70" s="10" t="n">
        <v>2610</v>
      </c>
      <c r="G70" s="10" t="n">
        <v>8700</v>
      </c>
      <c r="H70" s="10" t="n">
        <v>1600</v>
      </c>
      <c r="I70" s="10" t="n">
        <v>6090</v>
      </c>
      <c r="J70" s="10"/>
      <c r="K70" s="10"/>
      <c r="L70" s="21" t="n">
        <f aca="false">IF($D70&lt;&gt;"Monthly","",SUM($E70:$I70))</f>
        <v>40750</v>
      </c>
      <c r="M70" s="21" t="n">
        <f aca="false">IF($D70&lt;&gt;"Monthly","",$E70+$F70)</f>
        <v>24360</v>
      </c>
      <c r="N70" s="21" t="n">
        <f aca="false">IF($D70&lt;&gt;"Monthly","",$L70-$M70)</f>
        <v>16390</v>
      </c>
      <c r="O70" s="22" t="n">
        <f aca="false">IF($D70&lt;&gt;"Monthly","",$N70/$L70)</f>
        <v>0.402208588957055</v>
      </c>
      <c r="P70" s="21" t="n">
        <f aca="false">IF($D70&lt;&gt;"Monthly","",MAX(0,$N70-0.5*$L70))</f>
        <v>0</v>
      </c>
      <c r="Q70" s="21" t="n">
        <f aca="false">IF($D70&lt;&gt;"Monthly","",$M70+$P70)</f>
        <v>24360</v>
      </c>
    </row>
    <row r="71" customFormat="false" ht="27.75" hidden="false" customHeight="true" outlineLevel="0" collapsed="false"/>
    <row r="72" customFormat="false" ht="27.75" hidden="false" customHeight="true" outlineLevel="0" collapsed="false">
      <c r="A72" s="14" t="s">
        <v>1197</v>
      </c>
      <c r="B72" s="14"/>
      <c r="C72" s="14"/>
      <c r="D72" s="14"/>
      <c r="E72" s="14"/>
      <c r="F72" s="14"/>
      <c r="G72" s="14"/>
      <c r="H72" s="14"/>
    </row>
  </sheetData>
  <autoFilter ref="A1:Q69"/>
  <mergeCells count="1">
    <mergeCell ref="A72:H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8"/>
    <col collapsed="false" customWidth="true" hidden="false" outlineLevel="0" max="4" min="4" style="1" width="30"/>
    <col collapsed="false" customWidth="true" hidden="false" outlineLevel="0" max="5" min="5" style="1" width="20"/>
    <col collapsed="false" customWidth="true" hidden="false" outlineLevel="0" max="6" min="6" style="1" width="16"/>
    <col collapsed="false" customWidth="true" hidden="false" outlineLevel="0" max="7" min="7" style="1" width="13"/>
    <col collapsed="false" customWidth="true" hidden="false" outlineLevel="0" max="9" min="8" style="1" width="20"/>
    <col collapsed="false" customWidth="true" hidden="false" outlineLevel="0" max="10" min="10" style="1" width="34"/>
    <col collapsed="false" customWidth="true" hidden="false" outlineLevel="0" max="11" min="11" style="1" width="11"/>
  </cols>
  <sheetData>
    <row r="1" customFormat="false" ht="30" hidden="false" customHeight="true" outlineLevel="0" collapsed="false">
      <c r="A1" s="7" t="s">
        <v>1198</v>
      </c>
      <c r="B1" s="7" t="s">
        <v>1183</v>
      </c>
      <c r="C1" s="7" t="s">
        <v>1199</v>
      </c>
      <c r="D1" s="7" t="s">
        <v>1200</v>
      </c>
      <c r="E1" s="7" t="s">
        <v>1201</v>
      </c>
      <c r="F1" s="7" t="s">
        <v>1202</v>
      </c>
      <c r="G1" s="7" t="s">
        <v>1203</v>
      </c>
      <c r="H1" s="7" t="s">
        <v>1204</v>
      </c>
      <c r="I1" s="7" t="s">
        <v>1205</v>
      </c>
      <c r="J1" s="7" t="s">
        <v>1206</v>
      </c>
      <c r="K1" s="7" t="s">
        <v>40</v>
      </c>
    </row>
    <row r="2" customFormat="false" ht="15" hidden="false" customHeight="true" outlineLevel="0" collapsed="false">
      <c r="A2" s="9" t="s">
        <v>1207</v>
      </c>
      <c r="B2" s="9" t="s">
        <v>1208</v>
      </c>
      <c r="C2" s="9" t="s">
        <v>1209</v>
      </c>
      <c r="D2" s="9" t="s">
        <v>1210</v>
      </c>
      <c r="E2" s="9" t="s">
        <v>1211</v>
      </c>
      <c r="F2" s="9" t="s">
        <v>1212</v>
      </c>
      <c r="G2" s="9" t="n">
        <v>10</v>
      </c>
      <c r="H2" s="9" t="s">
        <v>1213</v>
      </c>
      <c r="I2" s="9" t="s">
        <v>332</v>
      </c>
      <c r="J2" s="9" t="s">
        <v>1214</v>
      </c>
      <c r="K2" s="9" t="s">
        <v>412</v>
      </c>
    </row>
    <row r="3" customFormat="false" ht="21.75" hidden="false" customHeight="true" outlineLevel="0" collapsed="false">
      <c r="A3" s="11" t="s">
        <v>1213</v>
      </c>
      <c r="B3" s="11" t="s">
        <v>1215</v>
      </c>
      <c r="C3" s="11" t="s">
        <v>1209</v>
      </c>
      <c r="D3" s="11" t="s">
        <v>1216</v>
      </c>
      <c r="E3" s="11" t="s">
        <v>1217</v>
      </c>
      <c r="F3" s="11" t="s">
        <v>1218</v>
      </c>
      <c r="G3" s="11" t="n">
        <v>2</v>
      </c>
      <c r="H3" s="11" t="s">
        <v>1219</v>
      </c>
      <c r="I3" s="11" t="s">
        <v>1220</v>
      </c>
      <c r="J3" s="11" t="s">
        <v>1221</v>
      </c>
      <c r="K3" s="11" t="s">
        <v>412</v>
      </c>
    </row>
    <row r="4" customFormat="false" ht="15" hidden="false" customHeight="true" outlineLevel="0" collapsed="false">
      <c r="A4" s="9" t="s">
        <v>1222</v>
      </c>
      <c r="B4" s="9" t="s">
        <v>1223</v>
      </c>
      <c r="C4" s="9" t="s">
        <v>1209</v>
      </c>
      <c r="D4" s="9" t="s">
        <v>1216</v>
      </c>
      <c r="E4" s="9" t="s">
        <v>1217</v>
      </c>
      <c r="F4" s="9" t="s">
        <v>1218</v>
      </c>
      <c r="G4" s="9"/>
      <c r="H4" s="9" t="s">
        <v>1213</v>
      </c>
      <c r="I4" s="9" t="s">
        <v>1220</v>
      </c>
      <c r="J4" s="9" t="s">
        <v>1214</v>
      </c>
      <c r="K4" s="9" t="s">
        <v>412</v>
      </c>
    </row>
    <row r="5" customFormat="false" ht="15" hidden="false" customHeight="true" outlineLevel="0" collapsed="false">
      <c r="A5" s="11" t="s">
        <v>1224</v>
      </c>
      <c r="B5" s="11" t="s">
        <v>1225</v>
      </c>
      <c r="C5" s="11" t="s">
        <v>1209</v>
      </c>
      <c r="D5" s="11" t="s">
        <v>1226</v>
      </c>
      <c r="E5" s="11" t="s">
        <v>1217</v>
      </c>
      <c r="F5" s="11" t="s">
        <v>1218</v>
      </c>
      <c r="G5" s="11"/>
      <c r="H5" s="11"/>
      <c r="I5" s="11" t="s">
        <v>1227</v>
      </c>
      <c r="J5" s="11" t="s">
        <v>1228</v>
      </c>
      <c r="K5" s="11" t="s">
        <v>1229</v>
      </c>
    </row>
    <row r="6" customFormat="false" ht="15" hidden="false" customHeight="true" outlineLevel="0" collapsed="false">
      <c r="A6" s="9" t="s">
        <v>1230</v>
      </c>
      <c r="B6" s="9" t="s">
        <v>1231</v>
      </c>
      <c r="C6" s="9" t="s">
        <v>1209</v>
      </c>
      <c r="D6" s="9" t="s">
        <v>1232</v>
      </c>
      <c r="E6" s="9" t="s">
        <v>1217</v>
      </c>
      <c r="F6" s="9" t="s">
        <v>1218</v>
      </c>
      <c r="G6" s="9" t="n">
        <v>1</v>
      </c>
      <c r="H6" s="9"/>
      <c r="I6" s="9" t="s">
        <v>1233</v>
      </c>
      <c r="J6" s="9" t="s">
        <v>1214</v>
      </c>
      <c r="K6" s="9" t="s">
        <v>412</v>
      </c>
    </row>
    <row r="7" customFormat="false" ht="15" hidden="false" customHeight="true" outlineLevel="0" collapsed="false">
      <c r="A7" s="11" t="s">
        <v>1234</v>
      </c>
      <c r="B7" s="11" t="s">
        <v>1235</v>
      </c>
      <c r="C7" s="11" t="s">
        <v>1209</v>
      </c>
      <c r="D7" s="11" t="s">
        <v>1236</v>
      </c>
      <c r="E7" s="11" t="s">
        <v>222</v>
      </c>
      <c r="F7" s="11" t="s">
        <v>222</v>
      </c>
      <c r="G7" s="11"/>
      <c r="H7" s="11"/>
      <c r="I7" s="11" t="s">
        <v>1237</v>
      </c>
      <c r="J7" s="11" t="s">
        <v>1228</v>
      </c>
      <c r="K7" s="11"/>
    </row>
    <row r="8" customFormat="false" ht="15" hidden="false" customHeight="true" outlineLevel="0" collapsed="false">
      <c r="A8" s="9" t="s">
        <v>1238</v>
      </c>
      <c r="B8" s="9" t="s">
        <v>1239</v>
      </c>
      <c r="C8" s="9" t="s">
        <v>1209</v>
      </c>
      <c r="D8" s="9" t="s">
        <v>1240</v>
      </c>
      <c r="E8" s="9" t="s">
        <v>222</v>
      </c>
      <c r="F8" s="9" t="s">
        <v>222</v>
      </c>
      <c r="G8" s="9"/>
      <c r="H8" s="9"/>
      <c r="I8" s="9"/>
      <c r="J8" s="9" t="s">
        <v>355</v>
      </c>
      <c r="K8" s="9"/>
    </row>
    <row r="10" customFormat="false" ht="27.75" hidden="false" customHeight="true" outlineLevel="0" collapsed="false">
      <c r="A10" s="13" t="s">
        <v>1241</v>
      </c>
      <c r="B10" s="13"/>
      <c r="C10" s="13"/>
      <c r="D10" s="13"/>
      <c r="E10" s="13"/>
      <c r="F10" s="13"/>
      <c r="G10" s="13"/>
      <c r="H10" s="13"/>
    </row>
  </sheetData>
  <autoFilter ref="A1:K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7"/>
    <col collapsed="false" customWidth="true" hidden="false" outlineLevel="0" max="3" min="3" style="1" width="11"/>
    <col collapsed="false" customWidth="true" hidden="false" outlineLevel="0" max="4" min="4" style="1" width="12"/>
    <col collapsed="false" customWidth="true" hidden="false" outlineLevel="0" max="5" min="5" style="1" width="17"/>
    <col collapsed="false" customWidth="true" hidden="false" outlineLevel="0" max="6" min="6" style="1" width="15"/>
    <col collapsed="false" customWidth="true" hidden="false" outlineLevel="0" max="7" min="7" style="1" width="20"/>
    <col collapsed="false" customWidth="true" hidden="false" outlineLevel="0" max="8" min="8" style="1" width="19"/>
    <col collapsed="false" customWidth="true" hidden="false" outlineLevel="0" max="9" min="9" style="1" width="22"/>
    <col collapsed="false" customWidth="true" hidden="false" outlineLevel="0" max="10" min="10" style="1" width="11"/>
    <col collapsed="false" customWidth="true" hidden="false" outlineLevel="0" max="12" min="11" style="1" width="14"/>
  </cols>
  <sheetData>
    <row r="1" customFormat="false" ht="30" hidden="false" customHeight="true" outlineLevel="0" collapsed="false">
      <c r="A1" s="7" t="s">
        <v>1242</v>
      </c>
      <c r="B1" s="7" t="s">
        <v>322</v>
      </c>
      <c r="C1" s="7" t="s">
        <v>1198</v>
      </c>
      <c r="D1" s="7" t="s">
        <v>1243</v>
      </c>
      <c r="E1" s="7" t="s">
        <v>1244</v>
      </c>
      <c r="F1" s="7" t="s">
        <v>1245</v>
      </c>
      <c r="G1" s="7" t="s">
        <v>1246</v>
      </c>
      <c r="H1" s="7" t="s">
        <v>1247</v>
      </c>
      <c r="I1" s="7" t="s">
        <v>1248</v>
      </c>
      <c r="J1" s="7" t="s">
        <v>40</v>
      </c>
      <c r="K1" s="8" t="s">
        <v>628</v>
      </c>
      <c r="L1" s="8" t="s">
        <v>1249</v>
      </c>
    </row>
    <row r="2" customFormat="false" ht="15" hidden="false" customHeight="true" outlineLevel="0" collapsed="false">
      <c r="A2" s="9" t="s">
        <v>1250</v>
      </c>
      <c r="B2" s="9" t="s">
        <v>331</v>
      </c>
      <c r="C2" s="9" t="s">
        <v>1207</v>
      </c>
      <c r="D2" s="9" t="n">
        <v>18</v>
      </c>
      <c r="E2" s="9" t="s">
        <v>1251</v>
      </c>
      <c r="F2" s="9" t="n">
        <v>18</v>
      </c>
      <c r="G2" s="9" t="n">
        <v>0</v>
      </c>
      <c r="H2" s="9"/>
      <c r="I2" s="9" t="s">
        <v>1252</v>
      </c>
      <c r="J2" s="9" t="s">
        <v>412</v>
      </c>
      <c r="K2" s="10" t="s">
        <v>333</v>
      </c>
      <c r="L2" s="10" t="n">
        <v>10</v>
      </c>
    </row>
    <row r="3" customFormat="false" ht="15" hidden="false" customHeight="true" outlineLevel="0" collapsed="false">
      <c r="A3" s="11" t="s">
        <v>1253</v>
      </c>
      <c r="B3" s="11" t="s">
        <v>331</v>
      </c>
      <c r="C3" s="11" t="s">
        <v>1213</v>
      </c>
      <c r="D3" s="11" t="n">
        <v>6</v>
      </c>
      <c r="E3" s="11" t="s">
        <v>1251</v>
      </c>
      <c r="F3" s="11" t="n">
        <v>6</v>
      </c>
      <c r="G3" s="11" t="n">
        <v>0</v>
      </c>
      <c r="H3" s="11"/>
      <c r="I3" s="11" t="s">
        <v>1252</v>
      </c>
      <c r="J3" s="11" t="s">
        <v>412</v>
      </c>
      <c r="K3" s="12" t="s">
        <v>333</v>
      </c>
      <c r="L3" s="12" t="n">
        <v>2</v>
      </c>
    </row>
    <row r="4" customFormat="false" ht="15" hidden="false" customHeight="true" outlineLevel="0" collapsed="false">
      <c r="A4" s="9" t="s">
        <v>1254</v>
      </c>
      <c r="B4" s="9" t="s">
        <v>331</v>
      </c>
      <c r="C4" s="9" t="s">
        <v>1222</v>
      </c>
      <c r="D4" s="9" t="n">
        <v>6</v>
      </c>
      <c r="E4" s="9" t="s">
        <v>1251</v>
      </c>
      <c r="F4" s="9" t="n">
        <v>6</v>
      </c>
      <c r="G4" s="9" t="n">
        <v>0</v>
      </c>
      <c r="H4" s="9"/>
      <c r="I4" s="9" t="s">
        <v>1252</v>
      </c>
      <c r="J4" s="9" t="s">
        <v>412</v>
      </c>
      <c r="K4" s="10" t="s">
        <v>333</v>
      </c>
      <c r="L4" s="10"/>
    </row>
    <row r="5" customFormat="false" ht="15" hidden="false" customHeight="true" outlineLevel="0" collapsed="false">
      <c r="A5" s="11" t="s">
        <v>1255</v>
      </c>
      <c r="B5" s="11" t="s">
        <v>345</v>
      </c>
      <c r="C5" s="11" t="s">
        <v>1207</v>
      </c>
      <c r="D5" s="11" t="n">
        <v>18</v>
      </c>
      <c r="E5" s="11" t="s">
        <v>402</v>
      </c>
      <c r="F5" s="11" t="n">
        <v>1.5</v>
      </c>
      <c r="G5" s="11" t="n">
        <v>6</v>
      </c>
      <c r="H5" s="11" t="n">
        <v>9</v>
      </c>
      <c r="I5" s="11" t="s">
        <v>1256</v>
      </c>
      <c r="J5" s="11" t="s">
        <v>412</v>
      </c>
      <c r="K5" s="12" t="s">
        <v>346</v>
      </c>
      <c r="L5" s="12" t="n">
        <v>10</v>
      </c>
    </row>
    <row r="6" customFormat="false" ht="15" hidden="false" customHeight="true" outlineLevel="0" collapsed="false">
      <c r="A6" s="9" t="s">
        <v>1257</v>
      </c>
      <c r="B6" s="9" t="s">
        <v>345</v>
      </c>
      <c r="C6" s="9" t="s">
        <v>1213</v>
      </c>
      <c r="D6" s="9" t="n">
        <v>6</v>
      </c>
      <c r="E6" s="9" t="s">
        <v>1251</v>
      </c>
      <c r="F6" s="9" t="n">
        <v>6</v>
      </c>
      <c r="G6" s="9" t="n">
        <v>0</v>
      </c>
      <c r="H6" s="9"/>
      <c r="I6" s="9" t="s">
        <v>1252</v>
      </c>
      <c r="J6" s="9" t="s">
        <v>412</v>
      </c>
      <c r="K6" s="10" t="s">
        <v>346</v>
      </c>
      <c r="L6" s="10" t="n">
        <v>2</v>
      </c>
    </row>
    <row r="7" customFormat="false" ht="15" hidden="false" customHeight="true" outlineLevel="0" collapsed="false">
      <c r="A7" s="11" t="s">
        <v>1258</v>
      </c>
      <c r="B7" s="11" t="s">
        <v>345</v>
      </c>
      <c r="C7" s="11" t="s">
        <v>1222</v>
      </c>
      <c r="D7" s="11" t="n">
        <v>6</v>
      </c>
      <c r="E7" s="11" t="s">
        <v>1251</v>
      </c>
      <c r="F7" s="11" t="n">
        <v>6</v>
      </c>
      <c r="G7" s="11" t="n">
        <v>0</v>
      </c>
      <c r="H7" s="11"/>
      <c r="I7" s="11" t="s">
        <v>1252</v>
      </c>
      <c r="J7" s="11" t="s">
        <v>412</v>
      </c>
      <c r="K7" s="12" t="s">
        <v>346</v>
      </c>
      <c r="L7" s="12"/>
    </row>
    <row r="8" customFormat="false" ht="15" hidden="false" customHeight="true" outlineLevel="0" collapsed="false">
      <c r="A8" s="9" t="s">
        <v>1259</v>
      </c>
      <c r="B8" s="9" t="s">
        <v>372</v>
      </c>
      <c r="C8" s="9" t="s">
        <v>1213</v>
      </c>
      <c r="D8" s="9" t="n">
        <v>6</v>
      </c>
      <c r="E8" s="9" t="s">
        <v>1251</v>
      </c>
      <c r="F8" s="9" t="n">
        <v>6</v>
      </c>
      <c r="G8" s="9" t="n">
        <v>0</v>
      </c>
      <c r="H8" s="9"/>
      <c r="I8" s="9" t="s">
        <v>1252</v>
      </c>
      <c r="J8" s="9" t="s">
        <v>412</v>
      </c>
      <c r="K8" s="10" t="s">
        <v>373</v>
      </c>
      <c r="L8" s="10" t="n">
        <v>2</v>
      </c>
    </row>
    <row r="9" customFormat="false" ht="15" hidden="false" customHeight="true" outlineLevel="0" collapsed="false">
      <c r="A9" s="11" t="s">
        <v>1260</v>
      </c>
      <c r="B9" s="11" t="s">
        <v>376</v>
      </c>
      <c r="C9" s="11" t="s">
        <v>1213</v>
      </c>
      <c r="D9" s="11" t="n">
        <v>6</v>
      </c>
      <c r="E9" s="11" t="s">
        <v>1251</v>
      </c>
      <c r="F9" s="11" t="n">
        <v>6</v>
      </c>
      <c r="G9" s="11" t="n">
        <v>0</v>
      </c>
      <c r="H9" s="11"/>
      <c r="I9" s="11" t="s">
        <v>1252</v>
      </c>
      <c r="J9" s="11" t="s">
        <v>412</v>
      </c>
      <c r="K9" s="12" t="s">
        <v>373</v>
      </c>
      <c r="L9" s="12" t="n">
        <v>2</v>
      </c>
    </row>
    <row r="10" customFormat="false" ht="15" hidden="false" customHeight="true" outlineLevel="0" collapsed="false">
      <c r="A10" s="9" t="s">
        <v>1261</v>
      </c>
      <c r="B10" s="9" t="s">
        <v>331</v>
      </c>
      <c r="C10" s="9" t="s">
        <v>1230</v>
      </c>
      <c r="D10" s="9" t="n">
        <v>1</v>
      </c>
      <c r="E10" s="9" t="s">
        <v>1251</v>
      </c>
      <c r="F10" s="9" t="n">
        <v>1</v>
      </c>
      <c r="G10" s="9" t="n">
        <v>0</v>
      </c>
      <c r="H10" s="9"/>
      <c r="I10" s="9" t="s">
        <v>1233</v>
      </c>
      <c r="J10" s="9" t="s">
        <v>412</v>
      </c>
      <c r="K10" s="10" t="s">
        <v>333</v>
      </c>
      <c r="L10" s="10" t="n">
        <v>1</v>
      </c>
    </row>
    <row r="11" customFormat="false" ht="15" hidden="false" customHeight="true" outlineLevel="0" collapsed="false">
      <c r="A11" s="11" t="s">
        <v>1262</v>
      </c>
      <c r="B11" s="11" t="s">
        <v>345</v>
      </c>
      <c r="C11" s="11" t="s">
        <v>1230</v>
      </c>
      <c r="D11" s="11" t="n">
        <v>1</v>
      </c>
      <c r="E11" s="11" t="s">
        <v>1251</v>
      </c>
      <c r="F11" s="11" t="n">
        <v>1</v>
      </c>
      <c r="G11" s="11" t="n">
        <v>0</v>
      </c>
      <c r="H11" s="11"/>
      <c r="I11" s="11" t="s">
        <v>1233</v>
      </c>
      <c r="J11" s="11" t="s">
        <v>412</v>
      </c>
      <c r="K11" s="12" t="s">
        <v>346</v>
      </c>
      <c r="L11" s="12" t="n">
        <v>1</v>
      </c>
    </row>
    <row r="13" customFormat="false" ht="27.75" hidden="false" customHeight="true" outlineLevel="0" collapsed="false">
      <c r="A13" s="14" t="s">
        <v>1263</v>
      </c>
      <c r="B13" s="14"/>
      <c r="C13" s="14"/>
      <c r="D13" s="14"/>
      <c r="E13" s="14"/>
      <c r="F13" s="14"/>
      <c r="G13" s="14"/>
      <c r="H13" s="14"/>
      <c r="I13" s="14"/>
      <c r="J13" s="14"/>
    </row>
  </sheetData>
  <autoFilter ref="A1:J11"/>
  <mergeCells count="1">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20"/>
    <col collapsed="false" customWidth="true" hidden="false" outlineLevel="0" max="5" min="4" style="1" width="10"/>
    <col collapsed="false" customWidth="true" hidden="false" outlineLevel="0" max="6" min="6" style="1" width="46"/>
    <col collapsed="false" customWidth="true" hidden="false" outlineLevel="0" max="7" min="7" style="1" width="11"/>
    <col collapsed="false" customWidth="true" hidden="false" outlineLevel="0" max="8" min="8" style="1" width="30"/>
  </cols>
  <sheetData>
    <row r="1" customFormat="false" ht="30" hidden="false" customHeight="true" outlineLevel="0" collapsed="false">
      <c r="A1" s="7" t="s">
        <v>1264</v>
      </c>
      <c r="B1" s="7" t="s">
        <v>1265</v>
      </c>
      <c r="C1" s="7" t="s">
        <v>1266</v>
      </c>
      <c r="D1" s="7" t="s">
        <v>1267</v>
      </c>
      <c r="E1" s="7" t="s">
        <v>1268</v>
      </c>
      <c r="F1" s="7" t="s">
        <v>1269</v>
      </c>
      <c r="G1" s="7" t="s">
        <v>40</v>
      </c>
      <c r="H1" s="8" t="s">
        <v>1270</v>
      </c>
    </row>
    <row r="2" customFormat="false" ht="15" hidden="false" customHeight="true" outlineLevel="0" collapsed="false">
      <c r="A2" s="9" t="s">
        <v>1271</v>
      </c>
      <c r="B2" s="9" t="s">
        <v>1272</v>
      </c>
      <c r="C2" s="9" t="s">
        <v>1272</v>
      </c>
      <c r="D2" s="9" t="n">
        <v>6</v>
      </c>
      <c r="E2" s="9" t="n">
        <v>6</v>
      </c>
      <c r="F2" s="10" t="s">
        <v>1273</v>
      </c>
      <c r="G2" s="9" t="s">
        <v>412</v>
      </c>
      <c r="H2" s="10" t="s">
        <v>1274</v>
      </c>
    </row>
    <row r="3" customFormat="false" ht="15" hidden="false" customHeight="true" outlineLevel="0" collapsed="false">
      <c r="A3" s="11" t="s">
        <v>1275</v>
      </c>
      <c r="B3" s="11" t="s">
        <v>1276</v>
      </c>
      <c r="C3" s="11" t="s">
        <v>1277</v>
      </c>
      <c r="D3" s="11" t="n">
        <v>5</v>
      </c>
      <c r="E3" s="11" t="n">
        <v>5</v>
      </c>
      <c r="F3" s="12" t="s">
        <v>1278</v>
      </c>
      <c r="G3" s="11" t="s">
        <v>412</v>
      </c>
      <c r="H3" s="12" t="s">
        <v>1274</v>
      </c>
    </row>
    <row r="4" customFormat="false" ht="15" hidden="false" customHeight="true" outlineLevel="0" collapsed="false">
      <c r="A4" s="9" t="s">
        <v>1279</v>
      </c>
      <c r="B4" s="9" t="s">
        <v>1280</v>
      </c>
      <c r="C4" s="9" t="s">
        <v>1281</v>
      </c>
      <c r="D4" s="9" t="n">
        <v>4</v>
      </c>
      <c r="E4" s="9" t="n">
        <v>4</v>
      </c>
      <c r="F4" s="10" t="s">
        <v>1282</v>
      </c>
      <c r="G4" s="9" t="s">
        <v>412</v>
      </c>
      <c r="H4" s="10" t="s">
        <v>1274</v>
      </c>
    </row>
    <row r="5" customFormat="false" ht="15" hidden="false" customHeight="true" outlineLevel="0" collapsed="false">
      <c r="A5" s="11" t="s">
        <v>1283</v>
      </c>
      <c r="B5" s="11" t="s">
        <v>1284</v>
      </c>
      <c r="C5" s="11" t="s">
        <v>1285</v>
      </c>
      <c r="D5" s="11" t="n">
        <v>3</v>
      </c>
      <c r="E5" s="11" t="n">
        <v>3</v>
      </c>
      <c r="F5" s="12" t="s">
        <v>1286</v>
      </c>
      <c r="G5" s="11" t="s">
        <v>412</v>
      </c>
      <c r="H5" s="12" t="s">
        <v>1287</v>
      </c>
    </row>
    <row r="6" customFormat="false" ht="15" hidden="false" customHeight="true" outlineLevel="0" collapsed="false">
      <c r="A6" s="9" t="s">
        <v>1288</v>
      </c>
      <c r="B6" s="9" t="s">
        <v>1289</v>
      </c>
      <c r="C6" s="9" t="s">
        <v>1290</v>
      </c>
      <c r="D6" s="9" t="n">
        <v>2</v>
      </c>
      <c r="E6" s="9" t="n">
        <v>2</v>
      </c>
      <c r="F6" s="10" t="s">
        <v>1291</v>
      </c>
      <c r="G6" s="9" t="s">
        <v>412</v>
      </c>
      <c r="H6" s="10" t="s">
        <v>1274</v>
      </c>
    </row>
    <row r="7" customFormat="false" ht="15" hidden="false" customHeight="true" outlineLevel="0" collapsed="false">
      <c r="A7" s="11" t="s">
        <v>1292</v>
      </c>
      <c r="B7" s="11" t="s">
        <v>1293</v>
      </c>
      <c r="C7" s="11" t="s">
        <v>1294</v>
      </c>
      <c r="D7" s="11" t="n">
        <v>1</v>
      </c>
      <c r="E7" s="11" t="n">
        <v>1</v>
      </c>
      <c r="F7" s="12" t="s">
        <v>1295</v>
      </c>
      <c r="G7" s="11" t="s">
        <v>412</v>
      </c>
      <c r="H7" s="12" t="s">
        <v>1296</v>
      </c>
    </row>
    <row r="8" customFormat="false" ht="15" hidden="false" customHeight="true" outlineLevel="0" collapsed="false">
      <c r="A8" s="9" t="s">
        <v>1297</v>
      </c>
      <c r="B8" s="9" t="s">
        <v>1298</v>
      </c>
      <c r="C8" s="9" t="s">
        <v>1299</v>
      </c>
      <c r="D8" s="9" t="n">
        <v>0</v>
      </c>
      <c r="E8" s="9" t="n">
        <v>0</v>
      </c>
      <c r="F8" s="10" t="s">
        <v>1300</v>
      </c>
      <c r="G8" s="9" t="s">
        <v>412</v>
      </c>
      <c r="H8" s="10" t="s">
        <v>1296</v>
      </c>
    </row>
    <row r="10" customFormat="false" ht="27.75" hidden="false" customHeight="true" outlineLevel="0" collapsed="false">
      <c r="A10" s="14" t="s">
        <v>1301</v>
      </c>
      <c r="B10" s="14"/>
      <c r="C10" s="14"/>
      <c r="D10" s="14"/>
      <c r="E10" s="14"/>
      <c r="F10" s="14"/>
      <c r="G10" s="14"/>
      <c r="H10" s="14"/>
    </row>
  </sheetData>
  <autoFilter ref="A1:G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3" min="3" style="1" width="22"/>
    <col collapsed="false" customWidth="true" hidden="false" outlineLevel="0" max="4" min="4" style="1" width="11"/>
    <col collapsed="false" customWidth="true" hidden="false" outlineLevel="0" max="5" min="5" style="1" width="12"/>
    <col collapsed="false" customWidth="true" hidden="false" outlineLevel="0" max="6" min="6" style="1" width="8"/>
    <col collapsed="false" customWidth="true" hidden="false" outlineLevel="0" max="7" min="7" style="1" width="14"/>
    <col collapsed="false" customWidth="true" hidden="false" outlineLevel="0" max="8" min="8" style="1" width="13"/>
    <col collapsed="false" customWidth="true" hidden="false" outlineLevel="0" max="9" min="9" style="1" width="52"/>
    <col collapsed="false" customWidth="true" hidden="false" outlineLevel="0" max="10" min="10" style="1" width="16"/>
    <col collapsed="false" customWidth="true" hidden="false" outlineLevel="0" max="11" min="11" style="1" width="11"/>
  </cols>
  <sheetData>
    <row r="1" customFormat="false" ht="30" hidden="false" customHeight="true" outlineLevel="0" collapsed="false">
      <c r="A1" s="7" t="s">
        <v>1302</v>
      </c>
      <c r="B1" s="7" t="s">
        <v>608</v>
      </c>
      <c r="C1" s="7" t="s">
        <v>1183</v>
      </c>
      <c r="D1" s="7" t="s">
        <v>1198</v>
      </c>
      <c r="E1" s="7" t="s">
        <v>1303</v>
      </c>
      <c r="F1" s="7" t="s">
        <v>1304</v>
      </c>
      <c r="G1" s="7" t="s">
        <v>1305</v>
      </c>
      <c r="H1" s="7" t="s">
        <v>1306</v>
      </c>
      <c r="I1" s="7" t="s">
        <v>1307</v>
      </c>
      <c r="J1" s="7" t="s">
        <v>1308</v>
      </c>
      <c r="K1" s="7" t="s">
        <v>40</v>
      </c>
    </row>
    <row r="2" customFormat="false" ht="15" hidden="false" customHeight="true" outlineLevel="0" collapsed="false">
      <c r="A2" s="9" t="s">
        <v>1309</v>
      </c>
      <c r="B2" s="9" t="s">
        <v>664</v>
      </c>
      <c r="C2" s="9" t="s">
        <v>665</v>
      </c>
      <c r="D2" s="9" t="s">
        <v>1207</v>
      </c>
      <c r="E2" s="9" t="s">
        <v>1310</v>
      </c>
      <c r="F2" s="9" t="n">
        <v>18</v>
      </c>
      <c r="G2" s="9" t="s">
        <v>507</v>
      </c>
      <c r="H2" s="9"/>
      <c r="I2" s="9" t="s">
        <v>1311</v>
      </c>
      <c r="J2" s="9" t="s">
        <v>1250</v>
      </c>
      <c r="K2" s="9" t="s">
        <v>412</v>
      </c>
    </row>
    <row r="3" customFormat="false" ht="15" hidden="false" customHeight="true" outlineLevel="0" collapsed="false">
      <c r="A3" s="11" t="s">
        <v>1312</v>
      </c>
      <c r="B3" s="11" t="s">
        <v>664</v>
      </c>
      <c r="C3" s="11" t="s">
        <v>665</v>
      </c>
      <c r="D3" s="11" t="s">
        <v>1213</v>
      </c>
      <c r="E3" s="11" t="s">
        <v>1310</v>
      </c>
      <c r="F3" s="11" t="n">
        <v>6</v>
      </c>
      <c r="G3" s="11" t="s">
        <v>507</v>
      </c>
      <c r="H3" s="11" t="s">
        <v>1313</v>
      </c>
      <c r="I3" s="11" t="s">
        <v>1314</v>
      </c>
      <c r="J3" s="11" t="s">
        <v>1253</v>
      </c>
      <c r="K3" s="11" t="s">
        <v>412</v>
      </c>
    </row>
    <row r="4" customFormat="false" ht="15" hidden="false" customHeight="true" outlineLevel="0" collapsed="false">
      <c r="A4" s="9" t="s">
        <v>1315</v>
      </c>
      <c r="B4" s="9" t="s">
        <v>664</v>
      </c>
      <c r="C4" s="9" t="s">
        <v>665</v>
      </c>
      <c r="D4" s="9" t="s">
        <v>1222</v>
      </c>
      <c r="E4" s="9" t="s">
        <v>1310</v>
      </c>
      <c r="F4" s="9" t="n">
        <v>6</v>
      </c>
      <c r="G4" s="9" t="s">
        <v>507</v>
      </c>
      <c r="H4" s="9" t="s">
        <v>1313</v>
      </c>
      <c r="I4" s="9" t="s">
        <v>1314</v>
      </c>
      <c r="J4" s="9" t="s">
        <v>1254</v>
      </c>
      <c r="K4" s="9" t="s">
        <v>412</v>
      </c>
    </row>
    <row r="5" customFormat="false" ht="15" hidden="false" customHeight="true" outlineLevel="0" collapsed="false">
      <c r="A5" s="11" t="s">
        <v>1316</v>
      </c>
      <c r="B5" s="11" t="s">
        <v>664</v>
      </c>
      <c r="C5" s="11" t="s">
        <v>665</v>
      </c>
      <c r="D5" s="11" t="s">
        <v>1207</v>
      </c>
      <c r="E5" s="11" t="s">
        <v>1317</v>
      </c>
      <c r="F5" s="11" t="n">
        <v>5</v>
      </c>
      <c r="G5" s="11" t="s">
        <v>1318</v>
      </c>
      <c r="H5" s="11"/>
      <c r="I5" s="11" t="s">
        <v>1319</v>
      </c>
      <c r="J5" s="11"/>
      <c r="K5" s="11"/>
    </row>
    <row r="6" customFormat="false" ht="15" hidden="false" customHeight="true" outlineLevel="0" collapsed="false">
      <c r="A6" s="9" t="s">
        <v>1320</v>
      </c>
      <c r="B6" s="9" t="s">
        <v>773</v>
      </c>
      <c r="C6" s="9" t="s">
        <v>774</v>
      </c>
      <c r="D6" s="9" t="s">
        <v>1213</v>
      </c>
      <c r="E6" s="9" t="s">
        <v>1310</v>
      </c>
      <c r="F6" s="9" t="n">
        <v>6</v>
      </c>
      <c r="G6" s="9" t="s">
        <v>507</v>
      </c>
      <c r="H6" s="9" t="s">
        <v>1313</v>
      </c>
      <c r="I6" s="9" t="s">
        <v>1314</v>
      </c>
      <c r="J6" s="9" t="s">
        <v>1257</v>
      </c>
      <c r="K6" s="9" t="s">
        <v>412</v>
      </c>
    </row>
    <row r="7" customFormat="false" ht="15" hidden="false" customHeight="true" outlineLevel="0" collapsed="false">
      <c r="A7" s="11" t="s">
        <v>1321</v>
      </c>
      <c r="B7" s="11" t="s">
        <v>773</v>
      </c>
      <c r="C7" s="11" t="s">
        <v>774</v>
      </c>
      <c r="D7" s="11" t="s">
        <v>1222</v>
      </c>
      <c r="E7" s="11" t="s">
        <v>1310</v>
      </c>
      <c r="F7" s="11" t="n">
        <v>6</v>
      </c>
      <c r="G7" s="11" t="s">
        <v>507</v>
      </c>
      <c r="H7" s="11" t="s">
        <v>1313</v>
      </c>
      <c r="I7" s="11" t="s">
        <v>1314</v>
      </c>
      <c r="J7" s="11" t="s">
        <v>1258</v>
      </c>
      <c r="K7" s="11" t="s">
        <v>412</v>
      </c>
    </row>
    <row r="8" customFormat="false" ht="15" hidden="false" customHeight="true" outlineLevel="0" collapsed="false">
      <c r="A8" s="9" t="s">
        <v>1322</v>
      </c>
      <c r="B8" s="9" t="s">
        <v>773</v>
      </c>
      <c r="C8" s="9" t="s">
        <v>774</v>
      </c>
      <c r="D8" s="9" t="s">
        <v>1207</v>
      </c>
      <c r="E8" s="9" t="s">
        <v>1310</v>
      </c>
      <c r="F8" s="9" t="n">
        <v>12</v>
      </c>
      <c r="G8" s="9" t="s">
        <v>1323</v>
      </c>
      <c r="H8" s="9"/>
      <c r="I8" s="9" t="s">
        <v>1324</v>
      </c>
      <c r="J8" s="9" t="s">
        <v>1255</v>
      </c>
      <c r="K8" s="9" t="s">
        <v>412</v>
      </c>
    </row>
    <row r="9" customFormat="false" ht="15" hidden="false" customHeight="true" outlineLevel="0" collapsed="false">
      <c r="A9" s="11" t="s">
        <v>1325</v>
      </c>
      <c r="B9" s="11" t="s">
        <v>773</v>
      </c>
      <c r="C9" s="11" t="s">
        <v>774</v>
      </c>
      <c r="D9" s="11" t="s">
        <v>1213</v>
      </c>
      <c r="E9" s="11" t="s">
        <v>1317</v>
      </c>
      <c r="F9" s="11" t="n">
        <v>2</v>
      </c>
      <c r="G9" s="11" t="s">
        <v>1326</v>
      </c>
      <c r="H9" s="11"/>
      <c r="I9" s="11" t="s">
        <v>1327</v>
      </c>
      <c r="J9" s="11"/>
      <c r="K9" s="11"/>
    </row>
    <row r="10" customFormat="false" ht="15" hidden="false" customHeight="true" outlineLevel="0" collapsed="false">
      <c r="A10" s="9" t="s">
        <v>1328</v>
      </c>
      <c r="B10" s="9" t="s">
        <v>970</v>
      </c>
      <c r="C10" s="9" t="s">
        <v>971</v>
      </c>
      <c r="D10" s="9" t="s">
        <v>1207</v>
      </c>
      <c r="E10" s="9" t="s">
        <v>1310</v>
      </c>
      <c r="F10" s="9" t="n">
        <v>12</v>
      </c>
      <c r="G10" s="9" t="s">
        <v>1323</v>
      </c>
      <c r="H10" s="9"/>
      <c r="I10" s="9" t="s">
        <v>1329</v>
      </c>
      <c r="J10" s="9" t="s">
        <v>1255</v>
      </c>
      <c r="K10" s="9"/>
    </row>
    <row r="11" customFormat="false" ht="15" hidden="false" customHeight="true" outlineLevel="0" collapsed="false">
      <c r="A11" s="11" t="s">
        <v>1330</v>
      </c>
      <c r="B11" s="11" t="s">
        <v>970</v>
      </c>
      <c r="C11" s="11" t="s">
        <v>971</v>
      </c>
      <c r="D11" s="11" t="s">
        <v>1213</v>
      </c>
      <c r="E11" s="11" t="s">
        <v>1310</v>
      </c>
      <c r="F11" s="11" t="n">
        <v>6</v>
      </c>
      <c r="G11" s="11" t="s">
        <v>507</v>
      </c>
      <c r="H11" s="11" t="s">
        <v>1313</v>
      </c>
      <c r="I11" s="11" t="s">
        <v>1314</v>
      </c>
      <c r="J11" s="11" t="s">
        <v>1257</v>
      </c>
      <c r="K11" s="11"/>
    </row>
    <row r="12" customFormat="false" ht="15" hidden="false" customHeight="true" outlineLevel="0" collapsed="false">
      <c r="A12" s="9" t="s">
        <v>1331</v>
      </c>
      <c r="B12" s="9" t="s">
        <v>970</v>
      </c>
      <c r="C12" s="9" t="s">
        <v>971</v>
      </c>
      <c r="D12" s="9" t="s">
        <v>1207</v>
      </c>
      <c r="E12" s="9" t="s">
        <v>1317</v>
      </c>
      <c r="F12" s="9" t="n">
        <v>10</v>
      </c>
      <c r="G12" s="9" t="s">
        <v>1332</v>
      </c>
      <c r="H12" s="9"/>
      <c r="I12" s="9" t="s">
        <v>1333</v>
      </c>
      <c r="J12" s="9"/>
      <c r="K12" s="9" t="s">
        <v>1334</v>
      </c>
    </row>
    <row r="13" customFormat="false" ht="21.75" hidden="false" customHeight="true" outlineLevel="0" collapsed="false">
      <c r="A13" s="11" t="s">
        <v>1335</v>
      </c>
      <c r="B13" s="11" t="s">
        <v>970</v>
      </c>
      <c r="C13" s="11" t="s">
        <v>971</v>
      </c>
      <c r="D13" s="11" t="s">
        <v>1207</v>
      </c>
      <c r="E13" s="11" t="s">
        <v>1336</v>
      </c>
      <c r="F13" s="11" t="n">
        <v>3</v>
      </c>
      <c r="G13" s="11" t="s">
        <v>1337</v>
      </c>
      <c r="H13" s="11"/>
      <c r="I13" s="11" t="s">
        <v>1338</v>
      </c>
      <c r="J13" s="11"/>
      <c r="K13" s="11" t="s">
        <v>1334</v>
      </c>
    </row>
    <row r="14" customFormat="false" ht="15" hidden="false" customHeight="true" outlineLevel="0" collapsed="false">
      <c r="A14" s="9" t="s">
        <v>1339</v>
      </c>
      <c r="B14" s="9" t="s">
        <v>1157</v>
      </c>
      <c r="C14" s="9" t="s">
        <v>1158</v>
      </c>
      <c r="D14" s="9" t="s">
        <v>1213</v>
      </c>
      <c r="E14" s="9" t="s">
        <v>1310</v>
      </c>
      <c r="F14" s="9" t="n">
        <v>5</v>
      </c>
      <c r="G14" s="9" t="s">
        <v>1160</v>
      </c>
      <c r="H14" s="9" t="s">
        <v>1313</v>
      </c>
      <c r="I14" s="9" t="s">
        <v>1340</v>
      </c>
      <c r="J14" s="9" t="s">
        <v>1257</v>
      </c>
      <c r="K14" s="9" t="s">
        <v>412</v>
      </c>
    </row>
    <row r="15" customFormat="false" ht="15" hidden="false" customHeight="true" outlineLevel="0" collapsed="false">
      <c r="A15" s="11" t="s">
        <v>1341</v>
      </c>
      <c r="B15" s="11" t="s">
        <v>1157</v>
      </c>
      <c r="C15" s="11" t="s">
        <v>1158</v>
      </c>
      <c r="D15" s="11" t="s">
        <v>1222</v>
      </c>
      <c r="E15" s="11" t="s">
        <v>1310</v>
      </c>
      <c r="F15" s="11" t="n">
        <v>5</v>
      </c>
      <c r="G15" s="11" t="s">
        <v>1160</v>
      </c>
      <c r="H15" s="11" t="s">
        <v>1313</v>
      </c>
      <c r="I15" s="11" t="s">
        <v>1340</v>
      </c>
      <c r="J15" s="11" t="s">
        <v>1258</v>
      </c>
      <c r="K15" s="11" t="s">
        <v>412</v>
      </c>
    </row>
    <row r="16" customFormat="false" ht="15" hidden="false" customHeight="true" outlineLevel="0" collapsed="false">
      <c r="A16" s="9" t="s">
        <v>1342</v>
      </c>
      <c r="B16" s="9" t="s">
        <v>1157</v>
      </c>
      <c r="C16" s="9" t="s">
        <v>1158</v>
      </c>
      <c r="D16" s="9" t="s">
        <v>1207</v>
      </c>
      <c r="E16" s="9" t="s">
        <v>1310</v>
      </c>
      <c r="F16" s="9" t="n">
        <v>9</v>
      </c>
      <c r="G16" s="9" t="s">
        <v>1164</v>
      </c>
      <c r="H16" s="9"/>
      <c r="I16" s="9" t="s">
        <v>1343</v>
      </c>
      <c r="J16" s="9" t="s">
        <v>1255</v>
      </c>
      <c r="K16" s="9" t="s">
        <v>412</v>
      </c>
    </row>
    <row r="17" customFormat="false" ht="15" hidden="false" customHeight="true" outlineLevel="0" collapsed="false">
      <c r="A17" s="11" t="s">
        <v>1344</v>
      </c>
      <c r="B17" s="11" t="s">
        <v>1098</v>
      </c>
      <c r="C17" s="11" t="s">
        <v>1099</v>
      </c>
      <c r="D17" s="11" t="s">
        <v>1213</v>
      </c>
      <c r="E17" s="11" t="s">
        <v>1310</v>
      </c>
      <c r="F17" s="11" t="n">
        <v>4</v>
      </c>
      <c r="G17" s="11" t="s">
        <v>1101</v>
      </c>
      <c r="H17" s="11" t="s">
        <v>1313</v>
      </c>
      <c r="I17" s="11" t="s">
        <v>1345</v>
      </c>
      <c r="J17" s="11" t="s">
        <v>1257</v>
      </c>
      <c r="K17" s="11" t="s">
        <v>412</v>
      </c>
    </row>
    <row r="18" customFormat="false" ht="15" hidden="false" customHeight="true" outlineLevel="0" collapsed="false">
      <c r="A18" s="9" t="s">
        <v>1346</v>
      </c>
      <c r="B18" s="9" t="s">
        <v>1098</v>
      </c>
      <c r="C18" s="9" t="s">
        <v>1099</v>
      </c>
      <c r="D18" s="9" t="s">
        <v>1222</v>
      </c>
      <c r="E18" s="9" t="s">
        <v>1310</v>
      </c>
      <c r="F18" s="9" t="n">
        <v>4</v>
      </c>
      <c r="G18" s="9" t="s">
        <v>1101</v>
      </c>
      <c r="H18" s="9" t="s">
        <v>1313</v>
      </c>
      <c r="I18" s="9" t="s">
        <v>1345</v>
      </c>
      <c r="J18" s="9" t="s">
        <v>1258</v>
      </c>
      <c r="K18" s="9" t="s">
        <v>412</v>
      </c>
    </row>
    <row r="19" customFormat="false" ht="15" hidden="false" customHeight="true" outlineLevel="0" collapsed="false">
      <c r="A19" s="11" t="s">
        <v>1347</v>
      </c>
      <c r="B19" s="11" t="s">
        <v>855</v>
      </c>
      <c r="C19" s="11" t="s">
        <v>856</v>
      </c>
      <c r="D19" s="11" t="s">
        <v>1213</v>
      </c>
      <c r="E19" s="11" t="s">
        <v>1310</v>
      </c>
      <c r="F19" s="11" t="n">
        <v>3</v>
      </c>
      <c r="G19" s="11" t="s">
        <v>858</v>
      </c>
      <c r="H19" s="11" t="s">
        <v>1313</v>
      </c>
      <c r="I19" s="11" t="s">
        <v>1348</v>
      </c>
      <c r="J19" s="11" t="s">
        <v>1259</v>
      </c>
      <c r="K19" s="11" t="s">
        <v>412</v>
      </c>
    </row>
    <row r="20" customFormat="false" ht="15" hidden="false" customHeight="true" outlineLevel="0" collapsed="false">
      <c r="A20" s="9" t="s">
        <v>1349</v>
      </c>
      <c r="B20" s="9" t="s">
        <v>867</v>
      </c>
      <c r="C20" s="9" t="s">
        <v>868</v>
      </c>
      <c r="D20" s="9" t="s">
        <v>1213</v>
      </c>
      <c r="E20" s="9" t="s">
        <v>1310</v>
      </c>
      <c r="F20" s="9" t="n">
        <v>3</v>
      </c>
      <c r="G20" s="9" t="s">
        <v>858</v>
      </c>
      <c r="H20" s="9" t="s">
        <v>1313</v>
      </c>
      <c r="I20" s="9" t="s">
        <v>1350</v>
      </c>
      <c r="J20" s="9" t="s">
        <v>1260</v>
      </c>
      <c r="K20" s="9" t="s">
        <v>412</v>
      </c>
    </row>
    <row r="21" customFormat="false" ht="15" hidden="false" customHeight="true" outlineLevel="0" collapsed="false">
      <c r="A21" s="11" t="s">
        <v>1351</v>
      </c>
      <c r="B21" s="11" t="s">
        <v>599</v>
      </c>
      <c r="C21" s="11" t="s">
        <v>1141</v>
      </c>
      <c r="D21" s="11" t="s">
        <v>1213</v>
      </c>
      <c r="E21" s="11" t="s">
        <v>1310</v>
      </c>
      <c r="F21" s="11" t="n">
        <v>2</v>
      </c>
      <c r="G21" s="11" t="s">
        <v>1143</v>
      </c>
      <c r="H21" s="11" t="s">
        <v>1313</v>
      </c>
      <c r="I21" s="11" t="s">
        <v>1352</v>
      </c>
      <c r="J21" s="11" t="s">
        <v>1257</v>
      </c>
      <c r="K21" s="11" t="s">
        <v>412</v>
      </c>
    </row>
    <row r="22" customFormat="false" ht="15" hidden="false" customHeight="true" outlineLevel="0" collapsed="false">
      <c r="A22" s="9" t="s">
        <v>1353</v>
      </c>
      <c r="B22" s="9" t="s">
        <v>599</v>
      </c>
      <c r="C22" s="9" t="s">
        <v>1141</v>
      </c>
      <c r="D22" s="9" t="s">
        <v>1222</v>
      </c>
      <c r="E22" s="9" t="s">
        <v>1310</v>
      </c>
      <c r="F22" s="9" t="n">
        <v>2</v>
      </c>
      <c r="G22" s="9" t="s">
        <v>1143</v>
      </c>
      <c r="H22" s="9" t="s">
        <v>1313</v>
      </c>
      <c r="I22" s="9" t="s">
        <v>1352</v>
      </c>
      <c r="J22" s="9" t="s">
        <v>1258</v>
      </c>
      <c r="K22" s="9" t="s">
        <v>412</v>
      </c>
    </row>
    <row r="23" customFormat="false" ht="15" hidden="false" customHeight="true" outlineLevel="0" collapsed="false">
      <c r="A23" s="11" t="s">
        <v>1354</v>
      </c>
      <c r="B23" s="11" t="s">
        <v>840</v>
      </c>
      <c r="C23" s="11" t="s">
        <v>841</v>
      </c>
      <c r="D23" s="11" t="s">
        <v>1224</v>
      </c>
      <c r="E23" s="11" t="s">
        <v>1310</v>
      </c>
      <c r="F23" s="11" t="n">
        <v>1</v>
      </c>
      <c r="G23" s="11" t="s">
        <v>1180</v>
      </c>
      <c r="H23" s="11" t="s">
        <v>1355</v>
      </c>
      <c r="I23" s="11" t="s">
        <v>1356</v>
      </c>
      <c r="J23" s="11" t="s">
        <v>1357</v>
      </c>
      <c r="K23" s="11" t="s">
        <v>1229</v>
      </c>
    </row>
    <row r="24" customFormat="false" ht="15" hidden="false" customHeight="true" outlineLevel="0" collapsed="false">
      <c r="A24" s="9" t="s">
        <v>1358</v>
      </c>
      <c r="B24" s="9" t="s">
        <v>840</v>
      </c>
      <c r="C24" s="9" t="s">
        <v>841</v>
      </c>
      <c r="D24" s="9" t="s">
        <v>1224</v>
      </c>
      <c r="E24" s="9" t="s">
        <v>1310</v>
      </c>
      <c r="F24" s="9" t="n">
        <v>1</v>
      </c>
      <c r="G24" s="9" t="s">
        <v>1359</v>
      </c>
      <c r="H24" s="9" t="s">
        <v>1360</v>
      </c>
      <c r="I24" s="9" t="s">
        <v>1361</v>
      </c>
      <c r="J24" s="9" t="s">
        <v>1362</v>
      </c>
      <c r="K24" s="9" t="s">
        <v>1229</v>
      </c>
    </row>
    <row r="25" customFormat="false" ht="15" hidden="false" customHeight="true" outlineLevel="0" collapsed="false">
      <c r="A25" s="11" t="s">
        <v>1363</v>
      </c>
      <c r="B25" s="11" t="s">
        <v>1023</v>
      </c>
      <c r="C25" s="11" t="s">
        <v>1024</v>
      </c>
      <c r="D25" s="11" t="s">
        <v>1224</v>
      </c>
      <c r="E25" s="11" t="s">
        <v>1310</v>
      </c>
      <c r="F25" s="11" t="n">
        <v>1</v>
      </c>
      <c r="G25" s="11" t="s">
        <v>1364</v>
      </c>
      <c r="H25" s="11" t="s">
        <v>1365</v>
      </c>
      <c r="I25" s="11" t="s">
        <v>1366</v>
      </c>
      <c r="J25" s="11" t="s">
        <v>1367</v>
      </c>
      <c r="K25" s="11" t="s">
        <v>1229</v>
      </c>
    </row>
    <row r="26" customFormat="false" ht="15" hidden="false" customHeight="true" outlineLevel="0" collapsed="false">
      <c r="A26" s="9" t="s">
        <v>1368</v>
      </c>
      <c r="B26" s="9" t="s">
        <v>1023</v>
      </c>
      <c r="C26" s="9" t="s">
        <v>1024</v>
      </c>
      <c r="D26" s="9" t="s">
        <v>1224</v>
      </c>
      <c r="E26" s="9" t="s">
        <v>1317</v>
      </c>
      <c r="F26" s="9" t="n">
        <v>1</v>
      </c>
      <c r="G26" s="9" t="s">
        <v>1369</v>
      </c>
      <c r="H26" s="9"/>
      <c r="I26" s="9" t="s">
        <v>1370</v>
      </c>
      <c r="J26" s="9" t="s">
        <v>1371</v>
      </c>
      <c r="K26" s="9"/>
    </row>
    <row r="27" customFormat="false" ht="15" hidden="false" customHeight="true" outlineLevel="0" collapsed="false">
      <c r="A27" s="11" t="s">
        <v>1372</v>
      </c>
      <c r="B27" s="11" t="s">
        <v>580</v>
      </c>
      <c r="C27" s="11" t="s">
        <v>766</v>
      </c>
      <c r="D27" s="11" t="s">
        <v>1207</v>
      </c>
      <c r="E27" s="11" t="s">
        <v>1310</v>
      </c>
      <c r="F27" s="11" t="n">
        <v>12</v>
      </c>
      <c r="G27" s="11" t="s">
        <v>1323</v>
      </c>
      <c r="H27" s="11"/>
      <c r="I27" s="11" t="s">
        <v>1329</v>
      </c>
      <c r="J27" s="11" t="s">
        <v>1255</v>
      </c>
      <c r="K27" s="11"/>
    </row>
    <row r="28" customFormat="false" ht="15" hidden="false" customHeight="true" outlineLevel="0" collapsed="false">
      <c r="A28" s="9" t="s">
        <v>1373</v>
      </c>
      <c r="B28" s="9" t="s">
        <v>580</v>
      </c>
      <c r="C28" s="9" t="s">
        <v>766</v>
      </c>
      <c r="D28" s="9" t="s">
        <v>1213</v>
      </c>
      <c r="E28" s="9" t="s">
        <v>1310</v>
      </c>
      <c r="F28" s="9" t="n">
        <v>6</v>
      </c>
      <c r="G28" s="9" t="s">
        <v>507</v>
      </c>
      <c r="H28" s="9" t="s">
        <v>1313</v>
      </c>
      <c r="I28" s="9" t="s">
        <v>1314</v>
      </c>
      <c r="J28" s="9" t="s">
        <v>1257</v>
      </c>
      <c r="K28" s="9"/>
    </row>
    <row r="29" customFormat="false" ht="15" hidden="false" customHeight="true" outlineLevel="0" collapsed="false">
      <c r="A29" s="11" t="s">
        <v>1374</v>
      </c>
      <c r="B29" s="11" t="s">
        <v>797</v>
      </c>
      <c r="C29" s="11" t="s">
        <v>798</v>
      </c>
      <c r="D29" s="11" t="s">
        <v>1213</v>
      </c>
      <c r="E29" s="11" t="s">
        <v>1310</v>
      </c>
      <c r="F29" s="11" t="n">
        <v>6</v>
      </c>
      <c r="G29" s="11" t="s">
        <v>507</v>
      </c>
      <c r="H29" s="11" t="s">
        <v>1313</v>
      </c>
      <c r="I29" s="11" t="s">
        <v>1314</v>
      </c>
      <c r="J29" s="11" t="s">
        <v>1257</v>
      </c>
      <c r="K29" s="11"/>
    </row>
    <row r="30" customFormat="false" ht="21.75" hidden="false" customHeight="true" outlineLevel="0" collapsed="false">
      <c r="A30" s="9" t="s">
        <v>1375</v>
      </c>
      <c r="B30" s="9" t="s">
        <v>797</v>
      </c>
      <c r="C30" s="9" t="s">
        <v>798</v>
      </c>
      <c r="D30" s="9" t="s">
        <v>1213</v>
      </c>
      <c r="E30" s="9" t="s">
        <v>1376</v>
      </c>
      <c r="F30" s="9" t="n">
        <v>0</v>
      </c>
      <c r="G30" s="9" t="s">
        <v>1377</v>
      </c>
      <c r="H30" s="9"/>
      <c r="I30" s="9" t="s">
        <v>1378</v>
      </c>
      <c r="J30" s="9"/>
      <c r="K30" s="9"/>
    </row>
    <row r="31" customFormat="false" ht="15" hidden="false" customHeight="true" outlineLevel="0" collapsed="false">
      <c r="A31" s="11" t="s">
        <v>1379</v>
      </c>
      <c r="B31" s="11" t="s">
        <v>1068</v>
      </c>
      <c r="C31" s="11" t="s">
        <v>1069</v>
      </c>
      <c r="D31" s="11" t="s">
        <v>1207</v>
      </c>
      <c r="E31" s="11" t="s">
        <v>1310</v>
      </c>
      <c r="F31" s="11" t="n">
        <v>12</v>
      </c>
      <c r="G31" s="11" t="s">
        <v>1323</v>
      </c>
      <c r="H31" s="11"/>
      <c r="I31" s="11" t="s">
        <v>1329</v>
      </c>
      <c r="J31" s="11" t="s">
        <v>1255</v>
      </c>
      <c r="K31" s="11"/>
    </row>
    <row r="32" customFormat="false" ht="15" hidden="false" customHeight="true" outlineLevel="0" collapsed="false">
      <c r="A32" s="10" t="s">
        <v>1380</v>
      </c>
      <c r="B32" s="10" t="s">
        <v>1174</v>
      </c>
      <c r="C32" s="10" t="s">
        <v>1175</v>
      </c>
      <c r="D32" s="10" t="s">
        <v>1213</v>
      </c>
      <c r="E32" s="10" t="s">
        <v>1310</v>
      </c>
      <c r="F32" s="10" t="n">
        <v>6</v>
      </c>
      <c r="G32" s="10" t="s">
        <v>933</v>
      </c>
      <c r="H32" s="10" t="s">
        <v>1313</v>
      </c>
      <c r="I32" s="10" t="s">
        <v>1381</v>
      </c>
      <c r="J32" s="10" t="s">
        <v>1257</v>
      </c>
      <c r="K32" s="10" t="s">
        <v>412</v>
      </c>
    </row>
    <row r="33" customFormat="false" ht="27.75" hidden="false" customHeight="true" outlineLevel="0" collapsed="false">
      <c r="A33" s="12" t="s">
        <v>1382</v>
      </c>
      <c r="B33" s="12" t="s">
        <v>1174</v>
      </c>
      <c r="C33" s="12" t="s">
        <v>1175</v>
      </c>
      <c r="D33" s="12" t="s">
        <v>1222</v>
      </c>
      <c r="E33" s="12" t="s">
        <v>1310</v>
      </c>
      <c r="F33" s="12" t="n">
        <v>6</v>
      </c>
      <c r="G33" s="12" t="s">
        <v>933</v>
      </c>
      <c r="H33" s="12" t="s">
        <v>1313</v>
      </c>
      <c r="I33" s="12" t="s">
        <v>1381</v>
      </c>
      <c r="J33" s="12" t="s">
        <v>1258</v>
      </c>
      <c r="K33" s="12" t="s">
        <v>412</v>
      </c>
    </row>
    <row r="34" customFormat="false" ht="15" hidden="false" customHeight="true" outlineLevel="0" collapsed="false">
      <c r="A34" s="10" t="s">
        <v>1383</v>
      </c>
      <c r="B34" s="10" t="s">
        <v>1174</v>
      </c>
      <c r="C34" s="10" t="s">
        <v>1175</v>
      </c>
      <c r="D34" s="10" t="s">
        <v>1207</v>
      </c>
      <c r="E34" s="10" t="s">
        <v>1310</v>
      </c>
      <c r="F34" s="10" t="n">
        <v>9</v>
      </c>
      <c r="G34" s="10" t="s">
        <v>1180</v>
      </c>
      <c r="H34" s="10"/>
      <c r="I34" s="10" t="s">
        <v>1384</v>
      </c>
      <c r="J34" s="10" t="s">
        <v>1255</v>
      </c>
      <c r="K34" s="10" t="s">
        <v>412</v>
      </c>
    </row>
    <row r="35" customFormat="false" ht="15" hidden="false" customHeight="true" outlineLevel="0" collapsed="false">
      <c r="A35" s="12" t="s">
        <v>1385</v>
      </c>
      <c r="B35" s="12" t="s">
        <v>1174</v>
      </c>
      <c r="C35" s="12" t="s">
        <v>1175</v>
      </c>
      <c r="D35" s="12" t="s">
        <v>1207</v>
      </c>
      <c r="E35" s="12" t="s">
        <v>1310</v>
      </c>
      <c r="F35" s="12" t="n">
        <v>1.5</v>
      </c>
      <c r="G35" s="12" t="s">
        <v>1323</v>
      </c>
      <c r="H35" s="12"/>
      <c r="I35" s="12" t="s">
        <v>1386</v>
      </c>
      <c r="J35" s="12" t="s">
        <v>1255</v>
      </c>
      <c r="K35" s="12" t="s">
        <v>412</v>
      </c>
    </row>
    <row r="36" customFormat="false" ht="15" hidden="false" customHeight="true" outlineLevel="0" collapsed="false">
      <c r="A36" s="10" t="s">
        <v>1387</v>
      </c>
      <c r="B36" s="10" t="s">
        <v>1174</v>
      </c>
      <c r="C36" s="10" t="s">
        <v>1175</v>
      </c>
      <c r="D36" s="10" t="s">
        <v>1213</v>
      </c>
      <c r="E36" s="10" t="s">
        <v>1317</v>
      </c>
      <c r="F36" s="10" t="n">
        <v>1</v>
      </c>
      <c r="G36" s="10" t="s">
        <v>1388</v>
      </c>
      <c r="H36" s="10"/>
      <c r="I36" s="10" t="s">
        <v>1389</v>
      </c>
      <c r="J36" s="10"/>
      <c r="K36" s="10"/>
    </row>
    <row r="37" customFormat="false" ht="15" hidden="false" customHeight="false" outlineLevel="0" collapsed="false">
      <c r="A37" s="12" t="s">
        <v>1390</v>
      </c>
      <c r="B37" s="12" t="s">
        <v>1166</v>
      </c>
      <c r="C37" s="12" t="s">
        <v>1167</v>
      </c>
      <c r="D37" s="12" t="s">
        <v>1207</v>
      </c>
      <c r="E37" s="12" t="s">
        <v>1310</v>
      </c>
      <c r="F37" s="12" t="n">
        <v>12</v>
      </c>
      <c r="G37" s="12" t="s">
        <v>1323</v>
      </c>
      <c r="H37" s="12"/>
      <c r="I37" s="12" t="s">
        <v>1329</v>
      </c>
      <c r="J37" s="12" t="s">
        <v>1255</v>
      </c>
      <c r="K37" s="12"/>
    </row>
    <row r="38" customFormat="false" ht="27.75" hidden="false" customHeight="true" outlineLevel="0" collapsed="false">
      <c r="A38" s="10" t="s">
        <v>1391</v>
      </c>
      <c r="B38" s="10" t="s">
        <v>1166</v>
      </c>
      <c r="C38" s="10" t="s">
        <v>1167</v>
      </c>
      <c r="D38" s="10" t="s">
        <v>1207</v>
      </c>
      <c r="E38" s="10" t="s">
        <v>1317</v>
      </c>
      <c r="F38" s="10" t="n">
        <v>4</v>
      </c>
      <c r="G38" s="10" t="s">
        <v>1110</v>
      </c>
      <c r="H38" s="10"/>
      <c r="I38" s="10" t="s">
        <v>1392</v>
      </c>
      <c r="J38" s="10"/>
      <c r="K38" s="10"/>
    </row>
    <row r="39" customFormat="false" ht="15" hidden="false" customHeight="false" outlineLevel="0" collapsed="false">
      <c r="A39" s="12" t="s">
        <v>1393</v>
      </c>
      <c r="B39" s="12" t="s">
        <v>1166</v>
      </c>
      <c r="C39" s="12" t="s">
        <v>1167</v>
      </c>
      <c r="D39" s="12" t="s">
        <v>1207</v>
      </c>
      <c r="E39" s="12" t="s">
        <v>1310</v>
      </c>
      <c r="F39" s="12" t="n">
        <v>1.5</v>
      </c>
      <c r="G39" s="12" t="s">
        <v>1394</v>
      </c>
      <c r="H39" s="12"/>
      <c r="I39" s="12" t="s">
        <v>1395</v>
      </c>
      <c r="J39" s="12" t="s">
        <v>1255</v>
      </c>
      <c r="K39" s="12" t="s">
        <v>1396</v>
      </c>
    </row>
    <row r="40" customFormat="false" ht="15" hidden="false" customHeight="false" outlineLevel="0" collapsed="false">
      <c r="A40" s="10" t="s">
        <v>1397</v>
      </c>
      <c r="B40" s="10" t="s">
        <v>961</v>
      </c>
      <c r="C40" s="10" t="s">
        <v>962</v>
      </c>
      <c r="D40" s="10" t="s">
        <v>1207</v>
      </c>
      <c r="E40" s="10" t="s">
        <v>1310</v>
      </c>
      <c r="F40" s="10" t="n">
        <v>12</v>
      </c>
      <c r="G40" s="10" t="s">
        <v>1323</v>
      </c>
      <c r="H40" s="10"/>
      <c r="I40" s="10" t="s">
        <v>1329</v>
      </c>
      <c r="J40" s="10" t="s">
        <v>1255</v>
      </c>
      <c r="K40" s="10"/>
    </row>
    <row r="41" customFormat="false" ht="15" hidden="false" customHeight="false" outlineLevel="0" collapsed="false">
      <c r="A41" s="12" t="s">
        <v>1398</v>
      </c>
      <c r="B41" s="12" t="s">
        <v>961</v>
      </c>
      <c r="C41" s="12" t="s">
        <v>962</v>
      </c>
      <c r="D41" s="12" t="s">
        <v>1207</v>
      </c>
      <c r="E41" s="12" t="s">
        <v>1317</v>
      </c>
      <c r="F41" s="12" t="n">
        <v>6</v>
      </c>
      <c r="G41" s="12" t="s">
        <v>1399</v>
      </c>
      <c r="H41" s="12"/>
      <c r="I41" s="12" t="s">
        <v>1400</v>
      </c>
      <c r="J41" s="12"/>
      <c r="K41" s="12"/>
    </row>
    <row r="42" customFormat="false" ht="105.95" hidden="false" customHeight="false" outlineLevel="0" collapsed="false">
      <c r="A42" s="10" t="s">
        <v>1401</v>
      </c>
      <c r="B42" s="10" t="s">
        <v>840</v>
      </c>
      <c r="C42" s="10" t="s">
        <v>841</v>
      </c>
      <c r="D42" s="10" t="s">
        <v>1224</v>
      </c>
      <c r="E42" s="10" t="s">
        <v>1317</v>
      </c>
      <c r="F42" s="10" t="n">
        <v>1</v>
      </c>
      <c r="G42" s="10" t="s">
        <v>1377</v>
      </c>
      <c r="H42" s="10"/>
      <c r="I42" s="10" t="s">
        <v>1402</v>
      </c>
      <c r="J42" s="10" t="s">
        <v>1357</v>
      </c>
      <c r="K42" s="10" t="s">
        <v>1403</v>
      </c>
    </row>
    <row r="43" customFormat="false" ht="53.7" hidden="false" customHeight="false" outlineLevel="0" collapsed="false">
      <c r="A43" s="12" t="s">
        <v>1404</v>
      </c>
      <c r="B43" s="12" t="s">
        <v>1023</v>
      </c>
      <c r="C43" s="12" t="s">
        <v>1024</v>
      </c>
      <c r="D43" s="12" t="s">
        <v>1224</v>
      </c>
      <c r="E43" s="12" t="s">
        <v>1310</v>
      </c>
      <c r="F43" s="12" t="n">
        <v>1</v>
      </c>
      <c r="G43" s="12" t="s">
        <v>1405</v>
      </c>
      <c r="H43" s="12" t="s">
        <v>1369</v>
      </c>
      <c r="I43" s="12" t="s">
        <v>1406</v>
      </c>
      <c r="J43" s="12" t="s">
        <v>1371</v>
      </c>
      <c r="K43" s="12" t="s">
        <v>1407</v>
      </c>
    </row>
    <row r="44" customFormat="false" ht="43.25" hidden="false" customHeight="false" outlineLevel="0" collapsed="false">
      <c r="A44" s="10" t="s">
        <v>1408</v>
      </c>
      <c r="B44" s="10" t="s">
        <v>953</v>
      </c>
      <c r="C44" s="10" t="s">
        <v>954</v>
      </c>
      <c r="D44" s="10" t="s">
        <v>1224</v>
      </c>
      <c r="E44" s="10" t="s">
        <v>1310</v>
      </c>
      <c r="F44" s="10" t="n">
        <v>1</v>
      </c>
      <c r="G44" s="10" t="s">
        <v>1409</v>
      </c>
      <c r="H44" s="10" t="s">
        <v>1410</v>
      </c>
      <c r="I44" s="10" t="s">
        <v>1411</v>
      </c>
      <c r="J44" s="10" t="s">
        <v>1412</v>
      </c>
      <c r="K44" s="10" t="s">
        <v>1413</v>
      </c>
    </row>
    <row r="45" customFormat="false" ht="43.25" hidden="false" customHeight="false" outlineLevel="0" collapsed="false">
      <c r="A45" s="12" t="s">
        <v>1414</v>
      </c>
      <c r="B45" s="12" t="s">
        <v>978</v>
      </c>
      <c r="C45" s="12" t="s">
        <v>979</v>
      </c>
      <c r="D45" s="12" t="s">
        <v>1224</v>
      </c>
      <c r="E45" s="12" t="s">
        <v>1310</v>
      </c>
      <c r="F45" s="12" t="n">
        <v>1</v>
      </c>
      <c r="G45" s="12" t="s">
        <v>1415</v>
      </c>
      <c r="H45" s="12" t="s">
        <v>606</v>
      </c>
      <c r="I45" s="12" t="s">
        <v>1416</v>
      </c>
      <c r="J45" s="12" t="s">
        <v>1417</v>
      </c>
      <c r="K45" s="12" t="s">
        <v>1413</v>
      </c>
    </row>
    <row r="46" customFormat="false" ht="105.95" hidden="false" customHeight="false" outlineLevel="0" collapsed="false">
      <c r="A46" s="10" t="s">
        <v>1418</v>
      </c>
      <c r="B46" s="10" t="s">
        <v>978</v>
      </c>
      <c r="C46" s="10" t="s">
        <v>979</v>
      </c>
      <c r="D46" s="10" t="s">
        <v>1224</v>
      </c>
      <c r="E46" s="10" t="s">
        <v>1218</v>
      </c>
      <c r="F46" s="10" t="n">
        <v>1</v>
      </c>
      <c r="G46" s="10" t="s">
        <v>606</v>
      </c>
      <c r="H46" s="10"/>
      <c r="I46" s="10" t="s">
        <v>1419</v>
      </c>
      <c r="J46" s="10" t="s">
        <v>1417</v>
      </c>
      <c r="K46" s="10" t="s">
        <v>1420</v>
      </c>
    </row>
    <row r="48" customFormat="false" ht="27.75" hidden="false" customHeight="true" outlineLevel="0" collapsed="false">
      <c r="A48" s="14" t="s">
        <v>1421</v>
      </c>
      <c r="B48" s="14"/>
      <c r="C48" s="14"/>
      <c r="D48" s="14"/>
      <c r="E48" s="14"/>
      <c r="F48" s="14"/>
      <c r="G48" s="14"/>
      <c r="H48" s="14"/>
      <c r="I48" s="14"/>
      <c r="J48" s="14"/>
    </row>
  </sheetData>
  <autoFilter ref="A1:K31"/>
  <mergeCells count="1">
    <mergeCell ref="A48:J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4"/>
    <col collapsed="false" customWidth="true" hidden="false" outlineLevel="0" max="3" min="3" style="1" width="22"/>
    <col collapsed="false" customWidth="true" hidden="false" outlineLevel="0" max="4" min="4" style="1" width="11"/>
    <col collapsed="false" customWidth="true" hidden="false" outlineLevel="0" max="8" min="5" style="1" width="12"/>
    <col collapsed="false" customWidth="true" hidden="false" outlineLevel="0" max="9" min="9" style="1" width="19"/>
    <col collapsed="false" customWidth="true" hidden="false" outlineLevel="0" max="12" min="10" style="1" width="22"/>
    <col collapsed="false" customWidth="true" hidden="false" outlineLevel="0" max="13" min="13" style="1" width="56"/>
    <col collapsed="false" customWidth="true" hidden="false" outlineLevel="0" max="14" min="14" style="1" width="11"/>
  </cols>
  <sheetData>
    <row r="1" customFormat="false" ht="30" hidden="false" customHeight="true" outlineLevel="0" collapsed="false">
      <c r="A1" s="7" t="s">
        <v>1422</v>
      </c>
      <c r="B1" s="7" t="s">
        <v>608</v>
      </c>
      <c r="C1" s="7" t="s">
        <v>1183</v>
      </c>
      <c r="D1" s="7" t="s">
        <v>1198</v>
      </c>
      <c r="E1" s="7" t="s">
        <v>1423</v>
      </c>
      <c r="F1" s="7" t="s">
        <v>1424</v>
      </c>
      <c r="G1" s="7" t="s">
        <v>1425</v>
      </c>
      <c r="H1" s="7" t="s">
        <v>1426</v>
      </c>
      <c r="I1" s="7" t="s">
        <v>185</v>
      </c>
      <c r="J1" s="7" t="s">
        <v>1427</v>
      </c>
      <c r="K1" s="7" t="s">
        <v>1428</v>
      </c>
      <c r="L1" s="7" t="s">
        <v>1429</v>
      </c>
      <c r="M1" s="7" t="s">
        <v>1430</v>
      </c>
      <c r="N1" s="7" t="s">
        <v>40</v>
      </c>
    </row>
    <row r="2" customFormat="false" ht="21.75" hidden="false" customHeight="true" outlineLevel="0" collapsed="false">
      <c r="A2" s="9" t="s">
        <v>1431</v>
      </c>
      <c r="B2" s="9" t="s">
        <v>970</v>
      </c>
      <c r="C2" s="9" t="s">
        <v>971</v>
      </c>
      <c r="D2" s="9" t="s">
        <v>1207</v>
      </c>
      <c r="E2" s="9" t="s">
        <v>1332</v>
      </c>
      <c r="F2" s="9" t="s">
        <v>1164</v>
      </c>
      <c r="G2" s="9" t="n">
        <v>10</v>
      </c>
      <c r="H2" s="9" t="n">
        <v>7</v>
      </c>
      <c r="I2" s="9" t="s">
        <v>1432</v>
      </c>
      <c r="J2" s="9" t="s">
        <v>1433</v>
      </c>
      <c r="K2" s="9" t="s">
        <v>1433</v>
      </c>
      <c r="L2" s="9" t="s">
        <v>1434</v>
      </c>
      <c r="M2" s="9" t="s">
        <v>1435</v>
      </c>
      <c r="N2" s="9" t="s">
        <v>1334</v>
      </c>
    </row>
    <row r="3" customFormat="false" ht="15" hidden="false" customHeight="true" outlineLevel="0" collapsed="false">
      <c r="A3" s="11" t="s">
        <v>1436</v>
      </c>
      <c r="B3" s="11" t="s">
        <v>773</v>
      </c>
      <c r="C3" s="11" t="s">
        <v>774</v>
      </c>
      <c r="D3" s="11" t="s">
        <v>1213</v>
      </c>
      <c r="E3" s="11" t="s">
        <v>1437</v>
      </c>
      <c r="F3" s="11" t="s">
        <v>1438</v>
      </c>
      <c r="G3" s="11" t="n">
        <v>2</v>
      </c>
      <c r="H3" s="11"/>
      <c r="I3" s="11" t="s">
        <v>1439</v>
      </c>
      <c r="J3" s="11" t="s">
        <v>1440</v>
      </c>
      <c r="K3" s="11"/>
      <c r="L3" s="11"/>
      <c r="M3" s="11"/>
      <c r="N3" s="11" t="s">
        <v>412</v>
      </c>
    </row>
    <row r="4" customFormat="false" ht="21.75" hidden="false" customHeight="true" outlineLevel="0" collapsed="false">
      <c r="A4" s="9" t="s">
        <v>1441</v>
      </c>
      <c r="B4" s="9" t="s">
        <v>773</v>
      </c>
      <c r="C4" s="9" t="s">
        <v>774</v>
      </c>
      <c r="D4" s="9" t="s">
        <v>1442</v>
      </c>
      <c r="E4" s="9" t="s">
        <v>1443</v>
      </c>
      <c r="F4" s="9" t="s">
        <v>1444</v>
      </c>
      <c r="G4" s="9" t="n">
        <v>5</v>
      </c>
      <c r="H4" s="9"/>
      <c r="I4" s="9" t="s">
        <v>1445</v>
      </c>
      <c r="J4" s="9" t="s">
        <v>1446</v>
      </c>
      <c r="K4" s="9"/>
      <c r="L4" s="9"/>
      <c r="M4" s="9" t="s">
        <v>1447</v>
      </c>
      <c r="N4" s="9" t="s">
        <v>412</v>
      </c>
    </row>
    <row r="5" customFormat="false" ht="15" hidden="false" customHeight="true" outlineLevel="0" collapsed="false">
      <c r="A5" s="11" t="s">
        <v>1448</v>
      </c>
      <c r="B5" s="11" t="s">
        <v>580</v>
      </c>
      <c r="C5" s="11" t="s">
        <v>766</v>
      </c>
      <c r="D5" s="11" t="s">
        <v>1207</v>
      </c>
      <c r="E5" s="11" t="s">
        <v>1449</v>
      </c>
      <c r="F5" s="11" t="s">
        <v>1450</v>
      </c>
      <c r="G5" s="11" t="n">
        <v>11</v>
      </c>
      <c r="H5" s="11"/>
      <c r="I5" s="11" t="s">
        <v>1445</v>
      </c>
      <c r="J5" s="11" t="s">
        <v>1446</v>
      </c>
      <c r="K5" s="11"/>
      <c r="L5" s="11"/>
      <c r="M5" s="11" t="s">
        <v>1451</v>
      </c>
      <c r="N5" s="11" t="s">
        <v>412</v>
      </c>
    </row>
    <row r="6" customFormat="false" ht="15" hidden="false" customHeight="true" outlineLevel="0" collapsed="false">
      <c r="A6" s="9" t="s">
        <v>1452</v>
      </c>
      <c r="B6" s="9" t="s">
        <v>840</v>
      </c>
      <c r="C6" s="9" t="s">
        <v>841</v>
      </c>
      <c r="D6" s="9" t="s">
        <v>1224</v>
      </c>
      <c r="E6" s="9" t="s">
        <v>1377</v>
      </c>
      <c r="F6" s="9" t="s">
        <v>1377</v>
      </c>
      <c r="G6" s="9" t="n">
        <v>1</v>
      </c>
      <c r="H6" s="9"/>
      <c r="I6" s="9" t="s">
        <v>1453</v>
      </c>
      <c r="J6" s="9" t="s">
        <v>1454</v>
      </c>
      <c r="K6" s="9" t="s">
        <v>1455</v>
      </c>
      <c r="L6" s="9" t="s">
        <v>1456</v>
      </c>
      <c r="M6" s="9" t="s">
        <v>1457</v>
      </c>
      <c r="N6" s="9" t="s">
        <v>1229</v>
      </c>
    </row>
    <row r="7" customFormat="false" ht="15" hidden="false" customHeight="true" outlineLevel="0" collapsed="false">
      <c r="A7" s="11" t="s">
        <v>1458</v>
      </c>
      <c r="B7" s="11" t="s">
        <v>1077</v>
      </c>
      <c r="C7" s="11" t="s">
        <v>1078</v>
      </c>
      <c r="D7" s="11" t="s">
        <v>1222</v>
      </c>
      <c r="E7" s="11" t="s">
        <v>1355</v>
      </c>
      <c r="F7" s="11" t="s">
        <v>1459</v>
      </c>
      <c r="G7" s="11" t="n">
        <v>2</v>
      </c>
      <c r="H7" s="11" t="n">
        <v>2</v>
      </c>
      <c r="I7" s="11" t="s">
        <v>1460</v>
      </c>
      <c r="J7" s="11" t="s">
        <v>1461</v>
      </c>
      <c r="K7" s="11" t="s">
        <v>1462</v>
      </c>
      <c r="L7" s="11" t="s">
        <v>1463</v>
      </c>
      <c r="M7" s="11"/>
      <c r="N7" s="11"/>
    </row>
    <row r="8" customFormat="false" ht="15" hidden="false" customHeight="true" outlineLevel="0" collapsed="false">
      <c r="A8" s="9" t="s">
        <v>1464</v>
      </c>
      <c r="B8" s="9" t="s">
        <v>1157</v>
      </c>
      <c r="C8" s="9" t="s">
        <v>1158</v>
      </c>
      <c r="D8" s="9" t="s">
        <v>1207</v>
      </c>
      <c r="E8" s="9" t="s">
        <v>1465</v>
      </c>
      <c r="F8" s="9" t="s">
        <v>1465</v>
      </c>
      <c r="G8" s="9" t="n">
        <v>1</v>
      </c>
      <c r="H8" s="9"/>
      <c r="I8" s="9" t="s">
        <v>1439</v>
      </c>
      <c r="J8" s="9" t="s">
        <v>1466</v>
      </c>
      <c r="K8" s="9"/>
      <c r="L8" s="9"/>
      <c r="M8" s="9" t="s">
        <v>1467</v>
      </c>
      <c r="N8" s="9" t="s">
        <v>412</v>
      </c>
    </row>
    <row r="10" customFormat="false" ht="27.75" hidden="false" customHeight="true" outlineLevel="0" collapsed="false">
      <c r="A10" s="13" t="s">
        <v>1468</v>
      </c>
      <c r="B10" s="13"/>
      <c r="C10" s="13"/>
      <c r="D10" s="13"/>
      <c r="E10" s="13"/>
      <c r="F10" s="13"/>
      <c r="G10" s="13"/>
      <c r="H10" s="13"/>
    </row>
  </sheetData>
  <autoFilter ref="A1:N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22"/>
    <col collapsed="false" customWidth="true" hidden="false" outlineLevel="0" max="4" min="4" style="1" width="13"/>
    <col collapsed="false" customWidth="true" hidden="false" outlineLevel="0" max="5" min="5" style="1" width="42"/>
    <col collapsed="false" customWidth="true" hidden="false" outlineLevel="0" max="6" min="6" style="1" width="8"/>
    <col collapsed="false" customWidth="true" hidden="false" outlineLevel="0" max="7" min="7" style="1" width="13"/>
    <col collapsed="false" customWidth="true" hidden="false" outlineLevel="0" max="8" min="8" style="1" width="12"/>
    <col collapsed="false" customWidth="true" hidden="false" outlineLevel="0" max="9" min="9" style="1" width="14"/>
    <col collapsed="false" customWidth="true" hidden="false" outlineLevel="0" max="10" min="10" style="1" width="15"/>
    <col collapsed="false" customWidth="true" hidden="false" outlineLevel="0" max="11" min="11" style="1" width="42"/>
  </cols>
  <sheetData>
    <row r="1" customFormat="false" ht="30" hidden="false" customHeight="true" outlineLevel="0" collapsed="false">
      <c r="A1" s="7" t="s">
        <v>1469</v>
      </c>
      <c r="B1" s="7" t="s">
        <v>608</v>
      </c>
      <c r="C1" s="7" t="s">
        <v>1183</v>
      </c>
      <c r="D1" s="7" t="s">
        <v>1470</v>
      </c>
      <c r="E1" s="7" t="s">
        <v>1471</v>
      </c>
      <c r="F1" s="7" t="s">
        <v>1304</v>
      </c>
      <c r="G1" s="7" t="s">
        <v>1306</v>
      </c>
      <c r="H1" s="7" t="s">
        <v>185</v>
      </c>
      <c r="I1" s="7" t="s">
        <v>1472</v>
      </c>
      <c r="J1" s="7" t="s">
        <v>1473</v>
      </c>
      <c r="K1" s="7" t="s">
        <v>40</v>
      </c>
    </row>
    <row r="2" customFormat="false" ht="15" hidden="false" customHeight="true" outlineLevel="0" collapsed="false">
      <c r="A2" s="9" t="s">
        <v>1357</v>
      </c>
      <c r="B2" s="9" t="s">
        <v>840</v>
      </c>
      <c r="C2" s="9" t="s">
        <v>841</v>
      </c>
      <c r="D2" s="9" t="s">
        <v>1180</v>
      </c>
      <c r="E2" s="9" t="s">
        <v>1474</v>
      </c>
      <c r="F2" s="9" t="n">
        <v>1</v>
      </c>
      <c r="G2" s="9" t="s">
        <v>1355</v>
      </c>
      <c r="H2" s="9" t="s">
        <v>1475</v>
      </c>
      <c r="I2" s="9" t="s">
        <v>1377</v>
      </c>
      <c r="J2" s="9" t="n">
        <v>0</v>
      </c>
      <c r="K2" s="9" t="s">
        <v>1229</v>
      </c>
    </row>
    <row r="3" customFormat="false" ht="15" hidden="false" customHeight="true" outlineLevel="0" collapsed="false">
      <c r="A3" s="11" t="s">
        <v>1362</v>
      </c>
      <c r="B3" s="11" t="s">
        <v>840</v>
      </c>
      <c r="C3" s="11" t="s">
        <v>841</v>
      </c>
      <c r="D3" s="11" t="s">
        <v>1359</v>
      </c>
      <c r="E3" s="11" t="s">
        <v>1476</v>
      </c>
      <c r="F3" s="11" t="n">
        <v>1</v>
      </c>
      <c r="G3" s="11" t="s">
        <v>1360</v>
      </c>
      <c r="H3" s="11" t="s">
        <v>1477</v>
      </c>
      <c r="I3" s="11"/>
      <c r="J3" s="11" t="n">
        <v>1</v>
      </c>
      <c r="K3" s="11" t="s">
        <v>1229</v>
      </c>
    </row>
    <row r="4" customFormat="false" ht="15" hidden="false" customHeight="true" outlineLevel="0" collapsed="false">
      <c r="A4" s="9" t="s">
        <v>1371</v>
      </c>
      <c r="B4" s="9" t="s">
        <v>1023</v>
      </c>
      <c r="C4" s="9" t="s">
        <v>1024</v>
      </c>
      <c r="D4" s="9" t="s">
        <v>1405</v>
      </c>
      <c r="E4" s="9" t="s">
        <v>1406</v>
      </c>
      <c r="F4" s="9" t="n">
        <v>1</v>
      </c>
      <c r="G4" s="9" t="s">
        <v>1369</v>
      </c>
      <c r="H4" s="9" t="s">
        <v>1475</v>
      </c>
      <c r="I4" s="9" t="s">
        <v>1369</v>
      </c>
      <c r="J4" s="9" t="n">
        <v>0</v>
      </c>
      <c r="K4" s="9" t="s">
        <v>1229</v>
      </c>
    </row>
    <row r="5" customFormat="false" ht="15" hidden="false" customHeight="true" outlineLevel="0" collapsed="false">
      <c r="A5" s="11" t="s">
        <v>1367</v>
      </c>
      <c r="B5" s="11" t="s">
        <v>1023</v>
      </c>
      <c r="C5" s="11" t="s">
        <v>1024</v>
      </c>
      <c r="D5" s="11" t="s">
        <v>1364</v>
      </c>
      <c r="E5" s="11" t="s">
        <v>1478</v>
      </c>
      <c r="F5" s="11" t="n">
        <v>1</v>
      </c>
      <c r="G5" s="11" t="s">
        <v>1365</v>
      </c>
      <c r="H5" s="11" t="s">
        <v>1477</v>
      </c>
      <c r="I5" s="11"/>
      <c r="J5" s="11" t="n">
        <v>1</v>
      </c>
      <c r="K5" s="11" t="s">
        <v>1229</v>
      </c>
    </row>
    <row r="6" customFormat="false" ht="15" hidden="false" customHeight="true" outlineLevel="0" collapsed="false">
      <c r="A6" s="9" t="s">
        <v>1412</v>
      </c>
      <c r="B6" s="9" t="s">
        <v>953</v>
      </c>
      <c r="C6" s="9" t="s">
        <v>954</v>
      </c>
      <c r="D6" s="9" t="s">
        <v>1409</v>
      </c>
      <c r="E6" s="9" t="s">
        <v>1411</v>
      </c>
      <c r="F6" s="9" t="n">
        <v>1</v>
      </c>
      <c r="G6" s="9" t="s">
        <v>1410</v>
      </c>
      <c r="H6" s="9" t="s">
        <v>1477</v>
      </c>
      <c r="I6" s="9"/>
      <c r="J6" s="9" t="n">
        <v>1</v>
      </c>
      <c r="K6" s="9" t="s">
        <v>1229</v>
      </c>
    </row>
    <row r="7" customFormat="false" ht="15" hidden="false" customHeight="true" outlineLevel="0" collapsed="false">
      <c r="A7" s="11" t="s">
        <v>1417</v>
      </c>
      <c r="B7" s="11" t="s">
        <v>978</v>
      </c>
      <c r="C7" s="11" t="s">
        <v>979</v>
      </c>
      <c r="D7" s="11" t="s">
        <v>1415</v>
      </c>
      <c r="E7" s="11" t="s">
        <v>1416</v>
      </c>
      <c r="F7" s="11" t="n">
        <v>1</v>
      </c>
      <c r="G7" s="11" t="s">
        <v>606</v>
      </c>
      <c r="H7" s="11" t="s">
        <v>1479</v>
      </c>
      <c r="I7" s="11"/>
      <c r="J7" s="11" t="n">
        <v>0</v>
      </c>
      <c r="K7" s="11" t="s">
        <v>1480</v>
      </c>
    </row>
    <row r="9" customFormat="false" ht="27.75" hidden="false" customHeight="true" outlineLevel="0" collapsed="false">
      <c r="A9" s="13" t="s">
        <v>1481</v>
      </c>
      <c r="B9" s="13"/>
      <c r="C9" s="13"/>
      <c r="D9" s="13"/>
      <c r="E9" s="13"/>
      <c r="F9" s="13"/>
      <c r="G9" s="13"/>
      <c r="H9" s="13"/>
    </row>
  </sheetData>
  <autoFilter ref="A1:K7"/>
  <mergeCells count="1">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3" min="3" style="1" width="22"/>
    <col collapsed="false" customWidth="true" hidden="false" outlineLevel="0" max="4" min="4" style="1" width="15"/>
    <col collapsed="false" customWidth="true" hidden="false" outlineLevel="0" max="5" min="5" style="1" width="9"/>
    <col collapsed="false" customWidth="true" hidden="false" outlineLevel="0" max="6" min="6" style="1" width="10"/>
    <col collapsed="false" customWidth="true" hidden="false" outlineLevel="0" max="7" min="7" style="1" width="9"/>
    <col collapsed="false" customWidth="true" hidden="false" outlineLevel="0" max="8" min="8" style="1" width="20"/>
    <col collapsed="false" customWidth="true" hidden="false" outlineLevel="0" max="9" min="9" style="1" width="12"/>
    <col collapsed="false" customWidth="true" hidden="false" outlineLevel="0" max="10" min="10" style="1" width="16"/>
    <col collapsed="false" customWidth="true" hidden="false" outlineLevel="0" max="11" min="11" style="1" width="20"/>
  </cols>
  <sheetData>
    <row r="1" customFormat="false" ht="30" hidden="false" customHeight="true" outlineLevel="0" collapsed="false">
      <c r="A1" s="7" t="s">
        <v>1482</v>
      </c>
      <c r="B1" s="7" t="s">
        <v>608</v>
      </c>
      <c r="C1" s="7" t="s">
        <v>1183</v>
      </c>
      <c r="D1" s="7" t="s">
        <v>1483</v>
      </c>
      <c r="E1" s="7" t="s">
        <v>1484</v>
      </c>
      <c r="F1" s="7" t="s">
        <v>1485</v>
      </c>
      <c r="G1" s="7" t="s">
        <v>1486</v>
      </c>
      <c r="H1" s="7" t="s">
        <v>1487</v>
      </c>
      <c r="I1" s="7" t="s">
        <v>1488</v>
      </c>
      <c r="J1" s="7" t="s">
        <v>1489</v>
      </c>
      <c r="K1" s="7" t="s">
        <v>1490</v>
      </c>
    </row>
    <row r="2" customFormat="false" ht="15" hidden="false" customHeight="true" outlineLevel="0" collapsed="false">
      <c r="A2" s="9" t="s">
        <v>1491</v>
      </c>
      <c r="B2" s="9" t="s">
        <v>580</v>
      </c>
      <c r="C2" s="9" t="s">
        <v>766</v>
      </c>
      <c r="D2" s="9" t="s">
        <v>1151</v>
      </c>
      <c r="E2" s="9" t="n">
        <v>1</v>
      </c>
      <c r="F2" s="9" t="s">
        <v>1492</v>
      </c>
      <c r="G2" s="9" t="s">
        <v>1493</v>
      </c>
      <c r="H2" s="9" t="s">
        <v>1151</v>
      </c>
      <c r="I2" s="9" t="s">
        <v>1494</v>
      </c>
      <c r="J2" s="9" t="s">
        <v>1495</v>
      </c>
      <c r="K2" s="9"/>
    </row>
    <row r="3" customFormat="false" ht="15" hidden="false" customHeight="true" outlineLevel="0" collapsed="false">
      <c r="A3" s="11" t="s">
        <v>1496</v>
      </c>
      <c r="B3" s="11" t="s">
        <v>580</v>
      </c>
      <c r="C3" s="11" t="s">
        <v>766</v>
      </c>
      <c r="D3" s="11" t="s">
        <v>1151</v>
      </c>
      <c r="E3" s="11" t="n">
        <v>1</v>
      </c>
      <c r="F3" s="11" t="s">
        <v>1497</v>
      </c>
      <c r="G3" s="11" t="s">
        <v>1498</v>
      </c>
      <c r="H3" s="11" t="s">
        <v>1151</v>
      </c>
      <c r="I3" s="11" t="s">
        <v>1494</v>
      </c>
      <c r="J3" s="11" t="s">
        <v>1495</v>
      </c>
      <c r="K3" s="11"/>
    </row>
    <row r="4" customFormat="false" ht="15" hidden="false" customHeight="true" outlineLevel="0" collapsed="false">
      <c r="A4" s="9" t="s">
        <v>1499</v>
      </c>
      <c r="B4" s="9" t="s">
        <v>580</v>
      </c>
      <c r="C4" s="9" t="s">
        <v>766</v>
      </c>
      <c r="D4" s="9" t="s">
        <v>593</v>
      </c>
      <c r="E4" s="9" t="n">
        <v>1</v>
      </c>
      <c r="F4" s="9" t="s">
        <v>1492</v>
      </c>
      <c r="G4" s="9" t="s">
        <v>1500</v>
      </c>
      <c r="H4" s="9" t="s">
        <v>593</v>
      </c>
      <c r="I4" s="9" t="s">
        <v>1494</v>
      </c>
      <c r="J4" s="9" t="s">
        <v>1501</v>
      </c>
      <c r="K4" s="9"/>
    </row>
    <row r="5" customFormat="false" ht="15" hidden="false" customHeight="true" outlineLevel="0" collapsed="false">
      <c r="A5" s="11" t="s">
        <v>1502</v>
      </c>
      <c r="B5" s="11" t="s">
        <v>580</v>
      </c>
      <c r="C5" s="11" t="s">
        <v>766</v>
      </c>
      <c r="D5" s="11" t="s">
        <v>593</v>
      </c>
      <c r="E5" s="11" t="n">
        <v>1</v>
      </c>
      <c r="F5" s="11" t="s">
        <v>1497</v>
      </c>
      <c r="G5" s="11" t="s">
        <v>1503</v>
      </c>
      <c r="H5" s="11" t="s">
        <v>593</v>
      </c>
      <c r="I5" s="11" t="s">
        <v>1494</v>
      </c>
      <c r="J5" s="11" t="s">
        <v>1501</v>
      </c>
      <c r="K5" s="11"/>
    </row>
    <row r="6" customFormat="false" ht="15" hidden="false" customHeight="true" outlineLevel="0" collapsed="false">
      <c r="A6" s="9" t="s">
        <v>1504</v>
      </c>
      <c r="B6" s="9" t="s">
        <v>580</v>
      </c>
      <c r="C6" s="9" t="s">
        <v>766</v>
      </c>
      <c r="D6" s="9" t="s">
        <v>1505</v>
      </c>
      <c r="E6" s="9" t="n">
        <v>1</v>
      </c>
      <c r="F6" s="9" t="s">
        <v>1492</v>
      </c>
      <c r="G6" s="9" t="s">
        <v>1506</v>
      </c>
      <c r="H6" s="9" t="s">
        <v>1505</v>
      </c>
      <c r="I6" s="9" t="s">
        <v>1494</v>
      </c>
      <c r="J6" s="9" t="s">
        <v>1507</v>
      </c>
      <c r="K6" s="9"/>
    </row>
    <row r="7" customFormat="false" ht="15" hidden="false" customHeight="true" outlineLevel="0" collapsed="false">
      <c r="A7" s="11" t="s">
        <v>1508</v>
      </c>
      <c r="B7" s="11" t="s">
        <v>580</v>
      </c>
      <c r="C7" s="11" t="s">
        <v>766</v>
      </c>
      <c r="D7" s="11" t="s">
        <v>1505</v>
      </c>
      <c r="E7" s="11" t="n">
        <v>1</v>
      </c>
      <c r="F7" s="11" t="s">
        <v>1497</v>
      </c>
      <c r="G7" s="11" t="s">
        <v>1509</v>
      </c>
      <c r="H7" s="11" t="s">
        <v>1505</v>
      </c>
      <c r="I7" s="11" t="s">
        <v>1494</v>
      </c>
      <c r="J7" s="11" t="s">
        <v>1507</v>
      </c>
      <c r="K7" s="11"/>
    </row>
    <row r="8" customFormat="false" ht="15" hidden="false" customHeight="true" outlineLevel="0" collapsed="false">
      <c r="A8" s="9" t="s">
        <v>1510</v>
      </c>
      <c r="B8" s="9" t="s">
        <v>580</v>
      </c>
      <c r="C8" s="9" t="s">
        <v>766</v>
      </c>
      <c r="D8" s="9" t="s">
        <v>1511</v>
      </c>
      <c r="E8" s="9" t="n">
        <v>1</v>
      </c>
      <c r="F8" s="9" t="s">
        <v>1492</v>
      </c>
      <c r="G8" s="9" t="s">
        <v>457</v>
      </c>
      <c r="H8" s="9" t="s">
        <v>1511</v>
      </c>
      <c r="I8" s="9" t="s">
        <v>1494</v>
      </c>
      <c r="J8" s="9" t="s">
        <v>1495</v>
      </c>
      <c r="K8" s="9"/>
    </row>
    <row r="9" customFormat="false" ht="15" hidden="false" customHeight="true" outlineLevel="0" collapsed="false">
      <c r="A9" s="11" t="s">
        <v>1512</v>
      </c>
      <c r="B9" s="11" t="s">
        <v>580</v>
      </c>
      <c r="C9" s="11" t="s">
        <v>766</v>
      </c>
      <c r="D9" s="11" t="s">
        <v>1511</v>
      </c>
      <c r="E9" s="11" t="n">
        <v>1</v>
      </c>
      <c r="F9" s="11" t="s">
        <v>1497</v>
      </c>
      <c r="G9" s="11" t="s">
        <v>1513</v>
      </c>
      <c r="H9" s="11" t="s">
        <v>1511</v>
      </c>
      <c r="I9" s="11" t="s">
        <v>1494</v>
      </c>
      <c r="J9" s="11" t="s">
        <v>1495</v>
      </c>
      <c r="K9" s="11"/>
    </row>
    <row r="10" customFormat="false" ht="15" hidden="false" customHeight="true" outlineLevel="0" collapsed="false">
      <c r="A10" s="9" t="s">
        <v>1514</v>
      </c>
      <c r="B10" s="9" t="s">
        <v>580</v>
      </c>
      <c r="C10" s="9" t="s">
        <v>766</v>
      </c>
      <c r="D10" s="9" t="s">
        <v>1515</v>
      </c>
      <c r="E10" s="9" t="n">
        <v>1</v>
      </c>
      <c r="F10" s="9" t="s">
        <v>1492</v>
      </c>
      <c r="G10" s="9" t="s">
        <v>1516</v>
      </c>
      <c r="H10" s="9" t="s">
        <v>1515</v>
      </c>
      <c r="I10" s="9" t="s">
        <v>1494</v>
      </c>
      <c r="J10" s="9" t="s">
        <v>1501</v>
      </c>
      <c r="K10" s="9"/>
    </row>
    <row r="11" customFormat="false" ht="15" hidden="false" customHeight="true" outlineLevel="0" collapsed="false">
      <c r="A11" s="11" t="s">
        <v>1517</v>
      </c>
      <c r="B11" s="11" t="s">
        <v>580</v>
      </c>
      <c r="C11" s="11" t="s">
        <v>766</v>
      </c>
      <c r="D11" s="11" t="s">
        <v>1515</v>
      </c>
      <c r="E11" s="11" t="n">
        <v>1</v>
      </c>
      <c r="F11" s="11" t="s">
        <v>1497</v>
      </c>
      <c r="G11" s="11" t="s">
        <v>1518</v>
      </c>
      <c r="H11" s="11" t="s">
        <v>1515</v>
      </c>
      <c r="I11" s="11" t="s">
        <v>1494</v>
      </c>
      <c r="J11" s="11" t="s">
        <v>1501</v>
      </c>
      <c r="K11" s="11"/>
    </row>
    <row r="12" customFormat="false" ht="15" hidden="false" customHeight="true" outlineLevel="0" collapsed="false">
      <c r="A12" s="9" t="s">
        <v>1519</v>
      </c>
      <c r="B12" s="9" t="s">
        <v>580</v>
      </c>
      <c r="C12" s="9" t="s">
        <v>766</v>
      </c>
      <c r="D12" s="9" t="s">
        <v>1332</v>
      </c>
      <c r="E12" s="9" t="n">
        <v>1</v>
      </c>
      <c r="F12" s="9" t="s">
        <v>1492</v>
      </c>
      <c r="G12" s="9" t="s">
        <v>1520</v>
      </c>
      <c r="H12" s="9" t="s">
        <v>1332</v>
      </c>
      <c r="I12" s="9" t="s">
        <v>1494</v>
      </c>
      <c r="J12" s="9" t="s">
        <v>1495</v>
      </c>
      <c r="K12" s="9"/>
    </row>
    <row r="13" customFormat="false" ht="15" hidden="false" customHeight="true" outlineLevel="0" collapsed="false">
      <c r="A13" s="11" t="s">
        <v>1521</v>
      </c>
      <c r="B13" s="11" t="s">
        <v>580</v>
      </c>
      <c r="C13" s="11" t="s">
        <v>766</v>
      </c>
      <c r="D13" s="11" t="s">
        <v>1332</v>
      </c>
      <c r="E13" s="11" t="n">
        <v>1</v>
      </c>
      <c r="F13" s="11" t="s">
        <v>1497</v>
      </c>
      <c r="G13" s="11" t="s">
        <v>1522</v>
      </c>
      <c r="H13" s="11" t="s">
        <v>1332</v>
      </c>
      <c r="I13" s="11" t="s">
        <v>1494</v>
      </c>
      <c r="J13" s="11" t="s">
        <v>1495</v>
      </c>
      <c r="K13" s="11"/>
    </row>
    <row r="14" customFormat="false" ht="15" hidden="false" customHeight="true" outlineLevel="0" collapsed="false">
      <c r="A14" s="9" t="s">
        <v>1523</v>
      </c>
      <c r="B14" s="9" t="s">
        <v>580</v>
      </c>
      <c r="C14" s="9" t="s">
        <v>766</v>
      </c>
      <c r="D14" s="9" t="s">
        <v>1524</v>
      </c>
      <c r="E14" s="9" t="n">
        <v>1</v>
      </c>
      <c r="F14" s="9" t="s">
        <v>1492</v>
      </c>
      <c r="G14" s="9" t="s">
        <v>457</v>
      </c>
      <c r="H14" s="9" t="s">
        <v>1524</v>
      </c>
      <c r="I14" s="9" t="s">
        <v>1494</v>
      </c>
      <c r="J14" s="9" t="s">
        <v>1501</v>
      </c>
      <c r="K14" s="9"/>
    </row>
    <row r="15" customFormat="false" ht="15" hidden="false" customHeight="true" outlineLevel="0" collapsed="false">
      <c r="A15" s="11" t="s">
        <v>1525</v>
      </c>
      <c r="B15" s="11" t="s">
        <v>580</v>
      </c>
      <c r="C15" s="11" t="s">
        <v>766</v>
      </c>
      <c r="D15" s="11" t="s">
        <v>1524</v>
      </c>
      <c r="E15" s="11" t="n">
        <v>1</v>
      </c>
      <c r="F15" s="11" t="s">
        <v>1497</v>
      </c>
      <c r="G15" s="11" t="s">
        <v>1526</v>
      </c>
      <c r="H15" s="11" t="s">
        <v>1524</v>
      </c>
      <c r="I15" s="11" t="s">
        <v>1494</v>
      </c>
      <c r="J15" s="11" t="s">
        <v>1501</v>
      </c>
      <c r="K15" s="11"/>
    </row>
    <row r="16" customFormat="false" ht="15" hidden="false" customHeight="true" outlineLevel="0" collapsed="false">
      <c r="A16" s="9" t="s">
        <v>1527</v>
      </c>
      <c r="B16" s="9" t="s">
        <v>580</v>
      </c>
      <c r="C16" s="9" t="s">
        <v>766</v>
      </c>
      <c r="D16" s="9" t="s">
        <v>1524</v>
      </c>
      <c r="E16" s="9" t="n">
        <v>2</v>
      </c>
      <c r="F16" s="9" t="s">
        <v>1492</v>
      </c>
      <c r="G16" s="9" t="s">
        <v>1528</v>
      </c>
      <c r="H16" s="9" t="s">
        <v>1524</v>
      </c>
      <c r="I16" s="9" t="s">
        <v>1494</v>
      </c>
      <c r="J16" s="9" t="s">
        <v>1501</v>
      </c>
      <c r="K16" s="9"/>
    </row>
    <row r="17" customFormat="false" ht="15" hidden="false" customHeight="true" outlineLevel="0" collapsed="false">
      <c r="A17" s="11" t="s">
        <v>1529</v>
      </c>
      <c r="B17" s="11" t="s">
        <v>580</v>
      </c>
      <c r="C17" s="11" t="s">
        <v>766</v>
      </c>
      <c r="D17" s="11" t="s">
        <v>1524</v>
      </c>
      <c r="E17" s="11" t="n">
        <v>2</v>
      </c>
      <c r="F17" s="11" t="s">
        <v>1497</v>
      </c>
      <c r="G17" s="11" t="s">
        <v>1530</v>
      </c>
      <c r="H17" s="11" t="s">
        <v>1377</v>
      </c>
      <c r="I17" s="11" t="s">
        <v>1494</v>
      </c>
      <c r="J17" s="11" t="s">
        <v>1501</v>
      </c>
      <c r="K17" s="11" t="s">
        <v>1531</v>
      </c>
    </row>
    <row r="18" customFormat="false" ht="15" hidden="false" customHeight="true" outlineLevel="0" collapsed="false">
      <c r="A18" s="9" t="s">
        <v>1532</v>
      </c>
      <c r="B18" s="9" t="s">
        <v>580</v>
      </c>
      <c r="C18" s="9" t="s">
        <v>766</v>
      </c>
      <c r="D18" s="9" t="s">
        <v>1377</v>
      </c>
      <c r="E18" s="9" t="n">
        <v>1</v>
      </c>
      <c r="F18" s="9" t="s">
        <v>1492</v>
      </c>
      <c r="G18" s="9" t="s">
        <v>1533</v>
      </c>
      <c r="H18" s="9" t="s">
        <v>1377</v>
      </c>
      <c r="I18" s="9" t="s">
        <v>1494</v>
      </c>
      <c r="J18" s="9" t="s">
        <v>1507</v>
      </c>
      <c r="K18" s="9"/>
    </row>
    <row r="19" customFormat="false" ht="15" hidden="false" customHeight="true" outlineLevel="0" collapsed="false">
      <c r="A19" s="11" t="s">
        <v>1534</v>
      </c>
      <c r="B19" s="11" t="s">
        <v>580</v>
      </c>
      <c r="C19" s="11" t="s">
        <v>766</v>
      </c>
      <c r="D19" s="11" t="s">
        <v>1377</v>
      </c>
      <c r="E19" s="11" t="n">
        <v>1</v>
      </c>
      <c r="F19" s="11" t="s">
        <v>1497</v>
      </c>
      <c r="G19" s="11" t="s">
        <v>1535</v>
      </c>
      <c r="H19" s="11" t="s">
        <v>1377</v>
      </c>
      <c r="I19" s="11" t="s">
        <v>1494</v>
      </c>
      <c r="J19" s="11" t="s">
        <v>1507</v>
      </c>
      <c r="K19" s="11"/>
    </row>
    <row r="20" customFormat="false" ht="15" hidden="false" customHeight="true" outlineLevel="0" collapsed="false">
      <c r="A20" s="9" t="s">
        <v>1536</v>
      </c>
      <c r="B20" s="9" t="s">
        <v>580</v>
      </c>
      <c r="C20" s="9" t="s">
        <v>766</v>
      </c>
      <c r="D20" s="9" t="s">
        <v>1355</v>
      </c>
      <c r="E20" s="9" t="n">
        <v>1</v>
      </c>
      <c r="F20" s="9" t="s">
        <v>1492</v>
      </c>
      <c r="G20" s="9" t="s">
        <v>1537</v>
      </c>
      <c r="H20" s="9" t="s">
        <v>1355</v>
      </c>
      <c r="I20" s="9" t="s">
        <v>1494</v>
      </c>
      <c r="J20" s="9" t="s">
        <v>1495</v>
      </c>
      <c r="K20" s="9"/>
    </row>
    <row r="21" customFormat="false" ht="15" hidden="false" customHeight="true" outlineLevel="0" collapsed="false">
      <c r="A21" s="11" t="s">
        <v>1538</v>
      </c>
      <c r="B21" s="11" t="s">
        <v>580</v>
      </c>
      <c r="C21" s="11" t="s">
        <v>766</v>
      </c>
      <c r="D21" s="11" t="s">
        <v>1355</v>
      </c>
      <c r="E21" s="11" t="n">
        <v>1</v>
      </c>
      <c r="F21" s="11" t="s">
        <v>1497</v>
      </c>
      <c r="G21" s="11" t="s">
        <v>1539</v>
      </c>
      <c r="H21" s="11" t="s">
        <v>1355</v>
      </c>
      <c r="I21" s="11" t="s">
        <v>1494</v>
      </c>
      <c r="J21" s="11" t="s">
        <v>1495</v>
      </c>
      <c r="K21" s="11"/>
    </row>
    <row r="22" customFormat="false" ht="15" hidden="false" customHeight="true" outlineLevel="0" collapsed="false">
      <c r="A22" s="9" t="s">
        <v>1540</v>
      </c>
      <c r="B22" s="9" t="s">
        <v>580</v>
      </c>
      <c r="C22" s="9" t="s">
        <v>766</v>
      </c>
      <c r="D22" s="9" t="s">
        <v>1459</v>
      </c>
      <c r="E22" s="9" t="n">
        <v>1</v>
      </c>
      <c r="F22" s="9" t="s">
        <v>1492</v>
      </c>
      <c r="G22" s="9" t="s">
        <v>1541</v>
      </c>
      <c r="H22" s="9" t="s">
        <v>1459</v>
      </c>
      <c r="I22" s="9" t="s">
        <v>1494</v>
      </c>
      <c r="J22" s="9" t="s">
        <v>1501</v>
      </c>
      <c r="K22" s="9"/>
    </row>
    <row r="23" customFormat="false" ht="15" hidden="false" customHeight="true" outlineLevel="0" collapsed="false">
      <c r="A23" s="11" t="s">
        <v>1542</v>
      </c>
      <c r="B23" s="11" t="s">
        <v>580</v>
      </c>
      <c r="C23" s="11" t="s">
        <v>766</v>
      </c>
      <c r="D23" s="11" t="s">
        <v>1459</v>
      </c>
      <c r="E23" s="11" t="n">
        <v>1</v>
      </c>
      <c r="F23" s="11" t="s">
        <v>1497</v>
      </c>
      <c r="G23" s="11" t="s">
        <v>1543</v>
      </c>
      <c r="H23" s="11" t="s">
        <v>1459</v>
      </c>
      <c r="I23" s="11" t="s">
        <v>1494</v>
      </c>
      <c r="J23" s="11" t="s">
        <v>1501</v>
      </c>
      <c r="K23" s="11"/>
    </row>
    <row r="24" customFormat="false" ht="15" hidden="false" customHeight="true" outlineLevel="0" collapsed="false">
      <c r="A24" s="9" t="s">
        <v>1544</v>
      </c>
      <c r="B24" s="9" t="s">
        <v>580</v>
      </c>
      <c r="C24" s="9" t="s">
        <v>766</v>
      </c>
      <c r="D24" s="9" t="s">
        <v>1545</v>
      </c>
      <c r="E24" s="9" t="n">
        <v>1</v>
      </c>
      <c r="F24" s="9" t="s">
        <v>1492</v>
      </c>
      <c r="G24" s="9" t="s">
        <v>1546</v>
      </c>
      <c r="H24" s="9" t="s">
        <v>1545</v>
      </c>
      <c r="I24" s="9" t="s">
        <v>1494</v>
      </c>
      <c r="J24" s="9" t="s">
        <v>1507</v>
      </c>
      <c r="K24" s="9"/>
    </row>
    <row r="25" customFormat="false" ht="15" hidden="false" customHeight="true" outlineLevel="0" collapsed="false">
      <c r="A25" s="11" t="s">
        <v>1547</v>
      </c>
      <c r="B25" s="11" t="s">
        <v>580</v>
      </c>
      <c r="C25" s="11" t="s">
        <v>766</v>
      </c>
      <c r="D25" s="11" t="s">
        <v>1545</v>
      </c>
      <c r="E25" s="11" t="n">
        <v>1</v>
      </c>
      <c r="F25" s="11" t="s">
        <v>1497</v>
      </c>
      <c r="G25" s="11" t="s">
        <v>1548</v>
      </c>
      <c r="H25" s="11" t="s">
        <v>1545</v>
      </c>
      <c r="I25" s="11" t="s">
        <v>1494</v>
      </c>
      <c r="J25" s="11" t="s">
        <v>1507</v>
      </c>
      <c r="K25" s="11"/>
    </row>
    <row r="26" customFormat="false" ht="15" hidden="false" customHeight="true" outlineLevel="0" collapsed="false">
      <c r="A26" s="9" t="s">
        <v>1549</v>
      </c>
      <c r="B26" s="9" t="s">
        <v>580</v>
      </c>
      <c r="C26" s="9" t="s">
        <v>766</v>
      </c>
      <c r="D26" s="9" t="s">
        <v>1337</v>
      </c>
      <c r="E26" s="9" t="n">
        <v>1</v>
      </c>
      <c r="F26" s="9" t="s">
        <v>1492</v>
      </c>
      <c r="G26" s="9" t="s">
        <v>457</v>
      </c>
      <c r="H26" s="9" t="s">
        <v>1337</v>
      </c>
      <c r="I26" s="9" t="s">
        <v>1494</v>
      </c>
      <c r="J26" s="9" t="s">
        <v>1501</v>
      </c>
      <c r="K26" s="9"/>
    </row>
    <row r="27" customFormat="false" ht="15" hidden="false" customHeight="true" outlineLevel="0" collapsed="false">
      <c r="A27" s="11" t="s">
        <v>1550</v>
      </c>
      <c r="B27" s="11" t="s">
        <v>580</v>
      </c>
      <c r="C27" s="11" t="s">
        <v>766</v>
      </c>
      <c r="D27" s="11" t="s">
        <v>1337</v>
      </c>
      <c r="E27" s="11" t="n">
        <v>1</v>
      </c>
      <c r="F27" s="11" t="s">
        <v>1497</v>
      </c>
      <c r="G27" s="11" t="s">
        <v>1535</v>
      </c>
      <c r="H27" s="11" t="s">
        <v>1337</v>
      </c>
      <c r="I27" s="11" t="s">
        <v>1494</v>
      </c>
      <c r="J27" s="11" t="s">
        <v>1501</v>
      </c>
      <c r="K27" s="11"/>
    </row>
    <row r="28" customFormat="false" ht="15" hidden="false" customHeight="true" outlineLevel="0" collapsed="false">
      <c r="A28" s="9" t="s">
        <v>1551</v>
      </c>
      <c r="B28" s="9" t="s">
        <v>580</v>
      </c>
      <c r="C28" s="9" t="s">
        <v>766</v>
      </c>
      <c r="D28" s="9" t="s">
        <v>531</v>
      </c>
      <c r="E28" s="9" t="n">
        <v>1</v>
      </c>
      <c r="F28" s="9" t="s">
        <v>1492</v>
      </c>
      <c r="G28" s="9" t="s">
        <v>1552</v>
      </c>
      <c r="H28" s="9" t="s">
        <v>531</v>
      </c>
      <c r="I28" s="9" t="s">
        <v>1494</v>
      </c>
      <c r="J28" s="9" t="s">
        <v>1507</v>
      </c>
      <c r="K28" s="9"/>
    </row>
    <row r="29" customFormat="false" ht="15" hidden="false" customHeight="true" outlineLevel="0" collapsed="false">
      <c r="A29" s="11" t="s">
        <v>1553</v>
      </c>
      <c r="B29" s="11" t="s">
        <v>580</v>
      </c>
      <c r="C29" s="11" t="s">
        <v>766</v>
      </c>
      <c r="D29" s="11" t="s">
        <v>531</v>
      </c>
      <c r="E29" s="11" t="n">
        <v>1</v>
      </c>
      <c r="F29" s="11" t="s">
        <v>1497</v>
      </c>
      <c r="G29" s="11" t="s">
        <v>1498</v>
      </c>
      <c r="H29" s="11" t="s">
        <v>531</v>
      </c>
      <c r="I29" s="11" t="s">
        <v>1494</v>
      </c>
      <c r="J29" s="11" t="s">
        <v>1507</v>
      </c>
      <c r="K29" s="11"/>
    </row>
    <row r="30" customFormat="false" ht="15" hidden="false" customHeight="true" outlineLevel="0" collapsed="false">
      <c r="A30" s="9" t="s">
        <v>1554</v>
      </c>
      <c r="B30" s="9" t="s">
        <v>773</v>
      </c>
      <c r="C30" s="9" t="s">
        <v>774</v>
      </c>
      <c r="D30" s="9" t="s">
        <v>1151</v>
      </c>
      <c r="E30" s="9" t="n">
        <v>1</v>
      </c>
      <c r="F30" s="9" t="s">
        <v>1492</v>
      </c>
      <c r="G30" s="9" t="s">
        <v>1555</v>
      </c>
      <c r="H30" s="9" t="s">
        <v>1151</v>
      </c>
      <c r="I30" s="9" t="s">
        <v>1494</v>
      </c>
      <c r="J30" s="9" t="s">
        <v>1495</v>
      </c>
      <c r="K30" s="9"/>
    </row>
    <row r="31" customFormat="false" ht="15" hidden="false" customHeight="true" outlineLevel="0" collapsed="false">
      <c r="A31" s="11" t="s">
        <v>1556</v>
      </c>
      <c r="B31" s="11" t="s">
        <v>773</v>
      </c>
      <c r="C31" s="11" t="s">
        <v>774</v>
      </c>
      <c r="D31" s="11" t="s">
        <v>1151</v>
      </c>
      <c r="E31" s="11" t="n">
        <v>1</v>
      </c>
      <c r="F31" s="11" t="s">
        <v>1497</v>
      </c>
      <c r="G31" s="11" t="s">
        <v>1498</v>
      </c>
      <c r="H31" s="11" t="s">
        <v>1151</v>
      </c>
      <c r="I31" s="11" t="s">
        <v>1494</v>
      </c>
      <c r="J31" s="11" t="s">
        <v>1495</v>
      </c>
      <c r="K31" s="11"/>
    </row>
    <row r="32" customFormat="false" ht="15" hidden="false" customHeight="true" outlineLevel="0" collapsed="false">
      <c r="A32" s="9" t="s">
        <v>1557</v>
      </c>
      <c r="B32" s="9" t="s">
        <v>773</v>
      </c>
      <c r="C32" s="9" t="s">
        <v>774</v>
      </c>
      <c r="D32" s="9" t="s">
        <v>593</v>
      </c>
      <c r="E32" s="9" t="n">
        <v>1</v>
      </c>
      <c r="F32" s="9" t="s">
        <v>1492</v>
      </c>
      <c r="G32" s="9" t="s">
        <v>1500</v>
      </c>
      <c r="H32" s="9" t="s">
        <v>593</v>
      </c>
      <c r="I32" s="9" t="s">
        <v>1494</v>
      </c>
      <c r="J32" s="9" t="s">
        <v>1501</v>
      </c>
      <c r="K32" s="9"/>
    </row>
    <row r="33" customFormat="false" ht="15" hidden="false" customHeight="true" outlineLevel="0" collapsed="false">
      <c r="A33" s="11" t="s">
        <v>1558</v>
      </c>
      <c r="B33" s="11" t="s">
        <v>773</v>
      </c>
      <c r="C33" s="11" t="s">
        <v>774</v>
      </c>
      <c r="D33" s="11" t="s">
        <v>593</v>
      </c>
      <c r="E33" s="11" t="n">
        <v>1</v>
      </c>
      <c r="F33" s="11" t="s">
        <v>1497</v>
      </c>
      <c r="G33" s="11" t="s">
        <v>1503</v>
      </c>
      <c r="H33" s="11" t="s">
        <v>593</v>
      </c>
      <c r="I33" s="11" t="s">
        <v>1494</v>
      </c>
      <c r="J33" s="11" t="s">
        <v>1501</v>
      </c>
      <c r="K33" s="11"/>
    </row>
    <row r="34" customFormat="false" ht="15" hidden="false" customHeight="true" outlineLevel="0" collapsed="false">
      <c r="A34" s="9" t="s">
        <v>1559</v>
      </c>
      <c r="B34" s="9" t="s">
        <v>773</v>
      </c>
      <c r="C34" s="9" t="s">
        <v>774</v>
      </c>
      <c r="D34" s="9" t="s">
        <v>1505</v>
      </c>
      <c r="E34" s="9" t="n">
        <v>1</v>
      </c>
      <c r="F34" s="9" t="s">
        <v>1492</v>
      </c>
      <c r="G34" s="9" t="s">
        <v>1560</v>
      </c>
      <c r="H34" s="9" t="s">
        <v>1505</v>
      </c>
      <c r="I34" s="9" t="s">
        <v>1494</v>
      </c>
      <c r="J34" s="9" t="s">
        <v>1507</v>
      </c>
      <c r="K34" s="9"/>
    </row>
    <row r="35" customFormat="false" ht="15" hidden="false" customHeight="true" outlineLevel="0" collapsed="false">
      <c r="A35" s="11" t="s">
        <v>1561</v>
      </c>
      <c r="B35" s="11" t="s">
        <v>773</v>
      </c>
      <c r="C35" s="11" t="s">
        <v>774</v>
      </c>
      <c r="D35" s="11" t="s">
        <v>1505</v>
      </c>
      <c r="E35" s="11" t="n">
        <v>1</v>
      </c>
      <c r="F35" s="11" t="s">
        <v>1497</v>
      </c>
      <c r="G35" s="11" t="s">
        <v>1503</v>
      </c>
      <c r="H35" s="11" t="s">
        <v>1505</v>
      </c>
      <c r="I35" s="11" t="s">
        <v>1494</v>
      </c>
      <c r="J35" s="11" t="s">
        <v>1507</v>
      </c>
      <c r="K35" s="11"/>
    </row>
    <row r="36" customFormat="false" ht="15" hidden="false" customHeight="true" outlineLevel="0" collapsed="false">
      <c r="A36" s="9" t="s">
        <v>1562</v>
      </c>
      <c r="B36" s="9" t="s">
        <v>773</v>
      </c>
      <c r="C36" s="9" t="s">
        <v>774</v>
      </c>
      <c r="D36" s="9" t="s">
        <v>1511</v>
      </c>
      <c r="E36" s="9" t="n">
        <v>1</v>
      </c>
      <c r="F36" s="9" t="s">
        <v>1492</v>
      </c>
      <c r="G36" s="9" t="s">
        <v>457</v>
      </c>
      <c r="H36" s="9" t="s">
        <v>1511</v>
      </c>
      <c r="I36" s="9" t="s">
        <v>1494</v>
      </c>
      <c r="J36" s="9" t="s">
        <v>1495</v>
      </c>
      <c r="K36" s="9"/>
    </row>
    <row r="37" customFormat="false" ht="15" hidden="false" customHeight="true" outlineLevel="0" collapsed="false">
      <c r="A37" s="11" t="s">
        <v>1563</v>
      </c>
      <c r="B37" s="11" t="s">
        <v>773</v>
      </c>
      <c r="C37" s="11" t="s">
        <v>774</v>
      </c>
      <c r="D37" s="11" t="s">
        <v>1511</v>
      </c>
      <c r="E37" s="11" t="n">
        <v>1</v>
      </c>
      <c r="F37" s="11" t="s">
        <v>1497</v>
      </c>
      <c r="G37" s="11" t="s">
        <v>1513</v>
      </c>
      <c r="H37" s="11" t="s">
        <v>1511</v>
      </c>
      <c r="I37" s="11" t="s">
        <v>1494</v>
      </c>
      <c r="J37" s="11" t="s">
        <v>1495</v>
      </c>
      <c r="K37" s="11"/>
    </row>
    <row r="38" customFormat="false" ht="15" hidden="false" customHeight="true" outlineLevel="0" collapsed="false">
      <c r="A38" s="9" t="s">
        <v>1564</v>
      </c>
      <c r="B38" s="9" t="s">
        <v>773</v>
      </c>
      <c r="C38" s="9" t="s">
        <v>774</v>
      </c>
      <c r="D38" s="9" t="s">
        <v>1515</v>
      </c>
      <c r="E38" s="9" t="n">
        <v>1</v>
      </c>
      <c r="F38" s="9" t="s">
        <v>1492</v>
      </c>
      <c r="G38" s="9" t="s">
        <v>1516</v>
      </c>
      <c r="H38" s="9" t="s">
        <v>1515</v>
      </c>
      <c r="I38" s="9" t="s">
        <v>1494</v>
      </c>
      <c r="J38" s="9" t="s">
        <v>1501</v>
      </c>
      <c r="K38" s="9"/>
    </row>
    <row r="39" customFormat="false" ht="15" hidden="false" customHeight="true" outlineLevel="0" collapsed="false">
      <c r="A39" s="11" t="s">
        <v>1565</v>
      </c>
      <c r="B39" s="11" t="s">
        <v>773</v>
      </c>
      <c r="C39" s="11" t="s">
        <v>774</v>
      </c>
      <c r="D39" s="11" t="s">
        <v>1515</v>
      </c>
      <c r="E39" s="11" t="n">
        <v>1</v>
      </c>
      <c r="F39" s="11" t="s">
        <v>1497</v>
      </c>
      <c r="G39" s="11" t="s">
        <v>1518</v>
      </c>
      <c r="H39" s="11" t="s">
        <v>1515</v>
      </c>
      <c r="I39" s="11" t="s">
        <v>1494</v>
      </c>
      <c r="J39" s="11" t="s">
        <v>1501</v>
      </c>
      <c r="K39" s="11"/>
    </row>
    <row r="40" customFormat="false" ht="15" hidden="false" customHeight="true" outlineLevel="0" collapsed="false">
      <c r="A40" s="9" t="s">
        <v>1566</v>
      </c>
      <c r="B40" s="9" t="s">
        <v>773</v>
      </c>
      <c r="C40" s="9" t="s">
        <v>774</v>
      </c>
      <c r="D40" s="9" t="s">
        <v>1332</v>
      </c>
      <c r="E40" s="9" t="n">
        <v>1</v>
      </c>
      <c r="F40" s="9" t="s">
        <v>1492</v>
      </c>
      <c r="G40" s="9" t="s">
        <v>1567</v>
      </c>
      <c r="H40" s="9" t="s">
        <v>1332</v>
      </c>
      <c r="I40" s="9" t="s">
        <v>1494</v>
      </c>
      <c r="J40" s="9" t="s">
        <v>1495</v>
      </c>
      <c r="K40" s="9"/>
    </row>
    <row r="41" customFormat="false" ht="15" hidden="false" customHeight="true" outlineLevel="0" collapsed="false">
      <c r="A41" s="11" t="s">
        <v>1568</v>
      </c>
      <c r="B41" s="11" t="s">
        <v>773</v>
      </c>
      <c r="C41" s="11" t="s">
        <v>774</v>
      </c>
      <c r="D41" s="11" t="s">
        <v>1332</v>
      </c>
      <c r="E41" s="11" t="n">
        <v>1</v>
      </c>
      <c r="F41" s="11" t="s">
        <v>1497</v>
      </c>
      <c r="G41" s="11" t="s">
        <v>1509</v>
      </c>
      <c r="H41" s="11" t="s">
        <v>1332</v>
      </c>
      <c r="I41" s="11" t="s">
        <v>1494</v>
      </c>
      <c r="J41" s="11" t="s">
        <v>1495</v>
      </c>
      <c r="K41" s="11"/>
    </row>
    <row r="42" customFormat="false" ht="15" hidden="false" customHeight="true" outlineLevel="0" collapsed="false">
      <c r="A42" s="9" t="s">
        <v>1569</v>
      </c>
      <c r="B42" s="9" t="s">
        <v>773</v>
      </c>
      <c r="C42" s="9" t="s">
        <v>774</v>
      </c>
      <c r="D42" s="9" t="s">
        <v>1524</v>
      </c>
      <c r="E42" s="9" t="n">
        <v>1</v>
      </c>
      <c r="F42" s="9" t="s">
        <v>1492</v>
      </c>
      <c r="G42" s="9" t="s">
        <v>472</v>
      </c>
      <c r="H42" s="9" t="s">
        <v>1524</v>
      </c>
      <c r="I42" s="9" t="s">
        <v>1494</v>
      </c>
      <c r="J42" s="9" t="s">
        <v>1501</v>
      </c>
      <c r="K42" s="9"/>
    </row>
    <row r="43" customFormat="false" ht="15" hidden="false" customHeight="true" outlineLevel="0" collapsed="false">
      <c r="A43" s="11" t="s">
        <v>1570</v>
      </c>
      <c r="B43" s="11" t="s">
        <v>773</v>
      </c>
      <c r="C43" s="11" t="s">
        <v>774</v>
      </c>
      <c r="D43" s="11" t="s">
        <v>1524</v>
      </c>
      <c r="E43" s="11" t="n">
        <v>1</v>
      </c>
      <c r="F43" s="11" t="s">
        <v>1497</v>
      </c>
      <c r="G43" s="11" t="s">
        <v>1571</v>
      </c>
      <c r="H43" s="11" t="s">
        <v>1524</v>
      </c>
      <c r="I43" s="11" t="s">
        <v>1494</v>
      </c>
      <c r="J43" s="11" t="s">
        <v>1501</v>
      </c>
      <c r="K43" s="11"/>
    </row>
    <row r="44" customFormat="false" ht="15" hidden="false" customHeight="true" outlineLevel="0" collapsed="false">
      <c r="A44" s="9" t="s">
        <v>1572</v>
      </c>
      <c r="B44" s="9" t="s">
        <v>773</v>
      </c>
      <c r="C44" s="9" t="s">
        <v>774</v>
      </c>
      <c r="D44" s="9" t="s">
        <v>1377</v>
      </c>
      <c r="E44" s="9" t="n">
        <v>1</v>
      </c>
      <c r="F44" s="9" t="s">
        <v>1492</v>
      </c>
      <c r="G44" s="9" t="s">
        <v>1552</v>
      </c>
      <c r="H44" s="9" t="s">
        <v>1377</v>
      </c>
      <c r="I44" s="9" t="s">
        <v>1494</v>
      </c>
      <c r="J44" s="9" t="s">
        <v>1507</v>
      </c>
      <c r="K44" s="9"/>
    </row>
    <row r="45" customFormat="false" ht="15" hidden="false" customHeight="true" outlineLevel="0" collapsed="false">
      <c r="A45" s="11" t="s">
        <v>1573</v>
      </c>
      <c r="B45" s="11" t="s">
        <v>773</v>
      </c>
      <c r="C45" s="11" t="s">
        <v>774</v>
      </c>
      <c r="D45" s="11" t="s">
        <v>1377</v>
      </c>
      <c r="E45" s="11" t="n">
        <v>1</v>
      </c>
      <c r="F45" s="11" t="s">
        <v>1497</v>
      </c>
      <c r="G45" s="11" t="s">
        <v>1574</v>
      </c>
      <c r="H45" s="11" t="s">
        <v>1377</v>
      </c>
      <c r="I45" s="11" t="s">
        <v>1494</v>
      </c>
      <c r="J45" s="11" t="s">
        <v>1507</v>
      </c>
      <c r="K45" s="11"/>
    </row>
    <row r="46" customFormat="false" ht="15" hidden="false" customHeight="true" outlineLevel="0" collapsed="false">
      <c r="A46" s="9" t="s">
        <v>1575</v>
      </c>
      <c r="B46" s="9" t="s">
        <v>773</v>
      </c>
      <c r="C46" s="9" t="s">
        <v>774</v>
      </c>
      <c r="D46" s="9" t="s">
        <v>1355</v>
      </c>
      <c r="E46" s="9" t="n">
        <v>1</v>
      </c>
      <c r="F46" s="9" t="s">
        <v>1492</v>
      </c>
      <c r="G46" s="9" t="s">
        <v>1576</v>
      </c>
      <c r="H46" s="9" t="s">
        <v>1355</v>
      </c>
      <c r="I46" s="9" t="s">
        <v>1494</v>
      </c>
      <c r="J46" s="9" t="s">
        <v>1495</v>
      </c>
      <c r="K46" s="9"/>
    </row>
    <row r="47" customFormat="false" ht="15" hidden="false" customHeight="true" outlineLevel="0" collapsed="false">
      <c r="A47" s="11" t="s">
        <v>1577</v>
      </c>
      <c r="B47" s="11" t="s">
        <v>773</v>
      </c>
      <c r="C47" s="11" t="s">
        <v>774</v>
      </c>
      <c r="D47" s="11" t="s">
        <v>1355</v>
      </c>
      <c r="E47" s="11" t="n">
        <v>1</v>
      </c>
      <c r="F47" s="11" t="s">
        <v>1497</v>
      </c>
      <c r="G47" s="11" t="s">
        <v>1574</v>
      </c>
      <c r="H47" s="11" t="s">
        <v>1355</v>
      </c>
      <c r="I47" s="11" t="s">
        <v>1494</v>
      </c>
      <c r="J47" s="11" t="s">
        <v>1495</v>
      </c>
      <c r="K47" s="11"/>
    </row>
    <row r="48" customFormat="false" ht="15" hidden="false" customHeight="true" outlineLevel="0" collapsed="false">
      <c r="A48" s="9" t="s">
        <v>1578</v>
      </c>
      <c r="B48" s="9" t="s">
        <v>773</v>
      </c>
      <c r="C48" s="9" t="s">
        <v>774</v>
      </c>
      <c r="D48" s="9" t="s">
        <v>1459</v>
      </c>
      <c r="E48" s="9" t="n">
        <v>1</v>
      </c>
      <c r="F48" s="9" t="s">
        <v>1492</v>
      </c>
      <c r="G48" s="9" t="s">
        <v>1541</v>
      </c>
      <c r="H48" s="9" t="s">
        <v>1459</v>
      </c>
      <c r="I48" s="9" t="s">
        <v>1494</v>
      </c>
      <c r="J48" s="9" t="s">
        <v>1501</v>
      </c>
      <c r="K48" s="9"/>
    </row>
    <row r="49" customFormat="false" ht="15" hidden="false" customHeight="true" outlineLevel="0" collapsed="false">
      <c r="A49" s="11" t="s">
        <v>1579</v>
      </c>
      <c r="B49" s="11" t="s">
        <v>773</v>
      </c>
      <c r="C49" s="11" t="s">
        <v>774</v>
      </c>
      <c r="D49" s="11" t="s">
        <v>1459</v>
      </c>
      <c r="E49" s="11" t="n">
        <v>1</v>
      </c>
      <c r="F49" s="11" t="s">
        <v>1497</v>
      </c>
      <c r="G49" s="11" t="s">
        <v>1543</v>
      </c>
      <c r="H49" s="11" t="s">
        <v>1459</v>
      </c>
      <c r="I49" s="11" t="s">
        <v>1494</v>
      </c>
      <c r="J49" s="11" t="s">
        <v>1501</v>
      </c>
      <c r="K49" s="11"/>
    </row>
    <row r="50" customFormat="false" ht="15" hidden="false" customHeight="true" outlineLevel="0" collapsed="false">
      <c r="A50" s="9" t="s">
        <v>1580</v>
      </c>
      <c r="B50" s="9" t="s">
        <v>773</v>
      </c>
      <c r="C50" s="9" t="s">
        <v>774</v>
      </c>
      <c r="D50" s="9" t="s">
        <v>1545</v>
      </c>
      <c r="E50" s="9" t="n">
        <v>1</v>
      </c>
      <c r="F50" s="9" t="s">
        <v>1492</v>
      </c>
      <c r="G50" s="9" t="s">
        <v>1546</v>
      </c>
      <c r="H50" s="9" t="s">
        <v>1545</v>
      </c>
      <c r="I50" s="9" t="s">
        <v>1494</v>
      </c>
      <c r="J50" s="9" t="s">
        <v>1507</v>
      </c>
      <c r="K50" s="9"/>
    </row>
    <row r="51" customFormat="false" ht="15" hidden="false" customHeight="true" outlineLevel="0" collapsed="false">
      <c r="A51" s="11" t="s">
        <v>1581</v>
      </c>
      <c r="B51" s="11" t="s">
        <v>773</v>
      </c>
      <c r="C51" s="11" t="s">
        <v>774</v>
      </c>
      <c r="D51" s="11" t="s">
        <v>1545</v>
      </c>
      <c r="E51" s="11" t="n">
        <v>1</v>
      </c>
      <c r="F51" s="11" t="s">
        <v>1497</v>
      </c>
      <c r="G51" s="11" t="s">
        <v>1548</v>
      </c>
      <c r="H51" s="11" t="s">
        <v>1545</v>
      </c>
      <c r="I51" s="11" t="s">
        <v>1494</v>
      </c>
      <c r="J51" s="11" t="s">
        <v>1507</v>
      </c>
      <c r="K51" s="11"/>
    </row>
    <row r="52" customFormat="false" ht="15" hidden="false" customHeight="true" outlineLevel="0" collapsed="false">
      <c r="A52" s="9" t="s">
        <v>1582</v>
      </c>
      <c r="B52" s="9" t="s">
        <v>773</v>
      </c>
      <c r="C52" s="9" t="s">
        <v>774</v>
      </c>
      <c r="D52" s="9" t="s">
        <v>1337</v>
      </c>
      <c r="E52" s="9" t="n">
        <v>1</v>
      </c>
      <c r="F52" s="9" t="s">
        <v>1492</v>
      </c>
      <c r="G52" s="9" t="s">
        <v>1583</v>
      </c>
      <c r="H52" s="9" t="s">
        <v>1337</v>
      </c>
      <c r="I52" s="9" t="s">
        <v>1494</v>
      </c>
      <c r="J52" s="9" t="s">
        <v>1501</v>
      </c>
      <c r="K52" s="9"/>
    </row>
    <row r="53" customFormat="false" ht="15" hidden="false" customHeight="true" outlineLevel="0" collapsed="false">
      <c r="A53" s="11" t="s">
        <v>1584</v>
      </c>
      <c r="B53" s="11" t="s">
        <v>773</v>
      </c>
      <c r="C53" s="11" t="s">
        <v>774</v>
      </c>
      <c r="D53" s="11" t="s">
        <v>1337</v>
      </c>
      <c r="E53" s="11" t="n">
        <v>1</v>
      </c>
      <c r="F53" s="11" t="s">
        <v>1497</v>
      </c>
      <c r="G53" s="11" t="s">
        <v>1513</v>
      </c>
      <c r="H53" s="11" t="s">
        <v>1337</v>
      </c>
      <c r="I53" s="11" t="s">
        <v>1494</v>
      </c>
      <c r="J53" s="11" t="s">
        <v>1501</v>
      </c>
      <c r="K53" s="11"/>
    </row>
    <row r="54" customFormat="false" ht="15" hidden="false" customHeight="true" outlineLevel="0" collapsed="false">
      <c r="A54" s="9" t="s">
        <v>1585</v>
      </c>
      <c r="B54" s="9" t="s">
        <v>773</v>
      </c>
      <c r="C54" s="9" t="s">
        <v>774</v>
      </c>
      <c r="D54" s="9" t="s">
        <v>531</v>
      </c>
      <c r="E54" s="9" t="n">
        <v>1</v>
      </c>
      <c r="F54" s="9" t="s">
        <v>1492</v>
      </c>
      <c r="G54" s="9" t="s">
        <v>1552</v>
      </c>
      <c r="H54" s="9" t="s">
        <v>531</v>
      </c>
      <c r="I54" s="9" t="s">
        <v>1494</v>
      </c>
      <c r="J54" s="9" t="s">
        <v>1507</v>
      </c>
      <c r="K54" s="9"/>
    </row>
    <row r="55" customFormat="false" ht="15" hidden="false" customHeight="true" outlineLevel="0" collapsed="false">
      <c r="A55" s="11" t="s">
        <v>1586</v>
      </c>
      <c r="B55" s="11" t="s">
        <v>773</v>
      </c>
      <c r="C55" s="11" t="s">
        <v>774</v>
      </c>
      <c r="D55" s="11" t="s">
        <v>531</v>
      </c>
      <c r="E55" s="11" t="n">
        <v>1</v>
      </c>
      <c r="F55" s="11" t="s">
        <v>1497</v>
      </c>
      <c r="G55" s="11" t="s">
        <v>1498</v>
      </c>
      <c r="H55" s="11" t="s">
        <v>531</v>
      </c>
      <c r="I55" s="11" t="s">
        <v>1494</v>
      </c>
      <c r="J55" s="11" t="s">
        <v>1507</v>
      </c>
      <c r="K55" s="11"/>
    </row>
    <row r="56" customFormat="false" ht="15" hidden="false" customHeight="true" outlineLevel="0" collapsed="false">
      <c r="A56" s="9" t="s">
        <v>1587</v>
      </c>
      <c r="B56" s="9" t="s">
        <v>781</v>
      </c>
      <c r="C56" s="9" t="s">
        <v>782</v>
      </c>
      <c r="D56" s="9" t="s">
        <v>1151</v>
      </c>
      <c r="E56" s="9" t="n">
        <v>1</v>
      </c>
      <c r="F56" s="9" t="s">
        <v>1492</v>
      </c>
      <c r="G56" s="9" t="s">
        <v>1493</v>
      </c>
      <c r="H56" s="9" t="s">
        <v>1151</v>
      </c>
      <c r="I56" s="9" t="s">
        <v>1494</v>
      </c>
      <c r="J56" s="9" t="s">
        <v>1495</v>
      </c>
      <c r="K56" s="9"/>
    </row>
    <row r="57" customFormat="false" ht="15" hidden="false" customHeight="true" outlineLevel="0" collapsed="false">
      <c r="A57" s="11" t="s">
        <v>1588</v>
      </c>
      <c r="B57" s="11" t="s">
        <v>781</v>
      </c>
      <c r="C57" s="11" t="s">
        <v>782</v>
      </c>
      <c r="D57" s="11" t="s">
        <v>1151</v>
      </c>
      <c r="E57" s="11" t="n">
        <v>1</v>
      </c>
      <c r="F57" s="11" t="s">
        <v>1497</v>
      </c>
      <c r="G57" s="11" t="s">
        <v>1498</v>
      </c>
      <c r="H57" s="11" t="s">
        <v>1151</v>
      </c>
      <c r="I57" s="11" t="s">
        <v>1494</v>
      </c>
      <c r="J57" s="11" t="s">
        <v>1495</v>
      </c>
      <c r="K57" s="11"/>
    </row>
    <row r="58" customFormat="false" ht="15" hidden="false" customHeight="true" outlineLevel="0" collapsed="false">
      <c r="A58" s="9" t="s">
        <v>1589</v>
      </c>
      <c r="B58" s="9" t="s">
        <v>781</v>
      </c>
      <c r="C58" s="9" t="s">
        <v>782</v>
      </c>
      <c r="D58" s="9" t="s">
        <v>593</v>
      </c>
      <c r="E58" s="9" t="n">
        <v>1</v>
      </c>
      <c r="F58" s="9" t="s">
        <v>1492</v>
      </c>
      <c r="G58" s="9" t="s">
        <v>1500</v>
      </c>
      <c r="H58" s="9" t="s">
        <v>593</v>
      </c>
      <c r="I58" s="9" t="s">
        <v>1494</v>
      </c>
      <c r="J58" s="9" t="s">
        <v>1501</v>
      </c>
      <c r="K58" s="9"/>
    </row>
    <row r="59" customFormat="false" ht="15" hidden="false" customHeight="true" outlineLevel="0" collapsed="false">
      <c r="A59" s="11" t="s">
        <v>1590</v>
      </c>
      <c r="B59" s="11" t="s">
        <v>781</v>
      </c>
      <c r="C59" s="11" t="s">
        <v>782</v>
      </c>
      <c r="D59" s="11" t="s">
        <v>593</v>
      </c>
      <c r="E59" s="11" t="n">
        <v>1</v>
      </c>
      <c r="F59" s="11" t="s">
        <v>1497</v>
      </c>
      <c r="G59" s="11" t="s">
        <v>1503</v>
      </c>
      <c r="H59" s="11" t="s">
        <v>593</v>
      </c>
      <c r="I59" s="11" t="s">
        <v>1494</v>
      </c>
      <c r="J59" s="11" t="s">
        <v>1501</v>
      </c>
      <c r="K59" s="11"/>
    </row>
    <row r="60" customFormat="false" ht="15" hidden="false" customHeight="true" outlineLevel="0" collapsed="false">
      <c r="A60" s="9" t="s">
        <v>1591</v>
      </c>
      <c r="B60" s="9" t="s">
        <v>781</v>
      </c>
      <c r="C60" s="9" t="s">
        <v>782</v>
      </c>
      <c r="D60" s="9" t="s">
        <v>1505</v>
      </c>
      <c r="E60" s="9" t="n">
        <v>1</v>
      </c>
      <c r="F60" s="9" t="s">
        <v>1492</v>
      </c>
      <c r="G60" s="9" t="s">
        <v>1506</v>
      </c>
      <c r="H60" s="9" t="s">
        <v>1505</v>
      </c>
      <c r="I60" s="9" t="s">
        <v>1494</v>
      </c>
      <c r="J60" s="9" t="s">
        <v>1507</v>
      </c>
      <c r="K60" s="9"/>
    </row>
    <row r="61" customFormat="false" ht="15" hidden="false" customHeight="true" outlineLevel="0" collapsed="false">
      <c r="A61" s="11" t="s">
        <v>1592</v>
      </c>
      <c r="B61" s="11" t="s">
        <v>781</v>
      </c>
      <c r="C61" s="11" t="s">
        <v>782</v>
      </c>
      <c r="D61" s="11" t="s">
        <v>1505</v>
      </c>
      <c r="E61" s="11" t="n">
        <v>1</v>
      </c>
      <c r="F61" s="11" t="s">
        <v>1497</v>
      </c>
      <c r="G61" s="11" t="s">
        <v>1509</v>
      </c>
      <c r="H61" s="11" t="s">
        <v>1505</v>
      </c>
      <c r="I61" s="11" t="s">
        <v>1494</v>
      </c>
      <c r="J61" s="11" t="s">
        <v>1507</v>
      </c>
      <c r="K61" s="11"/>
    </row>
    <row r="62" customFormat="false" ht="15" hidden="false" customHeight="true" outlineLevel="0" collapsed="false">
      <c r="A62" s="9" t="s">
        <v>1593</v>
      </c>
      <c r="B62" s="9" t="s">
        <v>781</v>
      </c>
      <c r="C62" s="9" t="s">
        <v>782</v>
      </c>
      <c r="D62" s="9" t="s">
        <v>1511</v>
      </c>
      <c r="E62" s="9" t="n">
        <v>1</v>
      </c>
      <c r="F62" s="9" t="s">
        <v>1492</v>
      </c>
      <c r="G62" s="9" t="s">
        <v>1571</v>
      </c>
      <c r="H62" s="9" t="s">
        <v>1511</v>
      </c>
      <c r="I62" s="9" t="s">
        <v>1494</v>
      </c>
      <c r="J62" s="9" t="s">
        <v>1495</v>
      </c>
      <c r="K62" s="9"/>
    </row>
    <row r="63" customFormat="false" ht="15" hidden="false" customHeight="true" outlineLevel="0" collapsed="false">
      <c r="A63" s="11" t="s">
        <v>1594</v>
      </c>
      <c r="B63" s="11" t="s">
        <v>781</v>
      </c>
      <c r="C63" s="11" t="s">
        <v>782</v>
      </c>
      <c r="D63" s="11" t="s">
        <v>1511</v>
      </c>
      <c r="E63" s="11" t="n">
        <v>1</v>
      </c>
      <c r="F63" s="11" t="s">
        <v>1497</v>
      </c>
      <c r="G63" s="11" t="s">
        <v>1595</v>
      </c>
      <c r="H63" s="11" t="s">
        <v>1515</v>
      </c>
      <c r="I63" s="11" t="s">
        <v>1494</v>
      </c>
      <c r="J63" s="11" t="s">
        <v>1495</v>
      </c>
      <c r="K63" s="11" t="s">
        <v>1531</v>
      </c>
    </row>
    <row r="64" customFormat="false" ht="15" hidden="false" customHeight="true" outlineLevel="0" collapsed="false">
      <c r="A64" s="9" t="s">
        <v>1596</v>
      </c>
      <c r="B64" s="9" t="s">
        <v>781</v>
      </c>
      <c r="C64" s="9" t="s">
        <v>782</v>
      </c>
      <c r="D64" s="9" t="s">
        <v>1515</v>
      </c>
      <c r="E64" s="9" t="n">
        <v>1</v>
      </c>
      <c r="F64" s="9" t="s">
        <v>1492</v>
      </c>
      <c r="G64" s="9" t="s">
        <v>1516</v>
      </c>
      <c r="H64" s="9" t="s">
        <v>1515</v>
      </c>
      <c r="I64" s="9" t="s">
        <v>1494</v>
      </c>
      <c r="J64" s="9" t="s">
        <v>1501</v>
      </c>
      <c r="K64" s="9"/>
    </row>
    <row r="65" customFormat="false" ht="15" hidden="false" customHeight="true" outlineLevel="0" collapsed="false">
      <c r="A65" s="11" t="s">
        <v>1597</v>
      </c>
      <c r="B65" s="11" t="s">
        <v>781</v>
      </c>
      <c r="C65" s="11" t="s">
        <v>782</v>
      </c>
      <c r="D65" s="11" t="s">
        <v>1515</v>
      </c>
      <c r="E65" s="11" t="n">
        <v>1</v>
      </c>
      <c r="F65" s="11" t="s">
        <v>1497</v>
      </c>
      <c r="G65" s="11" t="s">
        <v>1518</v>
      </c>
      <c r="H65" s="11" t="s">
        <v>1515</v>
      </c>
      <c r="I65" s="11" t="s">
        <v>1494</v>
      </c>
      <c r="J65" s="11" t="s">
        <v>1501</v>
      </c>
      <c r="K65" s="11"/>
    </row>
    <row r="66" customFormat="false" ht="15" hidden="false" customHeight="true" outlineLevel="0" collapsed="false">
      <c r="A66" s="9" t="s">
        <v>1598</v>
      </c>
      <c r="B66" s="9" t="s">
        <v>781</v>
      </c>
      <c r="C66" s="9" t="s">
        <v>782</v>
      </c>
      <c r="D66" s="9" t="s">
        <v>1332</v>
      </c>
      <c r="E66" s="9" t="n">
        <v>1</v>
      </c>
      <c r="F66" s="9" t="s">
        <v>1492</v>
      </c>
      <c r="G66" s="9" t="s">
        <v>1520</v>
      </c>
      <c r="H66" s="9" t="s">
        <v>1332</v>
      </c>
      <c r="I66" s="9" t="s">
        <v>1494</v>
      </c>
      <c r="J66" s="9" t="s">
        <v>1495</v>
      </c>
      <c r="K66" s="9"/>
    </row>
    <row r="67" customFormat="false" ht="15" hidden="false" customHeight="true" outlineLevel="0" collapsed="false">
      <c r="A67" s="11" t="s">
        <v>1599</v>
      </c>
      <c r="B67" s="11" t="s">
        <v>781</v>
      </c>
      <c r="C67" s="11" t="s">
        <v>782</v>
      </c>
      <c r="D67" s="11" t="s">
        <v>1332</v>
      </c>
      <c r="E67" s="11" t="n">
        <v>1</v>
      </c>
      <c r="F67" s="11" t="s">
        <v>1497</v>
      </c>
      <c r="G67" s="11" t="s">
        <v>1522</v>
      </c>
      <c r="H67" s="11" t="s">
        <v>1332</v>
      </c>
      <c r="I67" s="11" t="s">
        <v>1494</v>
      </c>
      <c r="J67" s="11" t="s">
        <v>1495</v>
      </c>
      <c r="K67" s="11"/>
    </row>
    <row r="68" customFormat="false" ht="15" hidden="false" customHeight="true" outlineLevel="0" collapsed="false">
      <c r="A68" s="9" t="s">
        <v>1600</v>
      </c>
      <c r="B68" s="9" t="s">
        <v>781</v>
      </c>
      <c r="C68" s="9" t="s">
        <v>782</v>
      </c>
      <c r="D68" s="9" t="s">
        <v>1524</v>
      </c>
      <c r="E68" s="9" t="n">
        <v>1</v>
      </c>
      <c r="F68" s="9" t="s">
        <v>1492</v>
      </c>
      <c r="G68" s="9" t="s">
        <v>472</v>
      </c>
      <c r="H68" s="9" t="s">
        <v>1524</v>
      </c>
      <c r="I68" s="9" t="s">
        <v>1494</v>
      </c>
      <c r="J68" s="9" t="s">
        <v>1501</v>
      </c>
      <c r="K68" s="9"/>
    </row>
    <row r="69" customFormat="false" ht="15" hidden="false" customHeight="true" outlineLevel="0" collapsed="false">
      <c r="A69" s="11" t="s">
        <v>1601</v>
      </c>
      <c r="B69" s="11" t="s">
        <v>781</v>
      </c>
      <c r="C69" s="11" t="s">
        <v>782</v>
      </c>
      <c r="D69" s="11" t="s">
        <v>1524</v>
      </c>
      <c r="E69" s="11" t="n">
        <v>1</v>
      </c>
      <c r="F69" s="11" t="s">
        <v>1497</v>
      </c>
      <c r="G69" s="11" t="s">
        <v>1571</v>
      </c>
      <c r="H69" s="11" t="s">
        <v>1524</v>
      </c>
      <c r="I69" s="11" t="s">
        <v>1494</v>
      </c>
      <c r="J69" s="11" t="s">
        <v>1501</v>
      </c>
      <c r="K69" s="11"/>
    </row>
    <row r="70" customFormat="false" ht="15" hidden="false" customHeight="true" outlineLevel="0" collapsed="false">
      <c r="A70" s="9" t="s">
        <v>1602</v>
      </c>
      <c r="B70" s="9" t="s">
        <v>781</v>
      </c>
      <c r="C70" s="9" t="s">
        <v>782</v>
      </c>
      <c r="D70" s="9" t="s">
        <v>1377</v>
      </c>
      <c r="E70" s="9" t="n">
        <v>1</v>
      </c>
      <c r="F70" s="9" t="s">
        <v>1492</v>
      </c>
      <c r="G70" s="9" t="s">
        <v>1552</v>
      </c>
      <c r="H70" s="9" t="s">
        <v>1377</v>
      </c>
      <c r="I70" s="9" t="s">
        <v>1494</v>
      </c>
      <c r="J70" s="9" t="s">
        <v>1507</v>
      </c>
      <c r="K70" s="9"/>
    </row>
    <row r="71" customFormat="false" ht="15" hidden="false" customHeight="true" outlineLevel="0" collapsed="false">
      <c r="A71" s="11" t="s">
        <v>1603</v>
      </c>
      <c r="B71" s="11" t="s">
        <v>781</v>
      </c>
      <c r="C71" s="11" t="s">
        <v>782</v>
      </c>
      <c r="D71" s="11" t="s">
        <v>1377</v>
      </c>
      <c r="E71" s="11" t="n">
        <v>1</v>
      </c>
      <c r="F71" s="11" t="s">
        <v>1497</v>
      </c>
      <c r="G71" s="11" t="s">
        <v>1574</v>
      </c>
      <c r="H71" s="11" t="s">
        <v>1377</v>
      </c>
      <c r="I71" s="11" t="s">
        <v>1494</v>
      </c>
      <c r="J71" s="11" t="s">
        <v>1507</v>
      </c>
      <c r="K71" s="11"/>
    </row>
    <row r="72" customFormat="false" ht="15" hidden="false" customHeight="true" outlineLevel="0" collapsed="false">
      <c r="A72" s="9" t="s">
        <v>1604</v>
      </c>
      <c r="B72" s="9" t="s">
        <v>781</v>
      </c>
      <c r="C72" s="9" t="s">
        <v>782</v>
      </c>
      <c r="D72" s="9" t="s">
        <v>1355</v>
      </c>
      <c r="E72" s="9" t="n">
        <v>1</v>
      </c>
      <c r="F72" s="9" t="s">
        <v>1492</v>
      </c>
      <c r="G72" s="9" t="s">
        <v>1537</v>
      </c>
      <c r="H72" s="9" t="s">
        <v>1355</v>
      </c>
      <c r="I72" s="9" t="s">
        <v>1494</v>
      </c>
      <c r="J72" s="9" t="s">
        <v>1495</v>
      </c>
      <c r="K72" s="9"/>
    </row>
    <row r="73" customFormat="false" ht="15" hidden="false" customHeight="true" outlineLevel="0" collapsed="false">
      <c r="A73" s="11" t="s">
        <v>1605</v>
      </c>
      <c r="B73" s="11" t="s">
        <v>781</v>
      </c>
      <c r="C73" s="11" t="s">
        <v>782</v>
      </c>
      <c r="D73" s="11" t="s">
        <v>1355</v>
      </c>
      <c r="E73" s="11" t="n">
        <v>1</v>
      </c>
      <c r="F73" s="11" t="s">
        <v>1497</v>
      </c>
      <c r="G73" s="11" t="s">
        <v>1539</v>
      </c>
      <c r="H73" s="11" t="s">
        <v>1355</v>
      </c>
      <c r="I73" s="11" t="s">
        <v>1494</v>
      </c>
      <c r="J73" s="11" t="s">
        <v>1495</v>
      </c>
      <c r="K73" s="11"/>
    </row>
    <row r="74" customFormat="false" ht="15" hidden="false" customHeight="true" outlineLevel="0" collapsed="false">
      <c r="A74" s="9" t="s">
        <v>1606</v>
      </c>
      <c r="B74" s="9" t="s">
        <v>781</v>
      </c>
      <c r="C74" s="9" t="s">
        <v>782</v>
      </c>
      <c r="D74" s="9" t="s">
        <v>1459</v>
      </c>
      <c r="E74" s="9" t="n">
        <v>1</v>
      </c>
      <c r="F74" s="9" t="s">
        <v>1492</v>
      </c>
      <c r="G74" s="9" t="s">
        <v>1607</v>
      </c>
      <c r="H74" s="9" t="s">
        <v>1459</v>
      </c>
      <c r="I74" s="9" t="s">
        <v>1494</v>
      </c>
      <c r="J74" s="9" t="s">
        <v>1501</v>
      </c>
      <c r="K74" s="9"/>
    </row>
    <row r="75" customFormat="false" ht="15" hidden="false" customHeight="true" outlineLevel="0" collapsed="false">
      <c r="A75" s="11" t="s">
        <v>1608</v>
      </c>
      <c r="B75" s="11" t="s">
        <v>781</v>
      </c>
      <c r="C75" s="11" t="s">
        <v>782</v>
      </c>
      <c r="D75" s="11" t="s">
        <v>1459</v>
      </c>
      <c r="E75" s="11" t="n">
        <v>1</v>
      </c>
      <c r="F75" s="11" t="s">
        <v>1497</v>
      </c>
      <c r="G75" s="11" t="s">
        <v>1609</v>
      </c>
      <c r="H75" s="11" t="s">
        <v>1545</v>
      </c>
      <c r="I75" s="11" t="s">
        <v>1494</v>
      </c>
      <c r="J75" s="11" t="s">
        <v>1501</v>
      </c>
      <c r="K75" s="11" t="s">
        <v>1531</v>
      </c>
    </row>
    <row r="76" customFormat="false" ht="15" hidden="false" customHeight="true" outlineLevel="0" collapsed="false">
      <c r="A76" s="9" t="s">
        <v>1610</v>
      </c>
      <c r="B76" s="9" t="s">
        <v>781</v>
      </c>
      <c r="C76" s="9" t="s">
        <v>782</v>
      </c>
      <c r="D76" s="9" t="s">
        <v>1545</v>
      </c>
      <c r="E76" s="9" t="n">
        <v>1</v>
      </c>
      <c r="F76" s="9" t="s">
        <v>1492</v>
      </c>
      <c r="G76" s="9" t="s">
        <v>1546</v>
      </c>
      <c r="H76" s="9" t="s">
        <v>1545</v>
      </c>
      <c r="I76" s="9" t="s">
        <v>1494</v>
      </c>
      <c r="J76" s="9" t="s">
        <v>1507</v>
      </c>
      <c r="K76" s="9"/>
    </row>
    <row r="77" customFormat="false" ht="15" hidden="false" customHeight="true" outlineLevel="0" collapsed="false">
      <c r="A77" s="11" t="s">
        <v>1611</v>
      </c>
      <c r="B77" s="11" t="s">
        <v>781</v>
      </c>
      <c r="C77" s="11" t="s">
        <v>782</v>
      </c>
      <c r="D77" s="11" t="s">
        <v>1545</v>
      </c>
      <c r="E77" s="11" t="n">
        <v>1</v>
      </c>
      <c r="F77" s="11" t="s">
        <v>1497</v>
      </c>
      <c r="G77" s="11" t="s">
        <v>1548</v>
      </c>
      <c r="H77" s="11" t="s">
        <v>1545</v>
      </c>
      <c r="I77" s="11" t="s">
        <v>1494</v>
      </c>
      <c r="J77" s="11" t="s">
        <v>1507</v>
      </c>
      <c r="K77" s="11"/>
    </row>
    <row r="78" customFormat="false" ht="15" hidden="false" customHeight="true" outlineLevel="0" collapsed="false">
      <c r="A78" s="9" t="s">
        <v>1612</v>
      </c>
      <c r="B78" s="9" t="s">
        <v>781</v>
      </c>
      <c r="C78" s="9" t="s">
        <v>782</v>
      </c>
      <c r="D78" s="9" t="s">
        <v>1337</v>
      </c>
      <c r="E78" s="9" t="n">
        <v>1</v>
      </c>
      <c r="F78" s="9" t="s">
        <v>1492</v>
      </c>
      <c r="G78" s="9" t="s">
        <v>457</v>
      </c>
      <c r="H78" s="9" t="s">
        <v>1337</v>
      </c>
      <c r="I78" s="9" t="s">
        <v>1494</v>
      </c>
      <c r="J78" s="9" t="s">
        <v>1501</v>
      </c>
      <c r="K78" s="9"/>
    </row>
    <row r="79" customFormat="false" ht="15" hidden="false" customHeight="true" outlineLevel="0" collapsed="false">
      <c r="A79" s="11" t="s">
        <v>1613</v>
      </c>
      <c r="B79" s="11" t="s">
        <v>781</v>
      </c>
      <c r="C79" s="11" t="s">
        <v>782</v>
      </c>
      <c r="D79" s="11" t="s">
        <v>1337</v>
      </c>
      <c r="E79" s="11" t="n">
        <v>1</v>
      </c>
      <c r="F79" s="11" t="s">
        <v>1497</v>
      </c>
      <c r="G79" s="11" t="s">
        <v>1535</v>
      </c>
      <c r="H79" s="11" t="s">
        <v>1337</v>
      </c>
      <c r="I79" s="11" t="s">
        <v>1494</v>
      </c>
      <c r="J79" s="11" t="s">
        <v>1501</v>
      </c>
      <c r="K79" s="11"/>
    </row>
    <row r="80" customFormat="false" ht="15" hidden="false" customHeight="true" outlineLevel="0" collapsed="false">
      <c r="A80" s="9" t="s">
        <v>1614</v>
      </c>
      <c r="B80" s="9" t="s">
        <v>781</v>
      </c>
      <c r="C80" s="9" t="s">
        <v>782</v>
      </c>
      <c r="D80" s="9" t="s">
        <v>531</v>
      </c>
      <c r="E80" s="9" t="n">
        <v>1</v>
      </c>
      <c r="F80" s="9" t="s">
        <v>1492</v>
      </c>
      <c r="G80" s="9" t="s">
        <v>1552</v>
      </c>
      <c r="H80" s="9" t="s">
        <v>531</v>
      </c>
      <c r="I80" s="9" t="s">
        <v>1494</v>
      </c>
      <c r="J80" s="9" t="s">
        <v>1507</v>
      </c>
      <c r="K80" s="9"/>
    </row>
    <row r="81" customFormat="false" ht="15" hidden="false" customHeight="true" outlineLevel="0" collapsed="false">
      <c r="A81" s="11" t="s">
        <v>1615</v>
      </c>
      <c r="B81" s="11" t="s">
        <v>781</v>
      </c>
      <c r="C81" s="11" t="s">
        <v>782</v>
      </c>
      <c r="D81" s="11" t="s">
        <v>531</v>
      </c>
      <c r="E81" s="11" t="n">
        <v>1</v>
      </c>
      <c r="F81" s="11" t="s">
        <v>1497</v>
      </c>
      <c r="G81" s="11" t="s">
        <v>1498</v>
      </c>
      <c r="H81" s="11" t="s">
        <v>531</v>
      </c>
      <c r="I81" s="11" t="s">
        <v>1494</v>
      </c>
      <c r="J81" s="11" t="s">
        <v>1507</v>
      </c>
      <c r="K81" s="11"/>
    </row>
    <row r="82" customFormat="false" ht="15" hidden="false" customHeight="true" outlineLevel="0" collapsed="false">
      <c r="A82" s="9" t="s">
        <v>1616</v>
      </c>
      <c r="B82" s="9" t="s">
        <v>797</v>
      </c>
      <c r="C82" s="9" t="s">
        <v>798</v>
      </c>
      <c r="D82" s="9" t="s">
        <v>1151</v>
      </c>
      <c r="E82" s="9" t="n">
        <v>1</v>
      </c>
      <c r="F82" s="9" t="s">
        <v>1492</v>
      </c>
      <c r="G82" s="9" t="s">
        <v>1493</v>
      </c>
      <c r="H82" s="9" t="s">
        <v>1151</v>
      </c>
      <c r="I82" s="9" t="s">
        <v>1494</v>
      </c>
      <c r="J82" s="9" t="s">
        <v>1495</v>
      </c>
      <c r="K82" s="9"/>
    </row>
    <row r="83" customFormat="false" ht="15" hidden="false" customHeight="true" outlineLevel="0" collapsed="false">
      <c r="A83" s="11" t="s">
        <v>1617</v>
      </c>
      <c r="B83" s="11" t="s">
        <v>797</v>
      </c>
      <c r="C83" s="11" t="s">
        <v>798</v>
      </c>
      <c r="D83" s="11" t="s">
        <v>1151</v>
      </c>
      <c r="E83" s="11" t="n">
        <v>1</v>
      </c>
      <c r="F83" s="11" t="s">
        <v>1497</v>
      </c>
      <c r="G83" s="11" t="s">
        <v>1498</v>
      </c>
      <c r="H83" s="11" t="s">
        <v>1151</v>
      </c>
      <c r="I83" s="11" t="s">
        <v>1494</v>
      </c>
      <c r="J83" s="11" t="s">
        <v>1495</v>
      </c>
      <c r="K83" s="11"/>
    </row>
    <row r="84" customFormat="false" ht="15" hidden="false" customHeight="true" outlineLevel="0" collapsed="false">
      <c r="A84" s="9" t="s">
        <v>1618</v>
      </c>
      <c r="B84" s="9" t="s">
        <v>797</v>
      </c>
      <c r="C84" s="9" t="s">
        <v>798</v>
      </c>
      <c r="D84" s="9" t="s">
        <v>593</v>
      </c>
      <c r="E84" s="9" t="n">
        <v>1</v>
      </c>
      <c r="F84" s="9" t="s">
        <v>1492</v>
      </c>
      <c r="G84" s="9" t="s">
        <v>1619</v>
      </c>
      <c r="H84" s="9" t="s">
        <v>593</v>
      </c>
      <c r="I84" s="9" t="s">
        <v>1494</v>
      </c>
      <c r="J84" s="9" t="s">
        <v>1501</v>
      </c>
      <c r="K84" s="9"/>
    </row>
    <row r="85" customFormat="false" ht="15" hidden="false" customHeight="true" outlineLevel="0" collapsed="false">
      <c r="A85" s="11" t="s">
        <v>1620</v>
      </c>
      <c r="B85" s="11" t="s">
        <v>797</v>
      </c>
      <c r="C85" s="11" t="s">
        <v>798</v>
      </c>
      <c r="D85" s="11" t="s">
        <v>593</v>
      </c>
      <c r="E85" s="11" t="n">
        <v>1</v>
      </c>
      <c r="F85" s="11" t="s">
        <v>1497</v>
      </c>
      <c r="G85" s="11" t="s">
        <v>1621</v>
      </c>
      <c r="H85" s="11" t="s">
        <v>593</v>
      </c>
      <c r="I85" s="11" t="s">
        <v>1494</v>
      </c>
      <c r="J85" s="11" t="s">
        <v>1501</v>
      </c>
      <c r="K85" s="11"/>
    </row>
    <row r="86" customFormat="false" ht="15" hidden="false" customHeight="true" outlineLevel="0" collapsed="false">
      <c r="A86" s="9" t="s">
        <v>1622</v>
      </c>
      <c r="B86" s="9" t="s">
        <v>797</v>
      </c>
      <c r="C86" s="9" t="s">
        <v>798</v>
      </c>
      <c r="D86" s="9" t="s">
        <v>1505</v>
      </c>
      <c r="E86" s="9" t="n">
        <v>1</v>
      </c>
      <c r="F86" s="9" t="s">
        <v>1492</v>
      </c>
      <c r="G86" s="9" t="s">
        <v>1506</v>
      </c>
      <c r="H86" s="9" t="s">
        <v>1505</v>
      </c>
      <c r="I86" s="9" t="s">
        <v>1494</v>
      </c>
      <c r="J86" s="9" t="s">
        <v>1507</v>
      </c>
      <c r="K86" s="9"/>
    </row>
    <row r="87" customFormat="false" ht="15" hidden="false" customHeight="true" outlineLevel="0" collapsed="false">
      <c r="A87" s="11" t="s">
        <v>1623</v>
      </c>
      <c r="B87" s="11" t="s">
        <v>797</v>
      </c>
      <c r="C87" s="11" t="s">
        <v>798</v>
      </c>
      <c r="D87" s="11" t="s">
        <v>1505</v>
      </c>
      <c r="E87" s="11" t="n">
        <v>1</v>
      </c>
      <c r="F87" s="11" t="s">
        <v>1497</v>
      </c>
      <c r="G87" s="11" t="s">
        <v>1509</v>
      </c>
      <c r="H87" s="11" t="s">
        <v>1505</v>
      </c>
      <c r="I87" s="11" t="s">
        <v>1494</v>
      </c>
      <c r="J87" s="11" t="s">
        <v>1507</v>
      </c>
      <c r="K87" s="11"/>
    </row>
    <row r="88" customFormat="false" ht="15" hidden="false" customHeight="true" outlineLevel="0" collapsed="false">
      <c r="A88" s="9" t="s">
        <v>1624</v>
      </c>
      <c r="B88" s="9" t="s">
        <v>797</v>
      </c>
      <c r="C88" s="9" t="s">
        <v>798</v>
      </c>
      <c r="D88" s="9" t="s">
        <v>1511</v>
      </c>
      <c r="E88" s="9" t="n">
        <v>1</v>
      </c>
      <c r="F88" s="9" t="s">
        <v>1492</v>
      </c>
      <c r="G88" s="9" t="s">
        <v>457</v>
      </c>
      <c r="H88" s="9" t="s">
        <v>1511</v>
      </c>
      <c r="I88" s="9" t="s">
        <v>1494</v>
      </c>
      <c r="J88" s="9" t="s">
        <v>1495</v>
      </c>
      <c r="K88" s="9"/>
    </row>
    <row r="89" customFormat="false" ht="15" hidden="false" customHeight="true" outlineLevel="0" collapsed="false">
      <c r="A89" s="11" t="s">
        <v>1625</v>
      </c>
      <c r="B89" s="11" t="s">
        <v>797</v>
      </c>
      <c r="C89" s="11" t="s">
        <v>798</v>
      </c>
      <c r="D89" s="11" t="s">
        <v>1511</v>
      </c>
      <c r="E89" s="11" t="n">
        <v>1</v>
      </c>
      <c r="F89" s="11" t="s">
        <v>1497</v>
      </c>
      <c r="G89" s="11" t="s">
        <v>1513</v>
      </c>
      <c r="H89" s="11" t="s">
        <v>1511</v>
      </c>
      <c r="I89" s="11" t="s">
        <v>1494</v>
      </c>
      <c r="J89" s="11" t="s">
        <v>1495</v>
      </c>
      <c r="K89" s="11"/>
    </row>
    <row r="90" customFormat="false" ht="15" hidden="false" customHeight="true" outlineLevel="0" collapsed="false">
      <c r="A90" s="9" t="s">
        <v>1626</v>
      </c>
      <c r="B90" s="9" t="s">
        <v>797</v>
      </c>
      <c r="C90" s="9" t="s">
        <v>798</v>
      </c>
      <c r="D90" s="9" t="s">
        <v>1515</v>
      </c>
      <c r="E90" s="9" t="n">
        <v>1</v>
      </c>
      <c r="F90" s="9" t="s">
        <v>1492</v>
      </c>
      <c r="G90" s="9" t="s">
        <v>1516</v>
      </c>
      <c r="H90" s="9" t="s">
        <v>1515</v>
      </c>
      <c r="I90" s="9" t="s">
        <v>1494</v>
      </c>
      <c r="J90" s="9" t="s">
        <v>1501</v>
      </c>
      <c r="K90" s="9"/>
    </row>
    <row r="91" customFormat="false" ht="15" hidden="false" customHeight="true" outlineLevel="0" collapsed="false">
      <c r="A91" s="11" t="s">
        <v>1627</v>
      </c>
      <c r="B91" s="11" t="s">
        <v>797</v>
      </c>
      <c r="C91" s="11" t="s">
        <v>798</v>
      </c>
      <c r="D91" s="11" t="s">
        <v>1515</v>
      </c>
      <c r="E91" s="11" t="n">
        <v>1</v>
      </c>
      <c r="F91" s="11" t="s">
        <v>1497</v>
      </c>
      <c r="G91" s="11" t="s">
        <v>1518</v>
      </c>
      <c r="H91" s="11" t="s">
        <v>1515</v>
      </c>
      <c r="I91" s="11" t="s">
        <v>1494</v>
      </c>
      <c r="J91" s="11" t="s">
        <v>1501</v>
      </c>
      <c r="K91" s="11"/>
    </row>
    <row r="92" customFormat="false" ht="15" hidden="false" customHeight="true" outlineLevel="0" collapsed="false">
      <c r="A92" s="9" t="s">
        <v>1628</v>
      </c>
      <c r="B92" s="9" t="s">
        <v>797</v>
      </c>
      <c r="C92" s="9" t="s">
        <v>798</v>
      </c>
      <c r="D92" s="9" t="s">
        <v>1332</v>
      </c>
      <c r="E92" s="9" t="n">
        <v>1</v>
      </c>
      <c r="F92" s="9" t="s">
        <v>1492</v>
      </c>
      <c r="G92" s="9" t="s">
        <v>1520</v>
      </c>
      <c r="H92" s="9" t="s">
        <v>1332</v>
      </c>
      <c r="I92" s="9" t="s">
        <v>1494</v>
      </c>
      <c r="J92" s="9" t="s">
        <v>1495</v>
      </c>
      <c r="K92" s="9"/>
    </row>
    <row r="93" customFormat="false" ht="15" hidden="false" customHeight="true" outlineLevel="0" collapsed="false">
      <c r="A93" s="11" t="s">
        <v>1629</v>
      </c>
      <c r="B93" s="11" t="s">
        <v>797</v>
      </c>
      <c r="C93" s="11" t="s">
        <v>798</v>
      </c>
      <c r="D93" s="11" t="s">
        <v>1332</v>
      </c>
      <c r="E93" s="11" t="n">
        <v>1</v>
      </c>
      <c r="F93" s="11" t="s">
        <v>1497</v>
      </c>
      <c r="G93" s="11" t="s">
        <v>1522</v>
      </c>
      <c r="H93" s="11" t="s">
        <v>1332</v>
      </c>
      <c r="I93" s="11" t="s">
        <v>1494</v>
      </c>
      <c r="J93" s="11" t="s">
        <v>1495</v>
      </c>
      <c r="K93" s="11"/>
    </row>
    <row r="94" customFormat="false" ht="15" hidden="false" customHeight="true" outlineLevel="0" collapsed="false">
      <c r="A94" s="9" t="s">
        <v>1630</v>
      </c>
      <c r="B94" s="9" t="s">
        <v>797</v>
      </c>
      <c r="C94" s="9" t="s">
        <v>798</v>
      </c>
      <c r="D94" s="9" t="s">
        <v>1524</v>
      </c>
      <c r="E94" s="9" t="n">
        <v>1</v>
      </c>
      <c r="F94" s="9" t="s">
        <v>1492</v>
      </c>
      <c r="G94" s="9" t="s">
        <v>472</v>
      </c>
      <c r="H94" s="9" t="s">
        <v>1524</v>
      </c>
      <c r="I94" s="9" t="s">
        <v>1494</v>
      </c>
      <c r="J94" s="9" t="s">
        <v>1501</v>
      </c>
      <c r="K94" s="9"/>
    </row>
    <row r="95" customFormat="false" ht="15" hidden="false" customHeight="true" outlineLevel="0" collapsed="false">
      <c r="A95" s="11" t="s">
        <v>1631</v>
      </c>
      <c r="B95" s="11" t="s">
        <v>797</v>
      </c>
      <c r="C95" s="11" t="s">
        <v>798</v>
      </c>
      <c r="D95" s="11" t="s">
        <v>1524</v>
      </c>
      <c r="E95" s="11" t="n">
        <v>1</v>
      </c>
      <c r="F95" s="11" t="s">
        <v>1497</v>
      </c>
      <c r="G95" s="11" t="s">
        <v>1571</v>
      </c>
      <c r="H95" s="11" t="s">
        <v>1524</v>
      </c>
      <c r="I95" s="11" t="s">
        <v>1494</v>
      </c>
      <c r="J95" s="11" t="s">
        <v>1501</v>
      </c>
      <c r="K95" s="11"/>
    </row>
    <row r="96" customFormat="false" ht="15" hidden="false" customHeight="true" outlineLevel="0" collapsed="false">
      <c r="A96" s="9" t="s">
        <v>1632</v>
      </c>
      <c r="B96" s="9" t="s">
        <v>797</v>
      </c>
      <c r="C96" s="9" t="s">
        <v>798</v>
      </c>
      <c r="D96" s="9" t="s">
        <v>1377</v>
      </c>
      <c r="E96" s="9" t="n">
        <v>1</v>
      </c>
      <c r="F96" s="9" t="s">
        <v>1492</v>
      </c>
      <c r="G96" s="9" t="s">
        <v>1633</v>
      </c>
      <c r="H96" s="9" t="s">
        <v>1377</v>
      </c>
      <c r="I96" s="9" t="s">
        <v>1494</v>
      </c>
      <c r="J96" s="9" t="s">
        <v>1507</v>
      </c>
      <c r="K96" s="9"/>
    </row>
    <row r="97" customFormat="false" ht="15" hidden="false" customHeight="true" outlineLevel="0" collapsed="false">
      <c r="A97" s="11" t="s">
        <v>1634</v>
      </c>
      <c r="B97" s="11" t="s">
        <v>797</v>
      </c>
      <c r="C97" s="11" t="s">
        <v>798</v>
      </c>
      <c r="D97" s="11" t="s">
        <v>1377</v>
      </c>
      <c r="E97" s="11" t="n">
        <v>1</v>
      </c>
      <c r="F97" s="11" t="s">
        <v>1497</v>
      </c>
      <c r="G97" s="11" t="s">
        <v>1635</v>
      </c>
      <c r="H97" s="11" t="s">
        <v>1377</v>
      </c>
      <c r="I97" s="11" t="s">
        <v>1494</v>
      </c>
      <c r="J97" s="11" t="s">
        <v>1507</v>
      </c>
      <c r="K97" s="11"/>
    </row>
    <row r="98" customFormat="false" ht="15" hidden="false" customHeight="true" outlineLevel="0" collapsed="false">
      <c r="A98" s="9" t="s">
        <v>1636</v>
      </c>
      <c r="B98" s="9" t="s">
        <v>797</v>
      </c>
      <c r="C98" s="9" t="s">
        <v>798</v>
      </c>
      <c r="D98" s="9" t="s">
        <v>1355</v>
      </c>
      <c r="E98" s="9" t="n">
        <v>1</v>
      </c>
      <c r="F98" s="9" t="s">
        <v>1492</v>
      </c>
      <c r="G98" s="9" t="s">
        <v>1537</v>
      </c>
      <c r="H98" s="9" t="s">
        <v>1355</v>
      </c>
      <c r="I98" s="9" t="s">
        <v>1494</v>
      </c>
      <c r="J98" s="9" t="s">
        <v>1495</v>
      </c>
      <c r="K98" s="9"/>
    </row>
    <row r="99" customFormat="false" ht="15" hidden="false" customHeight="true" outlineLevel="0" collapsed="false">
      <c r="A99" s="11" t="s">
        <v>1637</v>
      </c>
      <c r="B99" s="11" t="s">
        <v>797</v>
      </c>
      <c r="C99" s="11" t="s">
        <v>798</v>
      </c>
      <c r="D99" s="11" t="s">
        <v>1355</v>
      </c>
      <c r="E99" s="11" t="n">
        <v>1</v>
      </c>
      <c r="F99" s="11" t="s">
        <v>1497</v>
      </c>
      <c r="G99" s="11" t="s">
        <v>1539</v>
      </c>
      <c r="H99" s="11" t="s">
        <v>1355</v>
      </c>
      <c r="I99" s="11" t="s">
        <v>1494</v>
      </c>
      <c r="J99" s="11" t="s">
        <v>1495</v>
      </c>
      <c r="K99" s="11"/>
    </row>
    <row r="100" customFormat="false" ht="15" hidden="false" customHeight="true" outlineLevel="0" collapsed="false">
      <c r="A100" s="9" t="s">
        <v>1638</v>
      </c>
      <c r="B100" s="9" t="s">
        <v>797</v>
      </c>
      <c r="C100" s="9" t="s">
        <v>798</v>
      </c>
      <c r="D100" s="9" t="s">
        <v>1459</v>
      </c>
      <c r="E100" s="9" t="n">
        <v>1</v>
      </c>
      <c r="F100" s="9" t="s">
        <v>1492</v>
      </c>
      <c r="G100" s="9" t="s">
        <v>1541</v>
      </c>
      <c r="H100" s="9" t="s">
        <v>1459</v>
      </c>
      <c r="I100" s="9" t="s">
        <v>1494</v>
      </c>
      <c r="J100" s="9" t="s">
        <v>1501</v>
      </c>
      <c r="K100" s="9"/>
    </row>
    <row r="101" customFormat="false" ht="15" hidden="false" customHeight="true" outlineLevel="0" collapsed="false">
      <c r="A101" s="11" t="s">
        <v>1639</v>
      </c>
      <c r="B101" s="11" t="s">
        <v>797</v>
      </c>
      <c r="C101" s="11" t="s">
        <v>798</v>
      </c>
      <c r="D101" s="11" t="s">
        <v>1459</v>
      </c>
      <c r="E101" s="11" t="n">
        <v>1</v>
      </c>
      <c r="F101" s="11" t="s">
        <v>1497</v>
      </c>
      <c r="G101" s="11" t="s">
        <v>1543</v>
      </c>
      <c r="H101" s="11" t="s">
        <v>1459</v>
      </c>
      <c r="I101" s="11" t="s">
        <v>1494</v>
      </c>
      <c r="J101" s="11" t="s">
        <v>1501</v>
      </c>
      <c r="K101" s="11"/>
    </row>
    <row r="102" customFormat="false" ht="15" hidden="false" customHeight="true" outlineLevel="0" collapsed="false">
      <c r="A102" s="9" t="s">
        <v>1640</v>
      </c>
      <c r="B102" s="9" t="s">
        <v>797</v>
      </c>
      <c r="C102" s="9" t="s">
        <v>798</v>
      </c>
      <c r="D102" s="9" t="s">
        <v>1545</v>
      </c>
      <c r="E102" s="9" t="n">
        <v>1</v>
      </c>
      <c r="F102" s="9" t="s">
        <v>1492</v>
      </c>
      <c r="G102" s="9" t="s">
        <v>1546</v>
      </c>
      <c r="H102" s="9" t="s">
        <v>1545</v>
      </c>
      <c r="I102" s="9" t="s">
        <v>1494</v>
      </c>
      <c r="J102" s="9" t="s">
        <v>1507</v>
      </c>
      <c r="K102" s="9"/>
    </row>
    <row r="103" customFormat="false" ht="15" hidden="false" customHeight="true" outlineLevel="0" collapsed="false">
      <c r="A103" s="11" t="s">
        <v>1641</v>
      </c>
      <c r="B103" s="11" t="s">
        <v>797</v>
      </c>
      <c r="C103" s="11" t="s">
        <v>798</v>
      </c>
      <c r="D103" s="11" t="s">
        <v>1545</v>
      </c>
      <c r="E103" s="11" t="n">
        <v>1</v>
      </c>
      <c r="F103" s="11" t="s">
        <v>1497</v>
      </c>
      <c r="G103" s="11" t="s">
        <v>1548</v>
      </c>
      <c r="H103" s="11" t="s">
        <v>1545</v>
      </c>
      <c r="I103" s="11" t="s">
        <v>1494</v>
      </c>
      <c r="J103" s="11" t="s">
        <v>1507</v>
      </c>
      <c r="K103" s="11"/>
    </row>
    <row r="104" customFormat="false" ht="15" hidden="false" customHeight="true" outlineLevel="0" collapsed="false">
      <c r="A104" s="9" t="s">
        <v>1642</v>
      </c>
      <c r="B104" s="9" t="s">
        <v>797</v>
      </c>
      <c r="C104" s="9" t="s">
        <v>798</v>
      </c>
      <c r="D104" s="9" t="s">
        <v>1337</v>
      </c>
      <c r="E104" s="9" t="n">
        <v>1</v>
      </c>
      <c r="F104" s="9" t="s">
        <v>1492</v>
      </c>
      <c r="G104" s="9" t="s">
        <v>457</v>
      </c>
      <c r="H104" s="9" t="s">
        <v>1337</v>
      </c>
      <c r="I104" s="9" t="s">
        <v>1494</v>
      </c>
      <c r="J104" s="9" t="s">
        <v>1501</v>
      </c>
      <c r="K104" s="9"/>
    </row>
    <row r="105" customFormat="false" ht="15" hidden="false" customHeight="true" outlineLevel="0" collapsed="false">
      <c r="A105" s="11" t="s">
        <v>1643</v>
      </c>
      <c r="B105" s="11" t="s">
        <v>797</v>
      </c>
      <c r="C105" s="11" t="s">
        <v>798</v>
      </c>
      <c r="D105" s="11" t="s">
        <v>1337</v>
      </c>
      <c r="E105" s="11" t="n">
        <v>1</v>
      </c>
      <c r="F105" s="11" t="s">
        <v>1497</v>
      </c>
      <c r="G105" s="11" t="s">
        <v>1535</v>
      </c>
      <c r="H105" s="11" t="s">
        <v>1337</v>
      </c>
      <c r="I105" s="11" t="s">
        <v>1494</v>
      </c>
      <c r="J105" s="11" t="s">
        <v>1501</v>
      </c>
      <c r="K105" s="11"/>
    </row>
    <row r="106" customFormat="false" ht="15" hidden="false" customHeight="true" outlineLevel="0" collapsed="false">
      <c r="A106" s="9" t="s">
        <v>1644</v>
      </c>
      <c r="B106" s="9" t="s">
        <v>797</v>
      </c>
      <c r="C106" s="9" t="s">
        <v>798</v>
      </c>
      <c r="D106" s="9" t="s">
        <v>531</v>
      </c>
      <c r="E106" s="9" t="n">
        <v>1</v>
      </c>
      <c r="F106" s="9" t="s">
        <v>1492</v>
      </c>
      <c r="G106" s="9" t="s">
        <v>1552</v>
      </c>
      <c r="H106" s="9" t="s">
        <v>531</v>
      </c>
      <c r="I106" s="9" t="s">
        <v>1494</v>
      </c>
      <c r="J106" s="9" t="s">
        <v>1507</v>
      </c>
      <c r="K106" s="9"/>
    </row>
    <row r="107" customFormat="false" ht="15" hidden="false" customHeight="true" outlineLevel="0" collapsed="false">
      <c r="A107" s="11" t="s">
        <v>1645</v>
      </c>
      <c r="B107" s="11" t="s">
        <v>797</v>
      </c>
      <c r="C107" s="11" t="s">
        <v>798</v>
      </c>
      <c r="D107" s="11" t="s">
        <v>531</v>
      </c>
      <c r="E107" s="11" t="n">
        <v>1</v>
      </c>
      <c r="F107" s="11" t="s">
        <v>1497</v>
      </c>
      <c r="G107" s="11" t="s">
        <v>1498</v>
      </c>
      <c r="H107" s="11" t="s">
        <v>531</v>
      </c>
      <c r="I107" s="11" t="s">
        <v>1494</v>
      </c>
      <c r="J107" s="11" t="s">
        <v>1507</v>
      </c>
      <c r="K107" s="11"/>
    </row>
    <row r="108" customFormat="false" ht="15" hidden="false" customHeight="true" outlineLevel="0" collapsed="false">
      <c r="A108" s="9" t="s">
        <v>1646</v>
      </c>
      <c r="B108" s="9" t="s">
        <v>583</v>
      </c>
      <c r="C108" s="9" t="s">
        <v>805</v>
      </c>
      <c r="D108" s="9" t="s">
        <v>1151</v>
      </c>
      <c r="E108" s="9" t="n">
        <v>1</v>
      </c>
      <c r="F108" s="9" t="s">
        <v>1492</v>
      </c>
      <c r="G108" s="9" t="s">
        <v>1493</v>
      </c>
      <c r="H108" s="9" t="s">
        <v>1151</v>
      </c>
      <c r="I108" s="9" t="s">
        <v>1494</v>
      </c>
      <c r="J108" s="9" t="s">
        <v>1495</v>
      </c>
      <c r="K108" s="9"/>
    </row>
    <row r="109" customFormat="false" ht="15" hidden="false" customHeight="true" outlineLevel="0" collapsed="false">
      <c r="A109" s="11" t="s">
        <v>1647</v>
      </c>
      <c r="B109" s="11" t="s">
        <v>583</v>
      </c>
      <c r="C109" s="11" t="s">
        <v>805</v>
      </c>
      <c r="D109" s="11" t="s">
        <v>1151</v>
      </c>
      <c r="E109" s="11" t="n">
        <v>1</v>
      </c>
      <c r="F109" s="11" t="s">
        <v>1497</v>
      </c>
      <c r="G109" s="11" t="s">
        <v>1498</v>
      </c>
      <c r="H109" s="11" t="s">
        <v>1151</v>
      </c>
      <c r="I109" s="11" t="s">
        <v>1494</v>
      </c>
      <c r="J109" s="11" t="s">
        <v>1495</v>
      </c>
      <c r="K109" s="11"/>
    </row>
    <row r="110" customFormat="false" ht="15" hidden="false" customHeight="true" outlineLevel="0" collapsed="false">
      <c r="A110" s="9" t="s">
        <v>1648</v>
      </c>
      <c r="B110" s="9" t="s">
        <v>583</v>
      </c>
      <c r="C110" s="9" t="s">
        <v>805</v>
      </c>
      <c r="D110" s="9" t="s">
        <v>593</v>
      </c>
      <c r="E110" s="9" t="n">
        <v>1</v>
      </c>
      <c r="F110" s="9" t="s">
        <v>1492</v>
      </c>
      <c r="G110" s="9" t="s">
        <v>1500</v>
      </c>
      <c r="H110" s="9" t="s">
        <v>593</v>
      </c>
      <c r="I110" s="9" t="s">
        <v>1494</v>
      </c>
      <c r="J110" s="9" t="s">
        <v>1501</v>
      </c>
      <c r="K110" s="9"/>
    </row>
    <row r="111" customFormat="false" ht="15" hidden="false" customHeight="true" outlineLevel="0" collapsed="false">
      <c r="A111" s="11" t="s">
        <v>1649</v>
      </c>
      <c r="B111" s="11" t="s">
        <v>583</v>
      </c>
      <c r="C111" s="11" t="s">
        <v>805</v>
      </c>
      <c r="D111" s="11" t="s">
        <v>593</v>
      </c>
      <c r="E111" s="11" t="n">
        <v>1</v>
      </c>
      <c r="F111" s="11" t="s">
        <v>1497</v>
      </c>
      <c r="G111" s="11" t="s">
        <v>1503</v>
      </c>
      <c r="H111" s="11" t="s">
        <v>593</v>
      </c>
      <c r="I111" s="11" t="s">
        <v>1494</v>
      </c>
      <c r="J111" s="11" t="s">
        <v>1501</v>
      </c>
      <c r="K111" s="11"/>
    </row>
    <row r="112" customFormat="false" ht="15" hidden="false" customHeight="true" outlineLevel="0" collapsed="false">
      <c r="A112" s="9" t="s">
        <v>1650</v>
      </c>
      <c r="B112" s="9" t="s">
        <v>583</v>
      </c>
      <c r="C112" s="9" t="s">
        <v>805</v>
      </c>
      <c r="D112" s="9" t="s">
        <v>1505</v>
      </c>
      <c r="E112" s="9" t="n">
        <v>1</v>
      </c>
      <c r="F112" s="9" t="s">
        <v>1492</v>
      </c>
      <c r="G112" s="9" t="s">
        <v>1506</v>
      </c>
      <c r="H112" s="9" t="s">
        <v>1505</v>
      </c>
      <c r="I112" s="9" t="s">
        <v>1494</v>
      </c>
      <c r="J112" s="9" t="s">
        <v>1507</v>
      </c>
      <c r="K112" s="9"/>
    </row>
    <row r="113" customFormat="false" ht="15" hidden="false" customHeight="true" outlineLevel="0" collapsed="false">
      <c r="A113" s="11" t="s">
        <v>1651</v>
      </c>
      <c r="B113" s="11" t="s">
        <v>583</v>
      </c>
      <c r="C113" s="11" t="s">
        <v>805</v>
      </c>
      <c r="D113" s="11" t="s">
        <v>1505</v>
      </c>
      <c r="E113" s="11" t="n">
        <v>1</v>
      </c>
      <c r="F113" s="11" t="s">
        <v>1497</v>
      </c>
      <c r="G113" s="11" t="s">
        <v>1509</v>
      </c>
      <c r="H113" s="11" t="s">
        <v>1505</v>
      </c>
      <c r="I113" s="11" t="s">
        <v>1494</v>
      </c>
      <c r="J113" s="11" t="s">
        <v>1507</v>
      </c>
      <c r="K113" s="11"/>
    </row>
    <row r="114" customFormat="false" ht="15" hidden="false" customHeight="true" outlineLevel="0" collapsed="false">
      <c r="A114" s="9" t="s">
        <v>1652</v>
      </c>
      <c r="B114" s="9" t="s">
        <v>583</v>
      </c>
      <c r="C114" s="9" t="s">
        <v>805</v>
      </c>
      <c r="D114" s="9" t="s">
        <v>1511</v>
      </c>
      <c r="E114" s="9" t="n">
        <v>1</v>
      </c>
      <c r="F114" s="9" t="s">
        <v>1492</v>
      </c>
      <c r="G114" s="9" t="s">
        <v>1546</v>
      </c>
      <c r="H114" s="9" t="s">
        <v>1511</v>
      </c>
      <c r="I114" s="9" t="s">
        <v>1494</v>
      </c>
      <c r="J114" s="9" t="s">
        <v>1495</v>
      </c>
      <c r="K114" s="9"/>
    </row>
    <row r="115" customFormat="false" ht="15" hidden="false" customHeight="true" outlineLevel="0" collapsed="false">
      <c r="A115" s="11" t="s">
        <v>1653</v>
      </c>
      <c r="B115" s="11" t="s">
        <v>583</v>
      </c>
      <c r="C115" s="11" t="s">
        <v>805</v>
      </c>
      <c r="D115" s="11" t="s">
        <v>1511</v>
      </c>
      <c r="E115" s="11" t="n">
        <v>1</v>
      </c>
      <c r="F115" s="11" t="s">
        <v>1497</v>
      </c>
      <c r="G115" s="11" t="s">
        <v>1654</v>
      </c>
      <c r="H115" s="11" t="s">
        <v>1511</v>
      </c>
      <c r="I115" s="11" t="s">
        <v>1494</v>
      </c>
      <c r="J115" s="11" t="s">
        <v>1495</v>
      </c>
      <c r="K115" s="11"/>
    </row>
    <row r="116" customFormat="false" ht="15" hidden="false" customHeight="true" outlineLevel="0" collapsed="false">
      <c r="A116" s="9" t="s">
        <v>1655</v>
      </c>
      <c r="B116" s="9" t="s">
        <v>583</v>
      </c>
      <c r="C116" s="9" t="s">
        <v>805</v>
      </c>
      <c r="D116" s="9" t="s">
        <v>1511</v>
      </c>
      <c r="E116" s="9" t="n">
        <v>2</v>
      </c>
      <c r="F116" s="9" t="s">
        <v>1492</v>
      </c>
      <c r="G116" s="9" t="s">
        <v>1656</v>
      </c>
      <c r="H116" s="9" t="s">
        <v>1511</v>
      </c>
      <c r="I116" s="9" t="s">
        <v>1494</v>
      </c>
      <c r="J116" s="9" t="s">
        <v>1495</v>
      </c>
      <c r="K116" s="9"/>
    </row>
    <row r="117" customFormat="false" ht="15" hidden="false" customHeight="true" outlineLevel="0" collapsed="false">
      <c r="A117" s="11" t="s">
        <v>1657</v>
      </c>
      <c r="B117" s="11" t="s">
        <v>583</v>
      </c>
      <c r="C117" s="11" t="s">
        <v>805</v>
      </c>
      <c r="D117" s="11" t="s">
        <v>1511</v>
      </c>
      <c r="E117" s="11" t="n">
        <v>2</v>
      </c>
      <c r="F117" s="11" t="s">
        <v>1497</v>
      </c>
      <c r="G117" s="11" t="s">
        <v>1543</v>
      </c>
      <c r="H117" s="11" t="s">
        <v>1511</v>
      </c>
      <c r="I117" s="11" t="s">
        <v>1494</v>
      </c>
      <c r="J117" s="11" t="s">
        <v>1495</v>
      </c>
      <c r="K117" s="11"/>
    </row>
    <row r="118" customFormat="false" ht="15" hidden="false" customHeight="true" outlineLevel="0" collapsed="false">
      <c r="A118" s="9" t="s">
        <v>1658</v>
      </c>
      <c r="B118" s="9" t="s">
        <v>583</v>
      </c>
      <c r="C118" s="9" t="s">
        <v>805</v>
      </c>
      <c r="D118" s="9" t="s">
        <v>1515</v>
      </c>
      <c r="E118" s="9" t="n">
        <v>1</v>
      </c>
      <c r="F118" s="9" t="s">
        <v>1492</v>
      </c>
      <c r="G118" s="9" t="s">
        <v>1516</v>
      </c>
      <c r="H118" s="9" t="s">
        <v>1515</v>
      </c>
      <c r="I118" s="9" t="s">
        <v>1494</v>
      </c>
      <c r="J118" s="9" t="s">
        <v>1501</v>
      </c>
      <c r="K118" s="9"/>
    </row>
    <row r="119" customFormat="false" ht="15" hidden="false" customHeight="true" outlineLevel="0" collapsed="false">
      <c r="A119" s="11" t="s">
        <v>1659</v>
      </c>
      <c r="B119" s="11" t="s">
        <v>583</v>
      </c>
      <c r="C119" s="11" t="s">
        <v>805</v>
      </c>
      <c r="D119" s="11" t="s">
        <v>1515</v>
      </c>
      <c r="E119" s="11" t="n">
        <v>1</v>
      </c>
      <c r="F119" s="11" t="s">
        <v>1497</v>
      </c>
      <c r="G119" s="11" t="s">
        <v>1518</v>
      </c>
      <c r="H119" s="11" t="s">
        <v>1515</v>
      </c>
      <c r="I119" s="11" t="s">
        <v>1494</v>
      </c>
      <c r="J119" s="11" t="s">
        <v>1501</v>
      </c>
      <c r="K119" s="11"/>
    </row>
    <row r="120" customFormat="false" ht="15" hidden="false" customHeight="true" outlineLevel="0" collapsed="false">
      <c r="A120" s="9" t="s">
        <v>1660</v>
      </c>
      <c r="B120" s="9" t="s">
        <v>583</v>
      </c>
      <c r="C120" s="9" t="s">
        <v>805</v>
      </c>
      <c r="D120" s="9" t="s">
        <v>1332</v>
      </c>
      <c r="E120" s="9" t="n">
        <v>1</v>
      </c>
      <c r="F120" s="9" t="s">
        <v>1492</v>
      </c>
      <c r="G120" s="9" t="s">
        <v>1520</v>
      </c>
      <c r="H120" s="9" t="s">
        <v>1332</v>
      </c>
      <c r="I120" s="9" t="s">
        <v>1494</v>
      </c>
      <c r="J120" s="9" t="s">
        <v>1495</v>
      </c>
      <c r="K120" s="9"/>
    </row>
    <row r="121" customFormat="false" ht="15" hidden="false" customHeight="true" outlineLevel="0" collapsed="false">
      <c r="A121" s="11" t="s">
        <v>1661</v>
      </c>
      <c r="B121" s="11" t="s">
        <v>583</v>
      </c>
      <c r="C121" s="11" t="s">
        <v>805</v>
      </c>
      <c r="D121" s="11" t="s">
        <v>1332</v>
      </c>
      <c r="E121" s="11" t="n">
        <v>1</v>
      </c>
      <c r="F121" s="11" t="s">
        <v>1497</v>
      </c>
      <c r="G121" s="11" t="s">
        <v>1522</v>
      </c>
      <c r="H121" s="11" t="s">
        <v>1332</v>
      </c>
      <c r="I121" s="11" t="s">
        <v>1494</v>
      </c>
      <c r="J121" s="11" t="s">
        <v>1495</v>
      </c>
      <c r="K121" s="11"/>
    </row>
    <row r="122" customFormat="false" ht="15" hidden="false" customHeight="true" outlineLevel="0" collapsed="false">
      <c r="A122" s="9" t="s">
        <v>1662</v>
      </c>
      <c r="B122" s="9" t="s">
        <v>583</v>
      </c>
      <c r="C122" s="9" t="s">
        <v>805</v>
      </c>
      <c r="D122" s="9" t="s">
        <v>1524</v>
      </c>
      <c r="E122" s="9" t="n">
        <v>1</v>
      </c>
      <c r="F122" s="9" t="s">
        <v>1492</v>
      </c>
      <c r="G122" s="9" t="s">
        <v>472</v>
      </c>
      <c r="H122" s="9" t="s">
        <v>1524</v>
      </c>
      <c r="I122" s="9" t="s">
        <v>1494</v>
      </c>
      <c r="J122" s="9" t="s">
        <v>1501</v>
      </c>
      <c r="K122" s="9"/>
    </row>
    <row r="123" customFormat="false" ht="15" hidden="false" customHeight="true" outlineLevel="0" collapsed="false">
      <c r="A123" s="11" t="s">
        <v>1663</v>
      </c>
      <c r="B123" s="11" t="s">
        <v>583</v>
      </c>
      <c r="C123" s="11" t="s">
        <v>805</v>
      </c>
      <c r="D123" s="11" t="s">
        <v>1524</v>
      </c>
      <c r="E123" s="11" t="n">
        <v>1</v>
      </c>
      <c r="F123" s="11" t="s">
        <v>1497</v>
      </c>
      <c r="G123" s="11" t="s">
        <v>1571</v>
      </c>
      <c r="H123" s="11" t="s">
        <v>1524</v>
      </c>
      <c r="I123" s="11" t="s">
        <v>1494</v>
      </c>
      <c r="J123" s="11" t="s">
        <v>1501</v>
      </c>
      <c r="K123" s="11"/>
    </row>
    <row r="124" customFormat="false" ht="15" hidden="false" customHeight="true" outlineLevel="0" collapsed="false">
      <c r="A124" s="9" t="s">
        <v>1664</v>
      </c>
      <c r="B124" s="9" t="s">
        <v>583</v>
      </c>
      <c r="C124" s="9" t="s">
        <v>805</v>
      </c>
      <c r="D124" s="9" t="s">
        <v>1377</v>
      </c>
      <c r="E124" s="9" t="n">
        <v>1</v>
      </c>
      <c r="F124" s="9" t="s">
        <v>1492</v>
      </c>
      <c r="G124" s="9" t="s">
        <v>1552</v>
      </c>
      <c r="H124" s="9" t="s">
        <v>1377</v>
      </c>
      <c r="I124" s="9" t="s">
        <v>1494</v>
      </c>
      <c r="J124" s="9" t="s">
        <v>1507</v>
      </c>
      <c r="K124" s="9"/>
    </row>
    <row r="125" customFormat="false" ht="15" hidden="false" customHeight="true" outlineLevel="0" collapsed="false">
      <c r="A125" s="11" t="s">
        <v>1665</v>
      </c>
      <c r="B125" s="11" t="s">
        <v>583</v>
      </c>
      <c r="C125" s="11" t="s">
        <v>805</v>
      </c>
      <c r="D125" s="11" t="s">
        <v>1377</v>
      </c>
      <c r="E125" s="11" t="n">
        <v>1</v>
      </c>
      <c r="F125" s="11" t="s">
        <v>1497</v>
      </c>
      <c r="G125" s="11" t="s">
        <v>1574</v>
      </c>
      <c r="H125" s="11" t="s">
        <v>1377</v>
      </c>
      <c r="I125" s="11" t="s">
        <v>1494</v>
      </c>
      <c r="J125" s="11" t="s">
        <v>1507</v>
      </c>
      <c r="K125" s="11"/>
    </row>
    <row r="126" customFormat="false" ht="15" hidden="false" customHeight="true" outlineLevel="0" collapsed="false">
      <c r="A126" s="9" t="s">
        <v>1666</v>
      </c>
      <c r="B126" s="9" t="s">
        <v>583</v>
      </c>
      <c r="C126" s="9" t="s">
        <v>805</v>
      </c>
      <c r="D126" s="9" t="s">
        <v>1355</v>
      </c>
      <c r="E126" s="9" t="n">
        <v>1</v>
      </c>
      <c r="F126" s="9" t="s">
        <v>1492</v>
      </c>
      <c r="G126" s="9" t="s">
        <v>1537</v>
      </c>
      <c r="H126" s="9" t="s">
        <v>1355</v>
      </c>
      <c r="I126" s="9" t="s">
        <v>1494</v>
      </c>
      <c r="J126" s="9" t="s">
        <v>1495</v>
      </c>
      <c r="K126" s="9"/>
    </row>
    <row r="127" customFormat="false" ht="15" hidden="false" customHeight="true" outlineLevel="0" collapsed="false">
      <c r="A127" s="11" t="s">
        <v>1667</v>
      </c>
      <c r="B127" s="11" t="s">
        <v>583</v>
      </c>
      <c r="C127" s="11" t="s">
        <v>805</v>
      </c>
      <c r="D127" s="11" t="s">
        <v>1355</v>
      </c>
      <c r="E127" s="11" t="n">
        <v>1</v>
      </c>
      <c r="F127" s="11" t="s">
        <v>1497</v>
      </c>
      <c r="G127" s="11" t="s">
        <v>1539</v>
      </c>
      <c r="H127" s="11" t="s">
        <v>1355</v>
      </c>
      <c r="I127" s="11" t="s">
        <v>1494</v>
      </c>
      <c r="J127" s="11" t="s">
        <v>1495</v>
      </c>
      <c r="K127" s="11"/>
    </row>
    <row r="128" customFormat="false" ht="15" hidden="false" customHeight="true" outlineLevel="0" collapsed="false">
      <c r="A128" s="9" t="s">
        <v>1668</v>
      </c>
      <c r="B128" s="9" t="s">
        <v>583</v>
      </c>
      <c r="C128" s="9" t="s">
        <v>805</v>
      </c>
      <c r="D128" s="9" t="s">
        <v>1459</v>
      </c>
      <c r="E128" s="9" t="n">
        <v>1</v>
      </c>
      <c r="F128" s="9" t="s">
        <v>1492</v>
      </c>
      <c r="G128" s="9" t="s">
        <v>1669</v>
      </c>
      <c r="H128" s="9" t="s">
        <v>1459</v>
      </c>
      <c r="I128" s="9" t="s">
        <v>1494</v>
      </c>
      <c r="J128" s="9" t="s">
        <v>1501</v>
      </c>
      <c r="K128" s="9"/>
    </row>
    <row r="129" customFormat="false" ht="15" hidden="false" customHeight="true" outlineLevel="0" collapsed="false">
      <c r="A129" s="11" t="s">
        <v>1670</v>
      </c>
      <c r="B129" s="11" t="s">
        <v>583</v>
      </c>
      <c r="C129" s="11" t="s">
        <v>805</v>
      </c>
      <c r="D129" s="11" t="s">
        <v>1459</v>
      </c>
      <c r="E129" s="11" t="n">
        <v>1</v>
      </c>
      <c r="F129" s="11" t="s">
        <v>1497</v>
      </c>
      <c r="G129" s="11" t="s">
        <v>490</v>
      </c>
      <c r="H129" s="11" t="s">
        <v>1459</v>
      </c>
      <c r="I129" s="11" t="s">
        <v>1494</v>
      </c>
      <c r="J129" s="11" t="s">
        <v>1501</v>
      </c>
      <c r="K129" s="11"/>
    </row>
    <row r="130" customFormat="false" ht="15" hidden="false" customHeight="true" outlineLevel="0" collapsed="false">
      <c r="A130" s="9" t="s">
        <v>1671</v>
      </c>
      <c r="B130" s="9" t="s">
        <v>583</v>
      </c>
      <c r="C130" s="9" t="s">
        <v>805</v>
      </c>
      <c r="D130" s="9" t="s">
        <v>1459</v>
      </c>
      <c r="E130" s="9" t="n">
        <v>2</v>
      </c>
      <c r="F130" s="9" t="s">
        <v>1492</v>
      </c>
      <c r="G130" s="9" t="s">
        <v>1672</v>
      </c>
      <c r="H130" s="9" t="s">
        <v>1459</v>
      </c>
      <c r="I130" s="9" t="s">
        <v>1494</v>
      </c>
      <c r="J130" s="9" t="s">
        <v>1501</v>
      </c>
      <c r="K130" s="9"/>
    </row>
    <row r="131" customFormat="false" ht="15" hidden="false" customHeight="true" outlineLevel="0" collapsed="false">
      <c r="A131" s="11" t="s">
        <v>1673</v>
      </c>
      <c r="B131" s="11" t="s">
        <v>583</v>
      </c>
      <c r="C131" s="11" t="s">
        <v>805</v>
      </c>
      <c r="D131" s="11" t="s">
        <v>1459</v>
      </c>
      <c r="E131" s="11" t="n">
        <v>2</v>
      </c>
      <c r="F131" s="11" t="s">
        <v>1497</v>
      </c>
      <c r="G131" s="11" t="s">
        <v>1518</v>
      </c>
      <c r="H131" s="11" t="s">
        <v>1459</v>
      </c>
      <c r="I131" s="11" t="s">
        <v>1494</v>
      </c>
      <c r="J131" s="11" t="s">
        <v>1501</v>
      </c>
      <c r="K131" s="11"/>
    </row>
    <row r="132" customFormat="false" ht="15" hidden="false" customHeight="true" outlineLevel="0" collapsed="false">
      <c r="A132" s="9" t="s">
        <v>1674</v>
      </c>
      <c r="B132" s="9" t="s">
        <v>583</v>
      </c>
      <c r="C132" s="9" t="s">
        <v>805</v>
      </c>
      <c r="D132" s="9" t="s">
        <v>1545</v>
      </c>
      <c r="E132" s="9" t="n">
        <v>1</v>
      </c>
      <c r="F132" s="9" t="s">
        <v>1492</v>
      </c>
      <c r="G132" s="9" t="s">
        <v>1546</v>
      </c>
      <c r="H132" s="9" t="s">
        <v>1545</v>
      </c>
      <c r="I132" s="9" t="s">
        <v>1494</v>
      </c>
      <c r="J132" s="9" t="s">
        <v>1507</v>
      </c>
      <c r="K132" s="9"/>
    </row>
    <row r="133" customFormat="false" ht="15" hidden="false" customHeight="true" outlineLevel="0" collapsed="false">
      <c r="A133" s="11" t="s">
        <v>1675</v>
      </c>
      <c r="B133" s="11" t="s">
        <v>583</v>
      </c>
      <c r="C133" s="11" t="s">
        <v>805</v>
      </c>
      <c r="D133" s="11" t="s">
        <v>1545</v>
      </c>
      <c r="E133" s="11" t="n">
        <v>1</v>
      </c>
      <c r="F133" s="11" t="s">
        <v>1497</v>
      </c>
      <c r="G133" s="11" t="s">
        <v>1548</v>
      </c>
      <c r="H133" s="11" t="s">
        <v>1545</v>
      </c>
      <c r="I133" s="11" t="s">
        <v>1494</v>
      </c>
      <c r="J133" s="11" t="s">
        <v>1507</v>
      </c>
      <c r="K133" s="11"/>
    </row>
    <row r="134" customFormat="false" ht="15" hidden="false" customHeight="true" outlineLevel="0" collapsed="false">
      <c r="A134" s="9" t="s">
        <v>1676</v>
      </c>
      <c r="B134" s="9" t="s">
        <v>583</v>
      </c>
      <c r="C134" s="9" t="s">
        <v>805</v>
      </c>
      <c r="D134" s="9" t="s">
        <v>1337</v>
      </c>
      <c r="E134" s="9" t="n">
        <v>1</v>
      </c>
      <c r="F134" s="9" t="s">
        <v>1492</v>
      </c>
      <c r="G134" s="9" t="s">
        <v>457</v>
      </c>
      <c r="H134" s="9" t="s">
        <v>1337</v>
      </c>
      <c r="I134" s="9" t="s">
        <v>1494</v>
      </c>
      <c r="J134" s="9" t="s">
        <v>1501</v>
      </c>
      <c r="K134" s="9"/>
    </row>
    <row r="135" customFormat="false" ht="15" hidden="false" customHeight="true" outlineLevel="0" collapsed="false">
      <c r="A135" s="11" t="s">
        <v>1677</v>
      </c>
      <c r="B135" s="11" t="s">
        <v>583</v>
      </c>
      <c r="C135" s="11" t="s">
        <v>805</v>
      </c>
      <c r="D135" s="11" t="s">
        <v>1337</v>
      </c>
      <c r="E135" s="11" t="n">
        <v>1</v>
      </c>
      <c r="F135" s="11" t="s">
        <v>1497</v>
      </c>
      <c r="G135" s="11" t="s">
        <v>1535</v>
      </c>
      <c r="H135" s="11" t="s">
        <v>1337</v>
      </c>
      <c r="I135" s="11" t="s">
        <v>1494</v>
      </c>
      <c r="J135" s="11" t="s">
        <v>1501</v>
      </c>
      <c r="K135" s="11"/>
    </row>
    <row r="136" customFormat="false" ht="15" hidden="false" customHeight="true" outlineLevel="0" collapsed="false">
      <c r="A136" s="9" t="s">
        <v>1678</v>
      </c>
      <c r="B136" s="9" t="s">
        <v>583</v>
      </c>
      <c r="C136" s="9" t="s">
        <v>805</v>
      </c>
      <c r="D136" s="9" t="s">
        <v>531</v>
      </c>
      <c r="E136" s="9" t="n">
        <v>1</v>
      </c>
      <c r="F136" s="9" t="s">
        <v>1492</v>
      </c>
      <c r="G136" s="9" t="s">
        <v>1552</v>
      </c>
      <c r="H136" s="9" t="s">
        <v>531</v>
      </c>
      <c r="I136" s="9" t="s">
        <v>1494</v>
      </c>
      <c r="J136" s="9" t="s">
        <v>1507</v>
      </c>
      <c r="K136" s="9"/>
    </row>
    <row r="137" customFormat="false" ht="15" hidden="false" customHeight="true" outlineLevel="0" collapsed="false">
      <c r="A137" s="11" t="s">
        <v>1679</v>
      </c>
      <c r="B137" s="11" t="s">
        <v>583</v>
      </c>
      <c r="C137" s="11" t="s">
        <v>805</v>
      </c>
      <c r="D137" s="11" t="s">
        <v>531</v>
      </c>
      <c r="E137" s="11" t="n">
        <v>1</v>
      </c>
      <c r="F137" s="11" t="s">
        <v>1497</v>
      </c>
      <c r="G137" s="11" t="s">
        <v>1498</v>
      </c>
      <c r="H137" s="11" t="s">
        <v>531</v>
      </c>
      <c r="I137" s="11" t="s">
        <v>1494</v>
      </c>
      <c r="J137" s="11" t="s">
        <v>1507</v>
      </c>
      <c r="K137" s="11"/>
    </row>
    <row r="138" customFormat="false" ht="15" hidden="false" customHeight="true" outlineLevel="0" collapsed="false">
      <c r="A138" s="9" t="s">
        <v>1680</v>
      </c>
      <c r="B138" s="9" t="s">
        <v>586</v>
      </c>
      <c r="C138" s="9" t="s">
        <v>826</v>
      </c>
      <c r="D138" s="9" t="s">
        <v>1151</v>
      </c>
      <c r="E138" s="9" t="n">
        <v>1</v>
      </c>
      <c r="F138" s="9" t="s">
        <v>1492</v>
      </c>
      <c r="G138" s="9" t="s">
        <v>1681</v>
      </c>
      <c r="H138" s="9" t="s">
        <v>1151</v>
      </c>
      <c r="I138" s="9" t="s">
        <v>1494</v>
      </c>
      <c r="J138" s="9" t="s">
        <v>1495</v>
      </c>
      <c r="K138" s="9"/>
    </row>
    <row r="139" customFormat="false" ht="15" hidden="false" customHeight="true" outlineLevel="0" collapsed="false">
      <c r="A139" s="11" t="s">
        <v>1682</v>
      </c>
      <c r="B139" s="11" t="s">
        <v>586</v>
      </c>
      <c r="C139" s="11" t="s">
        <v>826</v>
      </c>
      <c r="D139" s="11" t="s">
        <v>1151</v>
      </c>
      <c r="E139" s="11" t="n">
        <v>1</v>
      </c>
      <c r="F139" s="11" t="s">
        <v>1497</v>
      </c>
      <c r="G139" s="11" t="s">
        <v>1669</v>
      </c>
      <c r="H139" s="11" t="s">
        <v>593</v>
      </c>
      <c r="I139" s="11" t="s">
        <v>1494</v>
      </c>
      <c r="J139" s="11" t="s">
        <v>1495</v>
      </c>
      <c r="K139" s="11" t="s">
        <v>1531</v>
      </c>
    </row>
    <row r="140" customFormat="false" ht="15" hidden="false" customHeight="true" outlineLevel="0" collapsed="false">
      <c r="A140" s="9" t="s">
        <v>1683</v>
      </c>
      <c r="B140" s="9" t="s">
        <v>586</v>
      </c>
      <c r="C140" s="9" t="s">
        <v>826</v>
      </c>
      <c r="D140" s="9" t="s">
        <v>593</v>
      </c>
      <c r="E140" s="9" t="n">
        <v>1</v>
      </c>
      <c r="F140" s="9" t="s">
        <v>1492</v>
      </c>
      <c r="G140" s="9" t="s">
        <v>1607</v>
      </c>
      <c r="H140" s="9" t="s">
        <v>593</v>
      </c>
      <c r="I140" s="9" t="s">
        <v>1494</v>
      </c>
      <c r="J140" s="9" t="s">
        <v>1501</v>
      </c>
      <c r="K140" s="9"/>
    </row>
    <row r="141" customFormat="false" ht="15" hidden="false" customHeight="true" outlineLevel="0" collapsed="false">
      <c r="A141" s="11" t="s">
        <v>1684</v>
      </c>
      <c r="B141" s="11" t="s">
        <v>586</v>
      </c>
      <c r="C141" s="11" t="s">
        <v>826</v>
      </c>
      <c r="D141" s="11" t="s">
        <v>593</v>
      </c>
      <c r="E141" s="11" t="n">
        <v>1</v>
      </c>
      <c r="F141" s="11" t="s">
        <v>1497</v>
      </c>
      <c r="G141" s="11" t="s">
        <v>1685</v>
      </c>
      <c r="H141" s="11" t="s">
        <v>1505</v>
      </c>
      <c r="I141" s="11" t="s">
        <v>1494</v>
      </c>
      <c r="J141" s="11" t="s">
        <v>1501</v>
      </c>
      <c r="K141" s="11" t="s">
        <v>1531</v>
      </c>
    </row>
    <row r="142" customFormat="false" ht="15" hidden="false" customHeight="true" outlineLevel="0" collapsed="false">
      <c r="A142" s="9" t="s">
        <v>1686</v>
      </c>
      <c r="B142" s="9" t="s">
        <v>586</v>
      </c>
      <c r="C142" s="9" t="s">
        <v>826</v>
      </c>
      <c r="D142" s="9" t="s">
        <v>1505</v>
      </c>
      <c r="E142" s="9" t="n">
        <v>1</v>
      </c>
      <c r="F142" s="9" t="s">
        <v>1492</v>
      </c>
      <c r="G142" s="9" t="s">
        <v>1687</v>
      </c>
      <c r="H142" s="9" t="s">
        <v>1505</v>
      </c>
      <c r="I142" s="9" t="s">
        <v>1494</v>
      </c>
      <c r="J142" s="9" t="s">
        <v>1507</v>
      </c>
      <c r="K142" s="9"/>
    </row>
    <row r="143" customFormat="false" ht="15" hidden="false" customHeight="true" outlineLevel="0" collapsed="false">
      <c r="A143" s="11" t="s">
        <v>1688</v>
      </c>
      <c r="B143" s="11" t="s">
        <v>586</v>
      </c>
      <c r="C143" s="11" t="s">
        <v>826</v>
      </c>
      <c r="D143" s="11" t="s">
        <v>1505</v>
      </c>
      <c r="E143" s="11" t="n">
        <v>1</v>
      </c>
      <c r="F143" s="11" t="s">
        <v>1497</v>
      </c>
      <c r="G143" s="11" t="s">
        <v>1689</v>
      </c>
      <c r="H143" s="11" t="s">
        <v>1511</v>
      </c>
      <c r="I143" s="11" t="s">
        <v>1494</v>
      </c>
      <c r="J143" s="11" t="s">
        <v>1507</v>
      </c>
      <c r="K143" s="11" t="s">
        <v>1531</v>
      </c>
    </row>
    <row r="144" customFormat="false" ht="15" hidden="false" customHeight="true" outlineLevel="0" collapsed="false">
      <c r="A144" s="9" t="s">
        <v>1690</v>
      </c>
      <c r="B144" s="9" t="s">
        <v>586</v>
      </c>
      <c r="C144" s="9" t="s">
        <v>826</v>
      </c>
      <c r="D144" s="9" t="s">
        <v>1511</v>
      </c>
      <c r="E144" s="9" t="n">
        <v>1</v>
      </c>
      <c r="F144" s="9" t="s">
        <v>1492</v>
      </c>
      <c r="G144" s="9" t="s">
        <v>458</v>
      </c>
      <c r="H144" s="9" t="s">
        <v>1511</v>
      </c>
      <c r="I144" s="9" t="s">
        <v>1494</v>
      </c>
      <c r="J144" s="9" t="s">
        <v>1495</v>
      </c>
      <c r="K144" s="9"/>
    </row>
    <row r="145" customFormat="false" ht="15" hidden="false" customHeight="true" outlineLevel="0" collapsed="false">
      <c r="A145" s="11" t="s">
        <v>1691</v>
      </c>
      <c r="B145" s="11" t="s">
        <v>586</v>
      </c>
      <c r="C145" s="11" t="s">
        <v>826</v>
      </c>
      <c r="D145" s="11" t="s">
        <v>1511</v>
      </c>
      <c r="E145" s="11" t="n">
        <v>1</v>
      </c>
      <c r="F145" s="11" t="s">
        <v>1497</v>
      </c>
      <c r="G145" s="11" t="s">
        <v>1692</v>
      </c>
      <c r="H145" s="11" t="s">
        <v>1515</v>
      </c>
      <c r="I145" s="11" t="s">
        <v>1494</v>
      </c>
      <c r="J145" s="11" t="s">
        <v>1495</v>
      </c>
      <c r="K145" s="11" t="s">
        <v>1531</v>
      </c>
    </row>
    <row r="146" customFormat="false" ht="15" hidden="false" customHeight="true" outlineLevel="0" collapsed="false">
      <c r="A146" s="9" t="s">
        <v>1693</v>
      </c>
      <c r="B146" s="9" t="s">
        <v>586</v>
      </c>
      <c r="C146" s="9" t="s">
        <v>826</v>
      </c>
      <c r="D146" s="9" t="s">
        <v>1515</v>
      </c>
      <c r="E146" s="9" t="n">
        <v>1</v>
      </c>
      <c r="F146" s="9" t="s">
        <v>1492</v>
      </c>
      <c r="G146" s="9" t="s">
        <v>1694</v>
      </c>
      <c r="H146" s="9" t="s">
        <v>1515</v>
      </c>
      <c r="I146" s="9" t="s">
        <v>1494</v>
      </c>
      <c r="J146" s="9" t="s">
        <v>1501</v>
      </c>
      <c r="K146" s="9"/>
    </row>
    <row r="147" customFormat="false" ht="15" hidden="false" customHeight="true" outlineLevel="0" collapsed="false">
      <c r="A147" s="11" t="s">
        <v>1695</v>
      </c>
      <c r="B147" s="11" t="s">
        <v>586</v>
      </c>
      <c r="C147" s="11" t="s">
        <v>826</v>
      </c>
      <c r="D147" s="11" t="s">
        <v>1515</v>
      </c>
      <c r="E147" s="11" t="n">
        <v>1</v>
      </c>
      <c r="F147" s="11" t="s">
        <v>1497</v>
      </c>
      <c r="G147" s="11" t="s">
        <v>1696</v>
      </c>
      <c r="H147" s="11" t="s">
        <v>1359</v>
      </c>
      <c r="I147" s="11" t="s">
        <v>1494</v>
      </c>
      <c r="J147" s="11" t="s">
        <v>1501</v>
      </c>
      <c r="K147" s="11" t="s">
        <v>1531</v>
      </c>
    </row>
    <row r="148" customFormat="false" ht="15" hidden="false" customHeight="true" outlineLevel="0" collapsed="false">
      <c r="A148" s="9" t="s">
        <v>1697</v>
      </c>
      <c r="B148" s="9" t="s">
        <v>586</v>
      </c>
      <c r="C148" s="9" t="s">
        <v>826</v>
      </c>
      <c r="D148" s="9" t="s">
        <v>1332</v>
      </c>
      <c r="E148" s="9" t="n">
        <v>1</v>
      </c>
      <c r="F148" s="9" t="s">
        <v>1492</v>
      </c>
      <c r="G148" s="9" t="s">
        <v>1698</v>
      </c>
      <c r="H148" s="9" t="s">
        <v>1332</v>
      </c>
      <c r="I148" s="9" t="s">
        <v>1494</v>
      </c>
      <c r="J148" s="9" t="s">
        <v>1495</v>
      </c>
      <c r="K148" s="9"/>
    </row>
    <row r="149" customFormat="false" ht="15" hidden="false" customHeight="true" outlineLevel="0" collapsed="false">
      <c r="A149" s="11" t="s">
        <v>1699</v>
      </c>
      <c r="B149" s="11" t="s">
        <v>586</v>
      </c>
      <c r="C149" s="11" t="s">
        <v>826</v>
      </c>
      <c r="D149" s="11" t="s">
        <v>1332</v>
      </c>
      <c r="E149" s="11" t="n">
        <v>1</v>
      </c>
      <c r="F149" s="11" t="s">
        <v>1497</v>
      </c>
      <c r="G149" s="11" t="s">
        <v>1700</v>
      </c>
      <c r="H149" s="11" t="s">
        <v>1524</v>
      </c>
      <c r="I149" s="11" t="s">
        <v>1494</v>
      </c>
      <c r="J149" s="11" t="s">
        <v>1495</v>
      </c>
      <c r="K149" s="11" t="s">
        <v>1531</v>
      </c>
    </row>
    <row r="150" customFormat="false" ht="15" hidden="false" customHeight="true" outlineLevel="0" collapsed="false">
      <c r="A150" s="9" t="s">
        <v>1701</v>
      </c>
      <c r="B150" s="9" t="s">
        <v>586</v>
      </c>
      <c r="C150" s="9" t="s">
        <v>826</v>
      </c>
      <c r="D150" s="9" t="s">
        <v>1524</v>
      </c>
      <c r="E150" s="9" t="n">
        <v>1</v>
      </c>
      <c r="F150" s="9" t="s">
        <v>1492</v>
      </c>
      <c r="G150" s="9" t="s">
        <v>1702</v>
      </c>
      <c r="H150" s="9" t="s">
        <v>1524</v>
      </c>
      <c r="I150" s="9" t="s">
        <v>1494</v>
      </c>
      <c r="J150" s="9" t="s">
        <v>1501</v>
      </c>
      <c r="K150" s="9"/>
    </row>
    <row r="151" customFormat="false" ht="15" hidden="false" customHeight="true" outlineLevel="0" collapsed="false">
      <c r="A151" s="11" t="s">
        <v>1703</v>
      </c>
      <c r="B151" s="11" t="s">
        <v>586</v>
      </c>
      <c r="C151" s="11" t="s">
        <v>826</v>
      </c>
      <c r="D151" s="11" t="s">
        <v>1524</v>
      </c>
      <c r="E151" s="11" t="n">
        <v>1</v>
      </c>
      <c r="F151" s="11" t="s">
        <v>1497</v>
      </c>
      <c r="G151" s="11" t="s">
        <v>1619</v>
      </c>
      <c r="H151" s="11" t="s">
        <v>1377</v>
      </c>
      <c r="I151" s="11" t="s">
        <v>1494</v>
      </c>
      <c r="J151" s="11" t="s">
        <v>1501</v>
      </c>
      <c r="K151" s="11" t="s">
        <v>1531</v>
      </c>
    </row>
    <row r="152" customFormat="false" ht="15" hidden="false" customHeight="true" outlineLevel="0" collapsed="false">
      <c r="A152" s="9" t="s">
        <v>1704</v>
      </c>
      <c r="B152" s="9" t="s">
        <v>586</v>
      </c>
      <c r="C152" s="9" t="s">
        <v>826</v>
      </c>
      <c r="D152" s="9" t="s">
        <v>1377</v>
      </c>
      <c r="E152" s="9" t="n">
        <v>1</v>
      </c>
      <c r="F152" s="9" t="s">
        <v>1492</v>
      </c>
      <c r="G152" s="9" t="s">
        <v>1705</v>
      </c>
      <c r="H152" s="9" t="s">
        <v>1377</v>
      </c>
      <c r="I152" s="9" t="s">
        <v>1494</v>
      </c>
      <c r="J152" s="9" t="s">
        <v>1507</v>
      </c>
      <c r="K152" s="9"/>
    </row>
    <row r="153" customFormat="false" ht="15" hidden="false" customHeight="true" outlineLevel="0" collapsed="false">
      <c r="A153" s="11" t="s">
        <v>1706</v>
      </c>
      <c r="B153" s="11" t="s">
        <v>586</v>
      </c>
      <c r="C153" s="11" t="s">
        <v>826</v>
      </c>
      <c r="D153" s="11" t="s">
        <v>1377</v>
      </c>
      <c r="E153" s="11" t="n">
        <v>1</v>
      </c>
      <c r="F153" s="11" t="s">
        <v>1497</v>
      </c>
      <c r="G153" s="11" t="s">
        <v>1707</v>
      </c>
      <c r="H153" s="11" t="s">
        <v>1355</v>
      </c>
      <c r="I153" s="11" t="s">
        <v>1494</v>
      </c>
      <c r="J153" s="11" t="s">
        <v>1507</v>
      </c>
      <c r="K153" s="11" t="s">
        <v>1531</v>
      </c>
    </row>
    <row r="154" customFormat="false" ht="15" hidden="false" customHeight="true" outlineLevel="0" collapsed="false">
      <c r="A154" s="9" t="s">
        <v>1708</v>
      </c>
      <c r="B154" s="9" t="s">
        <v>586</v>
      </c>
      <c r="C154" s="9" t="s">
        <v>826</v>
      </c>
      <c r="D154" s="9" t="s">
        <v>1355</v>
      </c>
      <c r="E154" s="9" t="n">
        <v>1</v>
      </c>
      <c r="F154" s="9" t="s">
        <v>1492</v>
      </c>
      <c r="G154" s="9" t="s">
        <v>1709</v>
      </c>
      <c r="H154" s="9" t="s">
        <v>1355</v>
      </c>
      <c r="I154" s="9" t="s">
        <v>1494</v>
      </c>
      <c r="J154" s="9" t="s">
        <v>1495</v>
      </c>
      <c r="K154" s="9"/>
    </row>
    <row r="155" customFormat="false" ht="15" hidden="false" customHeight="true" outlineLevel="0" collapsed="false">
      <c r="A155" s="11" t="s">
        <v>1710</v>
      </c>
      <c r="B155" s="11" t="s">
        <v>586</v>
      </c>
      <c r="C155" s="11" t="s">
        <v>826</v>
      </c>
      <c r="D155" s="11" t="s">
        <v>1355</v>
      </c>
      <c r="E155" s="11" t="n">
        <v>1</v>
      </c>
      <c r="F155" s="11" t="s">
        <v>1497</v>
      </c>
      <c r="G155" s="11" t="s">
        <v>1711</v>
      </c>
      <c r="H155" s="11" t="s">
        <v>1459</v>
      </c>
      <c r="I155" s="11" t="s">
        <v>1494</v>
      </c>
      <c r="J155" s="11" t="s">
        <v>1495</v>
      </c>
      <c r="K155" s="11" t="s">
        <v>1531</v>
      </c>
    </row>
    <row r="156" customFormat="false" ht="15" hidden="false" customHeight="true" outlineLevel="0" collapsed="false">
      <c r="A156" s="9" t="s">
        <v>1712</v>
      </c>
      <c r="B156" s="9" t="s">
        <v>586</v>
      </c>
      <c r="C156" s="9" t="s">
        <v>826</v>
      </c>
      <c r="D156" s="9" t="s">
        <v>1459</v>
      </c>
      <c r="E156" s="9" t="n">
        <v>1</v>
      </c>
      <c r="F156" s="9" t="s">
        <v>1492</v>
      </c>
      <c r="G156" s="9" t="s">
        <v>1713</v>
      </c>
      <c r="H156" s="9" t="s">
        <v>1459</v>
      </c>
      <c r="I156" s="9" t="s">
        <v>1494</v>
      </c>
      <c r="J156" s="9" t="s">
        <v>1501</v>
      </c>
      <c r="K156" s="9"/>
    </row>
    <row r="157" customFormat="false" ht="15" hidden="false" customHeight="true" outlineLevel="0" collapsed="false">
      <c r="A157" s="11" t="s">
        <v>1714</v>
      </c>
      <c r="B157" s="11" t="s">
        <v>586</v>
      </c>
      <c r="C157" s="11" t="s">
        <v>826</v>
      </c>
      <c r="D157" s="11" t="s">
        <v>1459</v>
      </c>
      <c r="E157" s="11" t="n">
        <v>1</v>
      </c>
      <c r="F157" s="11" t="s">
        <v>1497</v>
      </c>
      <c r="G157" s="11" t="s">
        <v>1715</v>
      </c>
      <c r="H157" s="11" t="s">
        <v>1545</v>
      </c>
      <c r="I157" s="11" t="s">
        <v>1494</v>
      </c>
      <c r="J157" s="11" t="s">
        <v>1501</v>
      </c>
      <c r="K157" s="11" t="s">
        <v>1531</v>
      </c>
    </row>
    <row r="158" customFormat="false" ht="15" hidden="false" customHeight="true" outlineLevel="0" collapsed="false">
      <c r="A158" s="9" t="s">
        <v>1716</v>
      </c>
      <c r="B158" s="9" t="s">
        <v>586</v>
      </c>
      <c r="C158" s="9" t="s">
        <v>826</v>
      </c>
      <c r="D158" s="9" t="s">
        <v>1545</v>
      </c>
      <c r="E158" s="9" t="n">
        <v>1</v>
      </c>
      <c r="F158" s="9" t="s">
        <v>1492</v>
      </c>
      <c r="G158" s="9" t="s">
        <v>1717</v>
      </c>
      <c r="H158" s="9" t="s">
        <v>1545</v>
      </c>
      <c r="I158" s="9" t="s">
        <v>1494</v>
      </c>
      <c r="J158" s="9" t="s">
        <v>1507</v>
      </c>
      <c r="K158" s="9"/>
    </row>
    <row r="159" customFormat="false" ht="15" hidden="false" customHeight="true" outlineLevel="0" collapsed="false">
      <c r="A159" s="11" t="s">
        <v>1718</v>
      </c>
      <c r="B159" s="11" t="s">
        <v>586</v>
      </c>
      <c r="C159" s="11" t="s">
        <v>826</v>
      </c>
      <c r="D159" s="11" t="s">
        <v>1545</v>
      </c>
      <c r="E159" s="11" t="n">
        <v>1</v>
      </c>
      <c r="F159" s="11" t="s">
        <v>1497</v>
      </c>
      <c r="G159" s="11" t="s">
        <v>1567</v>
      </c>
      <c r="H159" s="11" t="s">
        <v>1409</v>
      </c>
      <c r="I159" s="11" t="s">
        <v>1494</v>
      </c>
      <c r="J159" s="11" t="s">
        <v>1507</v>
      </c>
      <c r="K159" s="11" t="s">
        <v>1531</v>
      </c>
    </row>
    <row r="160" customFormat="false" ht="15" hidden="false" customHeight="true" outlineLevel="0" collapsed="false">
      <c r="A160" s="9" t="s">
        <v>1719</v>
      </c>
      <c r="B160" s="9" t="s">
        <v>586</v>
      </c>
      <c r="C160" s="9" t="s">
        <v>826</v>
      </c>
      <c r="D160" s="9" t="s">
        <v>1337</v>
      </c>
      <c r="E160" s="9" t="n">
        <v>1</v>
      </c>
      <c r="F160" s="9" t="s">
        <v>1492</v>
      </c>
      <c r="G160" s="9" t="s">
        <v>458</v>
      </c>
      <c r="H160" s="9" t="s">
        <v>1337</v>
      </c>
      <c r="I160" s="9" t="s">
        <v>1494</v>
      </c>
      <c r="J160" s="9" t="s">
        <v>1501</v>
      </c>
      <c r="K160" s="9"/>
    </row>
    <row r="161" customFormat="false" ht="15" hidden="false" customHeight="true" outlineLevel="0" collapsed="false">
      <c r="A161" s="11" t="s">
        <v>1720</v>
      </c>
      <c r="B161" s="11" t="s">
        <v>586</v>
      </c>
      <c r="C161" s="11" t="s">
        <v>826</v>
      </c>
      <c r="D161" s="11" t="s">
        <v>1337</v>
      </c>
      <c r="E161" s="11" t="n">
        <v>1</v>
      </c>
      <c r="F161" s="11" t="s">
        <v>1497</v>
      </c>
      <c r="G161" s="11" t="s">
        <v>1633</v>
      </c>
      <c r="H161" s="11" t="s">
        <v>531</v>
      </c>
      <c r="I161" s="11" t="s">
        <v>1494</v>
      </c>
      <c r="J161" s="11" t="s">
        <v>1501</v>
      </c>
      <c r="K161" s="11" t="s">
        <v>1531</v>
      </c>
    </row>
    <row r="162" customFormat="false" ht="15" hidden="false" customHeight="true" outlineLevel="0" collapsed="false">
      <c r="A162" s="9" t="s">
        <v>1721</v>
      </c>
      <c r="B162" s="9" t="s">
        <v>586</v>
      </c>
      <c r="C162" s="9" t="s">
        <v>826</v>
      </c>
      <c r="D162" s="9" t="s">
        <v>531</v>
      </c>
      <c r="E162" s="9" t="n">
        <v>1</v>
      </c>
      <c r="F162" s="9" t="s">
        <v>1492</v>
      </c>
      <c r="G162" s="9" t="s">
        <v>1705</v>
      </c>
      <c r="H162" s="9" t="s">
        <v>531</v>
      </c>
      <c r="I162" s="9" t="s">
        <v>1494</v>
      </c>
      <c r="J162" s="9" t="s">
        <v>1507</v>
      </c>
      <c r="K162" s="9"/>
    </row>
    <row r="163" customFormat="false" ht="15" hidden="false" customHeight="true" outlineLevel="0" collapsed="false">
      <c r="A163" s="11" t="s">
        <v>1722</v>
      </c>
      <c r="B163" s="11" t="s">
        <v>586</v>
      </c>
      <c r="C163" s="11" t="s">
        <v>826</v>
      </c>
      <c r="D163" s="11" t="s">
        <v>531</v>
      </c>
      <c r="E163" s="11" t="n">
        <v>1</v>
      </c>
      <c r="F163" s="11" t="s">
        <v>1497</v>
      </c>
      <c r="G163" s="11" t="s">
        <v>1669</v>
      </c>
      <c r="H163" s="11" t="s">
        <v>1164</v>
      </c>
      <c r="I163" s="11" t="s">
        <v>1494</v>
      </c>
      <c r="J163" s="11" t="s">
        <v>1507</v>
      </c>
      <c r="K163" s="11" t="s">
        <v>1531</v>
      </c>
    </row>
    <row r="164" customFormat="false" ht="15" hidden="false" customHeight="true" outlineLevel="0" collapsed="false">
      <c r="A164" s="9" t="s">
        <v>1723</v>
      </c>
      <c r="B164" s="9" t="s">
        <v>840</v>
      </c>
      <c r="C164" s="9" t="s">
        <v>841</v>
      </c>
      <c r="D164" s="9" t="s">
        <v>1151</v>
      </c>
      <c r="E164" s="9" t="n">
        <v>1</v>
      </c>
      <c r="F164" s="9" t="s">
        <v>1492</v>
      </c>
      <c r="G164" s="9" t="s">
        <v>1493</v>
      </c>
      <c r="H164" s="9" t="s">
        <v>1151</v>
      </c>
      <c r="I164" s="9" t="s">
        <v>1494</v>
      </c>
      <c r="J164" s="9" t="s">
        <v>1495</v>
      </c>
      <c r="K164" s="9"/>
    </row>
    <row r="165" customFormat="false" ht="15" hidden="false" customHeight="true" outlineLevel="0" collapsed="false">
      <c r="A165" s="11" t="s">
        <v>1724</v>
      </c>
      <c r="B165" s="11" t="s">
        <v>840</v>
      </c>
      <c r="C165" s="11" t="s">
        <v>841</v>
      </c>
      <c r="D165" s="11" t="s">
        <v>1151</v>
      </c>
      <c r="E165" s="11" t="n">
        <v>1</v>
      </c>
      <c r="F165" s="11" t="s">
        <v>1497</v>
      </c>
      <c r="G165" s="11" t="s">
        <v>1498</v>
      </c>
      <c r="H165" s="11" t="s">
        <v>1151</v>
      </c>
      <c r="I165" s="11" t="s">
        <v>1494</v>
      </c>
      <c r="J165" s="11" t="s">
        <v>1495</v>
      </c>
      <c r="K165" s="11"/>
    </row>
    <row r="166" customFormat="false" ht="15" hidden="false" customHeight="true" outlineLevel="0" collapsed="false">
      <c r="A166" s="9" t="s">
        <v>1725</v>
      </c>
      <c r="B166" s="9" t="s">
        <v>840</v>
      </c>
      <c r="C166" s="9" t="s">
        <v>841</v>
      </c>
      <c r="D166" s="9" t="s">
        <v>593</v>
      </c>
      <c r="E166" s="9" t="n">
        <v>1</v>
      </c>
      <c r="F166" s="9" t="s">
        <v>1492</v>
      </c>
      <c r="G166" s="9" t="s">
        <v>1500</v>
      </c>
      <c r="H166" s="9" t="s">
        <v>593</v>
      </c>
      <c r="I166" s="9" t="s">
        <v>1494</v>
      </c>
      <c r="J166" s="9" t="s">
        <v>1501</v>
      </c>
      <c r="K166" s="9"/>
    </row>
    <row r="167" customFormat="false" ht="15" hidden="false" customHeight="true" outlineLevel="0" collapsed="false">
      <c r="A167" s="11" t="s">
        <v>1726</v>
      </c>
      <c r="B167" s="11" t="s">
        <v>840</v>
      </c>
      <c r="C167" s="11" t="s">
        <v>841</v>
      </c>
      <c r="D167" s="11" t="s">
        <v>593</v>
      </c>
      <c r="E167" s="11" t="n">
        <v>1</v>
      </c>
      <c r="F167" s="11" t="s">
        <v>1497</v>
      </c>
      <c r="G167" s="11" t="s">
        <v>1503</v>
      </c>
      <c r="H167" s="11" t="s">
        <v>593</v>
      </c>
      <c r="I167" s="11" t="s">
        <v>1494</v>
      </c>
      <c r="J167" s="11" t="s">
        <v>1501</v>
      </c>
      <c r="K167" s="11"/>
    </row>
    <row r="168" customFormat="false" ht="15" hidden="false" customHeight="true" outlineLevel="0" collapsed="false">
      <c r="A168" s="9" t="s">
        <v>1727</v>
      </c>
      <c r="B168" s="9" t="s">
        <v>840</v>
      </c>
      <c r="C168" s="9" t="s">
        <v>841</v>
      </c>
      <c r="D168" s="9" t="s">
        <v>1505</v>
      </c>
      <c r="E168" s="9" t="n">
        <v>1</v>
      </c>
      <c r="F168" s="9" t="s">
        <v>1492</v>
      </c>
      <c r="G168" s="9" t="s">
        <v>1506</v>
      </c>
      <c r="H168" s="9" t="s">
        <v>1505</v>
      </c>
      <c r="I168" s="9" t="s">
        <v>1494</v>
      </c>
      <c r="J168" s="9" t="s">
        <v>1507</v>
      </c>
      <c r="K168" s="9"/>
    </row>
    <row r="169" customFormat="false" ht="15" hidden="false" customHeight="true" outlineLevel="0" collapsed="false">
      <c r="A169" s="11" t="s">
        <v>1728</v>
      </c>
      <c r="B169" s="11" t="s">
        <v>840</v>
      </c>
      <c r="C169" s="11" t="s">
        <v>841</v>
      </c>
      <c r="D169" s="11" t="s">
        <v>1505</v>
      </c>
      <c r="E169" s="11" t="n">
        <v>1</v>
      </c>
      <c r="F169" s="11" t="s">
        <v>1497</v>
      </c>
      <c r="G169" s="11" t="s">
        <v>1509</v>
      </c>
      <c r="H169" s="11" t="s">
        <v>1505</v>
      </c>
      <c r="I169" s="11" t="s">
        <v>1494</v>
      </c>
      <c r="J169" s="11" t="s">
        <v>1507</v>
      </c>
      <c r="K169" s="11"/>
    </row>
    <row r="170" customFormat="false" ht="15" hidden="false" customHeight="true" outlineLevel="0" collapsed="false">
      <c r="A170" s="9" t="s">
        <v>1729</v>
      </c>
      <c r="B170" s="9" t="s">
        <v>840</v>
      </c>
      <c r="C170" s="9" t="s">
        <v>841</v>
      </c>
      <c r="D170" s="9" t="s">
        <v>1511</v>
      </c>
      <c r="E170" s="9" t="n">
        <v>1</v>
      </c>
      <c r="F170" s="9" t="s">
        <v>1492</v>
      </c>
      <c r="G170" s="9" t="s">
        <v>457</v>
      </c>
      <c r="H170" s="9" t="s">
        <v>1511</v>
      </c>
      <c r="I170" s="9" t="s">
        <v>1494</v>
      </c>
      <c r="J170" s="9" t="s">
        <v>1495</v>
      </c>
      <c r="K170" s="9"/>
    </row>
    <row r="171" customFormat="false" ht="15" hidden="false" customHeight="true" outlineLevel="0" collapsed="false">
      <c r="A171" s="11" t="s">
        <v>1730</v>
      </c>
      <c r="B171" s="11" t="s">
        <v>840</v>
      </c>
      <c r="C171" s="11" t="s">
        <v>841</v>
      </c>
      <c r="D171" s="11" t="s">
        <v>1511</v>
      </c>
      <c r="E171" s="11" t="n">
        <v>1</v>
      </c>
      <c r="F171" s="11" t="s">
        <v>1497</v>
      </c>
      <c r="G171" s="11" t="s">
        <v>1513</v>
      </c>
      <c r="H171" s="11" t="s">
        <v>1511</v>
      </c>
      <c r="I171" s="11" t="s">
        <v>1494</v>
      </c>
      <c r="J171" s="11" t="s">
        <v>1495</v>
      </c>
      <c r="K171" s="11"/>
    </row>
    <row r="172" customFormat="false" ht="15" hidden="false" customHeight="true" outlineLevel="0" collapsed="false">
      <c r="A172" s="9" t="s">
        <v>1731</v>
      </c>
      <c r="B172" s="9" t="s">
        <v>840</v>
      </c>
      <c r="C172" s="9" t="s">
        <v>841</v>
      </c>
      <c r="D172" s="9" t="s">
        <v>1515</v>
      </c>
      <c r="E172" s="9" t="n">
        <v>1</v>
      </c>
      <c r="F172" s="9" t="s">
        <v>1492</v>
      </c>
      <c r="G172" s="9" t="s">
        <v>1516</v>
      </c>
      <c r="H172" s="9" t="s">
        <v>1515</v>
      </c>
      <c r="I172" s="9" t="s">
        <v>1494</v>
      </c>
      <c r="J172" s="9" t="s">
        <v>1501</v>
      </c>
      <c r="K172" s="9"/>
    </row>
    <row r="173" customFormat="false" ht="15" hidden="false" customHeight="true" outlineLevel="0" collapsed="false">
      <c r="A173" s="11" t="s">
        <v>1732</v>
      </c>
      <c r="B173" s="11" t="s">
        <v>840</v>
      </c>
      <c r="C173" s="11" t="s">
        <v>841</v>
      </c>
      <c r="D173" s="11" t="s">
        <v>1515</v>
      </c>
      <c r="E173" s="11" t="n">
        <v>1</v>
      </c>
      <c r="F173" s="11" t="s">
        <v>1497</v>
      </c>
      <c r="G173" s="11" t="s">
        <v>1518</v>
      </c>
      <c r="H173" s="11" t="s">
        <v>1515</v>
      </c>
      <c r="I173" s="11" t="s">
        <v>1494</v>
      </c>
      <c r="J173" s="11" t="s">
        <v>1501</v>
      </c>
      <c r="K173" s="11"/>
    </row>
    <row r="174" customFormat="false" ht="15" hidden="false" customHeight="true" outlineLevel="0" collapsed="false">
      <c r="A174" s="9" t="s">
        <v>1733</v>
      </c>
      <c r="B174" s="9" t="s">
        <v>840</v>
      </c>
      <c r="C174" s="9" t="s">
        <v>841</v>
      </c>
      <c r="D174" s="9" t="s">
        <v>1359</v>
      </c>
      <c r="E174" s="9" t="n">
        <v>1</v>
      </c>
      <c r="F174" s="9" t="s">
        <v>1492</v>
      </c>
      <c r="G174" s="9" t="s">
        <v>1715</v>
      </c>
      <c r="H174" s="9" t="s">
        <v>1359</v>
      </c>
      <c r="I174" s="9" t="s">
        <v>1494</v>
      </c>
      <c r="J174" s="9" t="s">
        <v>1507</v>
      </c>
      <c r="K174" s="9"/>
    </row>
    <row r="175" customFormat="false" ht="15" hidden="false" customHeight="true" outlineLevel="0" collapsed="false">
      <c r="A175" s="11" t="s">
        <v>1734</v>
      </c>
      <c r="B175" s="11" t="s">
        <v>840</v>
      </c>
      <c r="C175" s="11" t="s">
        <v>841</v>
      </c>
      <c r="D175" s="11" t="s">
        <v>1359</v>
      </c>
      <c r="E175" s="11" t="n">
        <v>1</v>
      </c>
      <c r="F175" s="11" t="s">
        <v>1497</v>
      </c>
      <c r="G175" s="11" t="s">
        <v>1539</v>
      </c>
      <c r="H175" s="11" t="s">
        <v>1359</v>
      </c>
      <c r="I175" s="11" t="s">
        <v>1494</v>
      </c>
      <c r="J175" s="11" t="s">
        <v>1507</v>
      </c>
      <c r="K175" s="11"/>
    </row>
    <row r="176" customFormat="false" ht="15" hidden="false" customHeight="true" outlineLevel="0" collapsed="false">
      <c r="A176" s="9" t="s">
        <v>1735</v>
      </c>
      <c r="B176" s="9" t="s">
        <v>840</v>
      </c>
      <c r="C176" s="9" t="s">
        <v>841</v>
      </c>
      <c r="D176" s="9" t="s">
        <v>1332</v>
      </c>
      <c r="E176" s="9" t="n">
        <v>1</v>
      </c>
      <c r="F176" s="9" t="s">
        <v>1492</v>
      </c>
      <c r="G176" s="9" t="s">
        <v>1520</v>
      </c>
      <c r="H176" s="9" t="s">
        <v>1332</v>
      </c>
      <c r="I176" s="9" t="s">
        <v>1494</v>
      </c>
      <c r="J176" s="9" t="s">
        <v>1495</v>
      </c>
      <c r="K176" s="9"/>
    </row>
    <row r="177" customFormat="false" ht="15" hidden="false" customHeight="true" outlineLevel="0" collapsed="false">
      <c r="A177" s="11" t="s">
        <v>1736</v>
      </c>
      <c r="B177" s="11" t="s">
        <v>840</v>
      </c>
      <c r="C177" s="11" t="s">
        <v>841</v>
      </c>
      <c r="D177" s="11" t="s">
        <v>1332</v>
      </c>
      <c r="E177" s="11" t="n">
        <v>1</v>
      </c>
      <c r="F177" s="11" t="s">
        <v>1497</v>
      </c>
      <c r="G177" s="11" t="s">
        <v>1522</v>
      </c>
      <c r="H177" s="11" t="s">
        <v>1332</v>
      </c>
      <c r="I177" s="11" t="s">
        <v>1494</v>
      </c>
      <c r="J177" s="11" t="s">
        <v>1495</v>
      </c>
      <c r="K177" s="11"/>
    </row>
    <row r="178" customFormat="false" ht="15" hidden="false" customHeight="true" outlineLevel="0" collapsed="false">
      <c r="A178" s="9" t="s">
        <v>1737</v>
      </c>
      <c r="B178" s="9" t="s">
        <v>840</v>
      </c>
      <c r="C178" s="9" t="s">
        <v>841</v>
      </c>
      <c r="D178" s="9" t="s">
        <v>1524</v>
      </c>
      <c r="E178" s="9" t="n">
        <v>1</v>
      </c>
      <c r="F178" s="9" t="s">
        <v>1492</v>
      </c>
      <c r="G178" s="9" t="s">
        <v>472</v>
      </c>
      <c r="H178" s="9" t="s">
        <v>1524</v>
      </c>
      <c r="I178" s="9" t="s">
        <v>1494</v>
      </c>
      <c r="J178" s="9" t="s">
        <v>1501</v>
      </c>
      <c r="K178" s="9"/>
    </row>
    <row r="179" customFormat="false" ht="15" hidden="false" customHeight="true" outlineLevel="0" collapsed="false">
      <c r="A179" s="11" t="s">
        <v>1738</v>
      </c>
      <c r="B179" s="11" t="s">
        <v>840</v>
      </c>
      <c r="C179" s="11" t="s">
        <v>841</v>
      </c>
      <c r="D179" s="11" t="s">
        <v>1524</v>
      </c>
      <c r="E179" s="11" t="n">
        <v>1</v>
      </c>
      <c r="F179" s="11" t="s">
        <v>1497</v>
      </c>
      <c r="G179" s="11" t="s">
        <v>1571</v>
      </c>
      <c r="H179" s="11" t="s">
        <v>1524</v>
      </c>
      <c r="I179" s="11" t="s">
        <v>1494</v>
      </c>
      <c r="J179" s="11" t="s">
        <v>1501</v>
      </c>
      <c r="K179" s="11"/>
    </row>
    <row r="180" customFormat="false" ht="15" hidden="false" customHeight="true" outlineLevel="0" collapsed="false">
      <c r="A180" s="9" t="s">
        <v>1739</v>
      </c>
      <c r="B180" s="9" t="s">
        <v>840</v>
      </c>
      <c r="C180" s="9" t="s">
        <v>841</v>
      </c>
      <c r="D180" s="9" t="s">
        <v>1377</v>
      </c>
      <c r="E180" s="9" t="n">
        <v>1</v>
      </c>
      <c r="F180" s="9" t="s">
        <v>1492</v>
      </c>
      <c r="G180" s="9" t="s">
        <v>1552</v>
      </c>
      <c r="H180" s="9" t="s">
        <v>1377</v>
      </c>
      <c r="I180" s="9" t="s">
        <v>1494</v>
      </c>
      <c r="J180" s="9" t="s">
        <v>1507</v>
      </c>
      <c r="K180" s="9"/>
    </row>
    <row r="181" customFormat="false" ht="15" hidden="false" customHeight="true" outlineLevel="0" collapsed="false">
      <c r="A181" s="11" t="s">
        <v>1740</v>
      </c>
      <c r="B181" s="11" t="s">
        <v>840</v>
      </c>
      <c r="C181" s="11" t="s">
        <v>841</v>
      </c>
      <c r="D181" s="11" t="s">
        <v>1377</v>
      </c>
      <c r="E181" s="11" t="n">
        <v>1</v>
      </c>
      <c r="F181" s="11" t="s">
        <v>1497</v>
      </c>
      <c r="G181" s="11" t="s">
        <v>1574</v>
      </c>
      <c r="H181" s="11" t="s">
        <v>1377</v>
      </c>
      <c r="I181" s="11" t="s">
        <v>1494</v>
      </c>
      <c r="J181" s="11" t="s">
        <v>1507</v>
      </c>
      <c r="K181" s="11"/>
    </row>
    <row r="182" customFormat="false" ht="15" hidden="false" customHeight="true" outlineLevel="0" collapsed="false">
      <c r="A182" s="9" t="s">
        <v>1741</v>
      </c>
      <c r="B182" s="9" t="s">
        <v>840</v>
      </c>
      <c r="C182" s="9" t="s">
        <v>841</v>
      </c>
      <c r="D182" s="9" t="s">
        <v>1355</v>
      </c>
      <c r="E182" s="9" t="n">
        <v>1</v>
      </c>
      <c r="F182" s="9" t="s">
        <v>1492</v>
      </c>
      <c r="G182" s="9" t="s">
        <v>1537</v>
      </c>
      <c r="H182" s="9" t="s">
        <v>1355</v>
      </c>
      <c r="I182" s="9" t="s">
        <v>1494</v>
      </c>
      <c r="J182" s="9" t="s">
        <v>1495</v>
      </c>
      <c r="K182" s="9"/>
    </row>
    <row r="183" customFormat="false" ht="15" hidden="false" customHeight="true" outlineLevel="0" collapsed="false">
      <c r="A183" s="11" t="s">
        <v>1742</v>
      </c>
      <c r="B183" s="11" t="s">
        <v>840</v>
      </c>
      <c r="C183" s="11" t="s">
        <v>841</v>
      </c>
      <c r="D183" s="11" t="s">
        <v>1355</v>
      </c>
      <c r="E183" s="11" t="n">
        <v>1</v>
      </c>
      <c r="F183" s="11" t="s">
        <v>1497</v>
      </c>
      <c r="G183" s="11" t="s">
        <v>1539</v>
      </c>
      <c r="H183" s="11" t="s">
        <v>1355</v>
      </c>
      <c r="I183" s="11" t="s">
        <v>1494</v>
      </c>
      <c r="J183" s="11" t="s">
        <v>1495</v>
      </c>
      <c r="K183" s="11"/>
    </row>
    <row r="184" customFormat="false" ht="15" hidden="false" customHeight="true" outlineLevel="0" collapsed="false">
      <c r="A184" s="9" t="s">
        <v>1743</v>
      </c>
      <c r="B184" s="9" t="s">
        <v>840</v>
      </c>
      <c r="C184" s="9" t="s">
        <v>841</v>
      </c>
      <c r="D184" s="9" t="s">
        <v>1459</v>
      </c>
      <c r="E184" s="9" t="n">
        <v>1</v>
      </c>
      <c r="F184" s="9" t="s">
        <v>1492</v>
      </c>
      <c r="G184" s="9" t="s">
        <v>1541</v>
      </c>
      <c r="H184" s="9" t="s">
        <v>1459</v>
      </c>
      <c r="I184" s="9" t="s">
        <v>1494</v>
      </c>
      <c r="J184" s="9" t="s">
        <v>1501</v>
      </c>
      <c r="K184" s="9"/>
    </row>
    <row r="185" customFormat="false" ht="15" hidden="false" customHeight="true" outlineLevel="0" collapsed="false">
      <c r="A185" s="11" t="s">
        <v>1744</v>
      </c>
      <c r="B185" s="11" t="s">
        <v>840</v>
      </c>
      <c r="C185" s="11" t="s">
        <v>841</v>
      </c>
      <c r="D185" s="11" t="s">
        <v>1459</v>
      </c>
      <c r="E185" s="11" t="n">
        <v>1</v>
      </c>
      <c r="F185" s="11" t="s">
        <v>1497</v>
      </c>
      <c r="G185" s="11" t="s">
        <v>1543</v>
      </c>
      <c r="H185" s="11" t="s">
        <v>1459</v>
      </c>
      <c r="I185" s="11" t="s">
        <v>1494</v>
      </c>
      <c r="J185" s="11" t="s">
        <v>1501</v>
      </c>
      <c r="K185" s="11"/>
    </row>
    <row r="186" customFormat="false" ht="15" hidden="false" customHeight="true" outlineLevel="0" collapsed="false">
      <c r="A186" s="9" t="s">
        <v>1745</v>
      </c>
      <c r="B186" s="9" t="s">
        <v>840</v>
      </c>
      <c r="C186" s="9" t="s">
        <v>841</v>
      </c>
      <c r="D186" s="9" t="s">
        <v>1545</v>
      </c>
      <c r="E186" s="9" t="n">
        <v>1</v>
      </c>
      <c r="F186" s="9" t="s">
        <v>1492</v>
      </c>
      <c r="G186" s="9" t="s">
        <v>1546</v>
      </c>
      <c r="H186" s="9" t="s">
        <v>1545</v>
      </c>
      <c r="I186" s="9" t="s">
        <v>1494</v>
      </c>
      <c r="J186" s="9" t="s">
        <v>1507</v>
      </c>
      <c r="K186" s="9"/>
    </row>
    <row r="187" customFormat="false" ht="15" hidden="false" customHeight="true" outlineLevel="0" collapsed="false">
      <c r="A187" s="11" t="s">
        <v>1746</v>
      </c>
      <c r="B187" s="11" t="s">
        <v>840</v>
      </c>
      <c r="C187" s="11" t="s">
        <v>841</v>
      </c>
      <c r="D187" s="11" t="s">
        <v>1545</v>
      </c>
      <c r="E187" s="11" t="n">
        <v>1</v>
      </c>
      <c r="F187" s="11" t="s">
        <v>1497</v>
      </c>
      <c r="G187" s="11" t="s">
        <v>1548</v>
      </c>
      <c r="H187" s="11" t="s">
        <v>1545</v>
      </c>
      <c r="I187" s="11" t="s">
        <v>1494</v>
      </c>
      <c r="J187" s="11" t="s">
        <v>1507</v>
      </c>
      <c r="K187" s="11"/>
    </row>
    <row r="188" customFormat="false" ht="15" hidden="false" customHeight="true" outlineLevel="0" collapsed="false">
      <c r="A188" s="9" t="s">
        <v>1747</v>
      </c>
      <c r="B188" s="9" t="s">
        <v>840</v>
      </c>
      <c r="C188" s="9" t="s">
        <v>841</v>
      </c>
      <c r="D188" s="9" t="s">
        <v>1337</v>
      </c>
      <c r="E188" s="9" t="n">
        <v>1</v>
      </c>
      <c r="F188" s="9" t="s">
        <v>1492</v>
      </c>
      <c r="G188" s="9" t="s">
        <v>457</v>
      </c>
      <c r="H188" s="9" t="s">
        <v>1337</v>
      </c>
      <c r="I188" s="9" t="s">
        <v>1494</v>
      </c>
      <c r="J188" s="9" t="s">
        <v>1501</v>
      </c>
      <c r="K188" s="9"/>
    </row>
    <row r="189" customFormat="false" ht="15" hidden="false" customHeight="true" outlineLevel="0" collapsed="false">
      <c r="A189" s="11" t="s">
        <v>1748</v>
      </c>
      <c r="B189" s="11" t="s">
        <v>840</v>
      </c>
      <c r="C189" s="11" t="s">
        <v>841</v>
      </c>
      <c r="D189" s="11" t="s">
        <v>1337</v>
      </c>
      <c r="E189" s="11" t="n">
        <v>1</v>
      </c>
      <c r="F189" s="11" t="s">
        <v>1497</v>
      </c>
      <c r="G189" s="11" t="s">
        <v>1535</v>
      </c>
      <c r="H189" s="11" t="s">
        <v>1337</v>
      </c>
      <c r="I189" s="11" t="s">
        <v>1494</v>
      </c>
      <c r="J189" s="11" t="s">
        <v>1501</v>
      </c>
      <c r="K189" s="11"/>
    </row>
    <row r="190" customFormat="false" ht="15" hidden="false" customHeight="true" outlineLevel="0" collapsed="false">
      <c r="A190" s="9" t="s">
        <v>1749</v>
      </c>
      <c r="B190" s="9" t="s">
        <v>840</v>
      </c>
      <c r="C190" s="9" t="s">
        <v>841</v>
      </c>
      <c r="D190" s="9" t="s">
        <v>531</v>
      </c>
      <c r="E190" s="9" t="n">
        <v>1</v>
      </c>
      <c r="F190" s="9" t="s">
        <v>1492</v>
      </c>
      <c r="G190" s="9" t="s">
        <v>1552</v>
      </c>
      <c r="H190" s="9" t="s">
        <v>531</v>
      </c>
      <c r="I190" s="9" t="s">
        <v>1494</v>
      </c>
      <c r="J190" s="9" t="s">
        <v>1507</v>
      </c>
      <c r="K190" s="9"/>
    </row>
    <row r="191" customFormat="false" ht="15" hidden="false" customHeight="true" outlineLevel="0" collapsed="false">
      <c r="A191" s="11" t="s">
        <v>1750</v>
      </c>
      <c r="B191" s="11" t="s">
        <v>840</v>
      </c>
      <c r="C191" s="11" t="s">
        <v>841</v>
      </c>
      <c r="D191" s="11" t="s">
        <v>531</v>
      </c>
      <c r="E191" s="11" t="n">
        <v>1</v>
      </c>
      <c r="F191" s="11" t="s">
        <v>1497</v>
      </c>
      <c r="G191" s="11" t="s">
        <v>1498</v>
      </c>
      <c r="H191" s="11" t="s">
        <v>531</v>
      </c>
      <c r="I191" s="11" t="s">
        <v>1494</v>
      </c>
      <c r="J191" s="11" t="s">
        <v>1507</v>
      </c>
      <c r="K191" s="11"/>
    </row>
    <row r="192" customFormat="false" ht="15" hidden="false" customHeight="true" outlineLevel="0" collapsed="false">
      <c r="A192" s="9" t="s">
        <v>1751</v>
      </c>
      <c r="B192" s="9" t="s">
        <v>875</v>
      </c>
      <c r="C192" s="9" t="s">
        <v>876</v>
      </c>
      <c r="D192" s="9" t="s">
        <v>1151</v>
      </c>
      <c r="E192" s="9" t="n">
        <v>1</v>
      </c>
      <c r="F192" s="9" t="s">
        <v>1492</v>
      </c>
      <c r="G192" s="9" t="s">
        <v>1493</v>
      </c>
      <c r="H192" s="9" t="s">
        <v>1151</v>
      </c>
      <c r="I192" s="9" t="s">
        <v>1494</v>
      </c>
      <c r="J192" s="9" t="s">
        <v>1495</v>
      </c>
      <c r="K192" s="9"/>
    </row>
    <row r="193" customFormat="false" ht="15" hidden="false" customHeight="true" outlineLevel="0" collapsed="false">
      <c r="A193" s="11" t="s">
        <v>1752</v>
      </c>
      <c r="B193" s="11" t="s">
        <v>875</v>
      </c>
      <c r="C193" s="11" t="s">
        <v>876</v>
      </c>
      <c r="D193" s="11" t="s">
        <v>1151</v>
      </c>
      <c r="E193" s="11" t="n">
        <v>1</v>
      </c>
      <c r="F193" s="11" t="s">
        <v>1497</v>
      </c>
      <c r="G193" s="11" t="s">
        <v>1498</v>
      </c>
      <c r="H193" s="11" t="s">
        <v>1151</v>
      </c>
      <c r="I193" s="11" t="s">
        <v>1494</v>
      </c>
      <c r="J193" s="11" t="s">
        <v>1495</v>
      </c>
      <c r="K193" s="11"/>
    </row>
    <row r="194" customFormat="false" ht="15" hidden="false" customHeight="true" outlineLevel="0" collapsed="false">
      <c r="A194" s="9" t="s">
        <v>1753</v>
      </c>
      <c r="B194" s="9" t="s">
        <v>875</v>
      </c>
      <c r="C194" s="9" t="s">
        <v>876</v>
      </c>
      <c r="D194" s="9" t="s">
        <v>593</v>
      </c>
      <c r="E194" s="9" t="n">
        <v>1</v>
      </c>
      <c r="F194" s="9" t="s">
        <v>1492</v>
      </c>
      <c r="G194" s="9" t="s">
        <v>1500</v>
      </c>
      <c r="H194" s="9" t="s">
        <v>593</v>
      </c>
      <c r="I194" s="9" t="s">
        <v>1494</v>
      </c>
      <c r="J194" s="9" t="s">
        <v>1501</v>
      </c>
      <c r="K194" s="9"/>
    </row>
    <row r="195" customFormat="false" ht="15" hidden="false" customHeight="true" outlineLevel="0" collapsed="false">
      <c r="A195" s="11" t="s">
        <v>1754</v>
      </c>
      <c r="B195" s="11" t="s">
        <v>875</v>
      </c>
      <c r="C195" s="11" t="s">
        <v>876</v>
      </c>
      <c r="D195" s="11" t="s">
        <v>593</v>
      </c>
      <c r="E195" s="11" t="n">
        <v>1</v>
      </c>
      <c r="F195" s="11" t="s">
        <v>1497</v>
      </c>
      <c r="G195" s="11" t="s">
        <v>1503</v>
      </c>
      <c r="H195" s="11" t="s">
        <v>593</v>
      </c>
      <c r="I195" s="11" t="s">
        <v>1494</v>
      </c>
      <c r="J195" s="11" t="s">
        <v>1501</v>
      </c>
      <c r="K195" s="11"/>
    </row>
    <row r="196" customFormat="false" ht="15" hidden="false" customHeight="true" outlineLevel="0" collapsed="false">
      <c r="A196" s="9" t="s">
        <v>1755</v>
      </c>
      <c r="B196" s="9" t="s">
        <v>875</v>
      </c>
      <c r="C196" s="9" t="s">
        <v>876</v>
      </c>
      <c r="D196" s="9" t="s">
        <v>1505</v>
      </c>
      <c r="E196" s="9" t="n">
        <v>1</v>
      </c>
      <c r="F196" s="9" t="s">
        <v>1492</v>
      </c>
      <c r="G196" s="9" t="s">
        <v>1506</v>
      </c>
      <c r="H196" s="9" t="s">
        <v>1505</v>
      </c>
      <c r="I196" s="9" t="s">
        <v>1494</v>
      </c>
      <c r="J196" s="9" t="s">
        <v>1507</v>
      </c>
      <c r="K196" s="9"/>
    </row>
    <row r="197" customFormat="false" ht="15" hidden="false" customHeight="true" outlineLevel="0" collapsed="false">
      <c r="A197" s="11" t="s">
        <v>1756</v>
      </c>
      <c r="B197" s="11" t="s">
        <v>875</v>
      </c>
      <c r="C197" s="11" t="s">
        <v>876</v>
      </c>
      <c r="D197" s="11" t="s">
        <v>1505</v>
      </c>
      <c r="E197" s="11" t="n">
        <v>1</v>
      </c>
      <c r="F197" s="11" t="s">
        <v>1497</v>
      </c>
      <c r="G197" s="11" t="s">
        <v>1509</v>
      </c>
      <c r="H197" s="11" t="s">
        <v>1505</v>
      </c>
      <c r="I197" s="11" t="s">
        <v>1494</v>
      </c>
      <c r="J197" s="11" t="s">
        <v>1507</v>
      </c>
      <c r="K197" s="11"/>
    </row>
    <row r="198" customFormat="false" ht="15" hidden="false" customHeight="true" outlineLevel="0" collapsed="false">
      <c r="A198" s="9" t="s">
        <v>1757</v>
      </c>
      <c r="B198" s="9" t="s">
        <v>875</v>
      </c>
      <c r="C198" s="9" t="s">
        <v>876</v>
      </c>
      <c r="D198" s="9" t="s">
        <v>1511</v>
      </c>
      <c r="E198" s="9" t="n">
        <v>1</v>
      </c>
      <c r="F198" s="9" t="s">
        <v>1492</v>
      </c>
      <c r="G198" s="9" t="s">
        <v>457</v>
      </c>
      <c r="H198" s="9" t="s">
        <v>1511</v>
      </c>
      <c r="I198" s="9" t="s">
        <v>1494</v>
      </c>
      <c r="J198" s="9" t="s">
        <v>1495</v>
      </c>
      <c r="K198" s="9"/>
    </row>
    <row r="199" customFormat="false" ht="15" hidden="false" customHeight="true" outlineLevel="0" collapsed="false">
      <c r="A199" s="11" t="s">
        <v>1758</v>
      </c>
      <c r="B199" s="11" t="s">
        <v>875</v>
      </c>
      <c r="C199" s="11" t="s">
        <v>876</v>
      </c>
      <c r="D199" s="11" t="s">
        <v>1511</v>
      </c>
      <c r="E199" s="11" t="n">
        <v>1</v>
      </c>
      <c r="F199" s="11" t="s">
        <v>1497</v>
      </c>
      <c r="G199" s="11" t="s">
        <v>1513</v>
      </c>
      <c r="H199" s="11" t="s">
        <v>1511</v>
      </c>
      <c r="I199" s="11" t="s">
        <v>1494</v>
      </c>
      <c r="J199" s="11" t="s">
        <v>1495</v>
      </c>
      <c r="K199" s="11"/>
    </row>
    <row r="200" customFormat="false" ht="15" hidden="false" customHeight="true" outlineLevel="0" collapsed="false">
      <c r="A200" s="9" t="s">
        <v>1759</v>
      </c>
      <c r="B200" s="9" t="s">
        <v>875</v>
      </c>
      <c r="C200" s="9" t="s">
        <v>876</v>
      </c>
      <c r="D200" s="9" t="s">
        <v>1515</v>
      </c>
      <c r="E200" s="9" t="n">
        <v>1</v>
      </c>
      <c r="F200" s="9" t="s">
        <v>1492</v>
      </c>
      <c r="G200" s="9" t="s">
        <v>1516</v>
      </c>
      <c r="H200" s="9" t="s">
        <v>1515</v>
      </c>
      <c r="I200" s="9" t="s">
        <v>1494</v>
      </c>
      <c r="J200" s="9" t="s">
        <v>1501</v>
      </c>
      <c r="K200" s="9"/>
    </row>
    <row r="201" customFormat="false" ht="15" hidden="false" customHeight="true" outlineLevel="0" collapsed="false">
      <c r="A201" s="11" t="s">
        <v>1760</v>
      </c>
      <c r="B201" s="11" t="s">
        <v>875</v>
      </c>
      <c r="C201" s="11" t="s">
        <v>876</v>
      </c>
      <c r="D201" s="11" t="s">
        <v>1515</v>
      </c>
      <c r="E201" s="11" t="n">
        <v>1</v>
      </c>
      <c r="F201" s="11" t="s">
        <v>1497</v>
      </c>
      <c r="G201" s="11" t="s">
        <v>1518</v>
      </c>
      <c r="H201" s="11" t="s">
        <v>1515</v>
      </c>
      <c r="I201" s="11" t="s">
        <v>1494</v>
      </c>
      <c r="J201" s="11" t="s">
        <v>1501</v>
      </c>
      <c r="K201" s="11"/>
    </row>
    <row r="202" customFormat="false" ht="15" hidden="false" customHeight="true" outlineLevel="0" collapsed="false">
      <c r="A202" s="9" t="s">
        <v>1761</v>
      </c>
      <c r="B202" s="9" t="s">
        <v>875</v>
      </c>
      <c r="C202" s="9" t="s">
        <v>876</v>
      </c>
      <c r="D202" s="9" t="s">
        <v>1359</v>
      </c>
      <c r="E202" s="9" t="n">
        <v>1</v>
      </c>
      <c r="F202" s="9" t="s">
        <v>1492</v>
      </c>
      <c r="G202" s="9" t="s">
        <v>1689</v>
      </c>
      <c r="H202" s="9" t="s">
        <v>1359</v>
      </c>
      <c r="I202" s="9" t="s">
        <v>1494</v>
      </c>
      <c r="J202" s="9" t="s">
        <v>1507</v>
      </c>
      <c r="K202" s="9"/>
    </row>
    <row r="203" customFormat="false" ht="15" hidden="false" customHeight="true" outlineLevel="0" collapsed="false">
      <c r="A203" s="11" t="s">
        <v>1762</v>
      </c>
      <c r="B203" s="11" t="s">
        <v>875</v>
      </c>
      <c r="C203" s="11" t="s">
        <v>876</v>
      </c>
      <c r="D203" s="11" t="s">
        <v>1359</v>
      </c>
      <c r="E203" s="11" t="n">
        <v>1</v>
      </c>
      <c r="F203" s="11" t="s">
        <v>1497</v>
      </c>
      <c r="G203" s="11" t="s">
        <v>1717</v>
      </c>
      <c r="H203" s="11" t="s">
        <v>1359</v>
      </c>
      <c r="I203" s="11" t="s">
        <v>1494</v>
      </c>
      <c r="J203" s="11" t="s">
        <v>1507</v>
      </c>
      <c r="K203" s="11"/>
    </row>
    <row r="204" customFormat="false" ht="15" hidden="false" customHeight="true" outlineLevel="0" collapsed="false">
      <c r="A204" s="9" t="s">
        <v>1763</v>
      </c>
      <c r="B204" s="9" t="s">
        <v>875</v>
      </c>
      <c r="C204" s="9" t="s">
        <v>876</v>
      </c>
      <c r="D204" s="9" t="s">
        <v>1332</v>
      </c>
      <c r="E204" s="9" t="n">
        <v>1</v>
      </c>
      <c r="F204" s="9" t="s">
        <v>1492</v>
      </c>
      <c r="G204" s="9" t="s">
        <v>1520</v>
      </c>
      <c r="H204" s="9" t="s">
        <v>1332</v>
      </c>
      <c r="I204" s="9" t="s">
        <v>1494</v>
      </c>
      <c r="J204" s="9" t="s">
        <v>1495</v>
      </c>
      <c r="K204" s="9"/>
    </row>
    <row r="205" customFormat="false" ht="15" hidden="false" customHeight="true" outlineLevel="0" collapsed="false">
      <c r="A205" s="11" t="s">
        <v>1764</v>
      </c>
      <c r="B205" s="11" t="s">
        <v>875</v>
      </c>
      <c r="C205" s="11" t="s">
        <v>876</v>
      </c>
      <c r="D205" s="11" t="s">
        <v>1332</v>
      </c>
      <c r="E205" s="11" t="n">
        <v>1</v>
      </c>
      <c r="F205" s="11" t="s">
        <v>1497</v>
      </c>
      <c r="G205" s="11" t="s">
        <v>1522</v>
      </c>
      <c r="H205" s="11" t="s">
        <v>1332</v>
      </c>
      <c r="I205" s="11" t="s">
        <v>1494</v>
      </c>
      <c r="J205" s="11" t="s">
        <v>1495</v>
      </c>
      <c r="K205" s="11"/>
    </row>
    <row r="206" customFormat="false" ht="15" hidden="false" customHeight="true" outlineLevel="0" collapsed="false">
      <c r="A206" s="9" t="s">
        <v>1765</v>
      </c>
      <c r="B206" s="9" t="s">
        <v>875</v>
      </c>
      <c r="C206" s="9" t="s">
        <v>876</v>
      </c>
      <c r="D206" s="9" t="s">
        <v>1524</v>
      </c>
      <c r="E206" s="9" t="n">
        <v>1</v>
      </c>
      <c r="F206" s="9" t="s">
        <v>1492</v>
      </c>
      <c r="G206" s="9" t="s">
        <v>472</v>
      </c>
      <c r="H206" s="9" t="s">
        <v>1524</v>
      </c>
      <c r="I206" s="9" t="s">
        <v>1494</v>
      </c>
      <c r="J206" s="9" t="s">
        <v>1501</v>
      </c>
      <c r="K206" s="9"/>
    </row>
    <row r="207" customFormat="false" ht="15" hidden="false" customHeight="true" outlineLevel="0" collapsed="false">
      <c r="A207" s="11" t="s">
        <v>1766</v>
      </c>
      <c r="B207" s="11" t="s">
        <v>875</v>
      </c>
      <c r="C207" s="11" t="s">
        <v>876</v>
      </c>
      <c r="D207" s="11" t="s">
        <v>1524</v>
      </c>
      <c r="E207" s="11" t="n">
        <v>1</v>
      </c>
      <c r="F207" s="11" t="s">
        <v>1497</v>
      </c>
      <c r="G207" s="11" t="s">
        <v>1571</v>
      </c>
      <c r="H207" s="11" t="s">
        <v>1524</v>
      </c>
      <c r="I207" s="11" t="s">
        <v>1494</v>
      </c>
      <c r="J207" s="11" t="s">
        <v>1501</v>
      </c>
      <c r="K207" s="11"/>
    </row>
    <row r="208" customFormat="false" ht="15" hidden="false" customHeight="true" outlineLevel="0" collapsed="false">
      <c r="A208" s="9" t="s">
        <v>1767</v>
      </c>
      <c r="B208" s="9" t="s">
        <v>875</v>
      </c>
      <c r="C208" s="9" t="s">
        <v>876</v>
      </c>
      <c r="D208" s="9" t="s">
        <v>1377</v>
      </c>
      <c r="E208" s="9" t="n">
        <v>1</v>
      </c>
      <c r="F208" s="9" t="s">
        <v>1492</v>
      </c>
      <c r="G208" s="9" t="s">
        <v>1552</v>
      </c>
      <c r="H208" s="9" t="s">
        <v>1377</v>
      </c>
      <c r="I208" s="9" t="s">
        <v>1494</v>
      </c>
      <c r="J208" s="9" t="s">
        <v>1507</v>
      </c>
      <c r="K208" s="9"/>
    </row>
    <row r="209" customFormat="false" ht="15" hidden="false" customHeight="true" outlineLevel="0" collapsed="false">
      <c r="A209" s="11" t="s">
        <v>1768</v>
      </c>
      <c r="B209" s="11" t="s">
        <v>875</v>
      </c>
      <c r="C209" s="11" t="s">
        <v>876</v>
      </c>
      <c r="D209" s="11" t="s">
        <v>1377</v>
      </c>
      <c r="E209" s="11" t="n">
        <v>1</v>
      </c>
      <c r="F209" s="11" t="s">
        <v>1497</v>
      </c>
      <c r="G209" s="11" t="s">
        <v>1574</v>
      </c>
      <c r="H209" s="11" t="s">
        <v>1377</v>
      </c>
      <c r="I209" s="11" t="s">
        <v>1494</v>
      </c>
      <c r="J209" s="11" t="s">
        <v>1507</v>
      </c>
      <c r="K209" s="11"/>
    </row>
    <row r="210" customFormat="false" ht="15" hidden="false" customHeight="true" outlineLevel="0" collapsed="false">
      <c r="A210" s="9" t="s">
        <v>1769</v>
      </c>
      <c r="B210" s="9" t="s">
        <v>875</v>
      </c>
      <c r="C210" s="9" t="s">
        <v>876</v>
      </c>
      <c r="D210" s="9" t="s">
        <v>1355</v>
      </c>
      <c r="E210" s="9" t="n">
        <v>1</v>
      </c>
      <c r="F210" s="9" t="s">
        <v>1492</v>
      </c>
      <c r="G210" s="9" t="s">
        <v>1537</v>
      </c>
      <c r="H210" s="9" t="s">
        <v>1355</v>
      </c>
      <c r="I210" s="9" t="s">
        <v>1494</v>
      </c>
      <c r="J210" s="9" t="s">
        <v>1495</v>
      </c>
      <c r="K210" s="9"/>
    </row>
    <row r="211" customFormat="false" ht="15" hidden="false" customHeight="true" outlineLevel="0" collapsed="false">
      <c r="A211" s="11" t="s">
        <v>1770</v>
      </c>
      <c r="B211" s="11" t="s">
        <v>875</v>
      </c>
      <c r="C211" s="11" t="s">
        <v>876</v>
      </c>
      <c r="D211" s="11" t="s">
        <v>1355</v>
      </c>
      <c r="E211" s="11" t="n">
        <v>1</v>
      </c>
      <c r="F211" s="11" t="s">
        <v>1497</v>
      </c>
      <c r="G211" s="11" t="s">
        <v>1539</v>
      </c>
      <c r="H211" s="11" t="s">
        <v>1355</v>
      </c>
      <c r="I211" s="11" t="s">
        <v>1494</v>
      </c>
      <c r="J211" s="11" t="s">
        <v>1495</v>
      </c>
      <c r="K211" s="11"/>
    </row>
    <row r="212" customFormat="false" ht="15" hidden="false" customHeight="true" outlineLevel="0" collapsed="false">
      <c r="A212" s="9" t="s">
        <v>1771</v>
      </c>
      <c r="B212" s="9" t="s">
        <v>875</v>
      </c>
      <c r="C212" s="9" t="s">
        <v>876</v>
      </c>
      <c r="D212" s="9" t="s">
        <v>1459</v>
      </c>
      <c r="E212" s="9" t="n">
        <v>1</v>
      </c>
      <c r="F212" s="9" t="s">
        <v>1492</v>
      </c>
      <c r="G212" s="9" t="s">
        <v>1541</v>
      </c>
      <c r="H212" s="9" t="s">
        <v>1459</v>
      </c>
      <c r="I212" s="9" t="s">
        <v>1494</v>
      </c>
      <c r="J212" s="9" t="s">
        <v>1501</v>
      </c>
      <c r="K212" s="9"/>
    </row>
    <row r="213" customFormat="false" ht="15" hidden="false" customHeight="true" outlineLevel="0" collapsed="false">
      <c r="A213" s="11" t="s">
        <v>1772</v>
      </c>
      <c r="B213" s="11" t="s">
        <v>875</v>
      </c>
      <c r="C213" s="11" t="s">
        <v>876</v>
      </c>
      <c r="D213" s="11" t="s">
        <v>1459</v>
      </c>
      <c r="E213" s="11" t="n">
        <v>1</v>
      </c>
      <c r="F213" s="11" t="s">
        <v>1497</v>
      </c>
      <c r="G213" s="11" t="s">
        <v>1543</v>
      </c>
      <c r="H213" s="11" t="s">
        <v>1459</v>
      </c>
      <c r="I213" s="11" t="s">
        <v>1494</v>
      </c>
      <c r="J213" s="11" t="s">
        <v>1501</v>
      </c>
      <c r="K213" s="11"/>
    </row>
    <row r="214" customFormat="false" ht="15" hidden="false" customHeight="true" outlineLevel="0" collapsed="false">
      <c r="A214" s="9" t="s">
        <v>1773</v>
      </c>
      <c r="B214" s="9" t="s">
        <v>875</v>
      </c>
      <c r="C214" s="9" t="s">
        <v>876</v>
      </c>
      <c r="D214" s="9" t="s">
        <v>1545</v>
      </c>
      <c r="E214" s="9" t="n">
        <v>1</v>
      </c>
      <c r="F214" s="9" t="s">
        <v>1492</v>
      </c>
      <c r="G214" s="9" t="s">
        <v>1546</v>
      </c>
      <c r="H214" s="9" t="s">
        <v>1545</v>
      </c>
      <c r="I214" s="9" t="s">
        <v>1494</v>
      </c>
      <c r="J214" s="9" t="s">
        <v>1507</v>
      </c>
      <c r="K214" s="9"/>
    </row>
    <row r="215" customFormat="false" ht="15" hidden="false" customHeight="true" outlineLevel="0" collapsed="false">
      <c r="A215" s="11" t="s">
        <v>1774</v>
      </c>
      <c r="B215" s="11" t="s">
        <v>875</v>
      </c>
      <c r="C215" s="11" t="s">
        <v>876</v>
      </c>
      <c r="D215" s="11" t="s">
        <v>1545</v>
      </c>
      <c r="E215" s="11" t="n">
        <v>1</v>
      </c>
      <c r="F215" s="11" t="s">
        <v>1497</v>
      </c>
      <c r="G215" s="11" t="s">
        <v>1548</v>
      </c>
      <c r="H215" s="11" t="s">
        <v>1545</v>
      </c>
      <c r="I215" s="11" t="s">
        <v>1494</v>
      </c>
      <c r="J215" s="11" t="s">
        <v>1507</v>
      </c>
      <c r="K215" s="11"/>
    </row>
    <row r="216" customFormat="false" ht="15" hidden="false" customHeight="true" outlineLevel="0" collapsed="false">
      <c r="A216" s="9" t="s">
        <v>1775</v>
      </c>
      <c r="B216" s="9" t="s">
        <v>875</v>
      </c>
      <c r="C216" s="9" t="s">
        <v>876</v>
      </c>
      <c r="D216" s="9" t="s">
        <v>1409</v>
      </c>
      <c r="E216" s="9" t="n">
        <v>1</v>
      </c>
      <c r="F216" s="9" t="s">
        <v>1492</v>
      </c>
      <c r="G216" s="9" t="s">
        <v>1493</v>
      </c>
      <c r="H216" s="9" t="s">
        <v>1409</v>
      </c>
      <c r="I216" s="9" t="s">
        <v>1494</v>
      </c>
      <c r="J216" s="9" t="s">
        <v>1495</v>
      </c>
      <c r="K216" s="9"/>
    </row>
    <row r="217" customFormat="false" ht="15" hidden="false" customHeight="true" outlineLevel="0" collapsed="false">
      <c r="A217" s="11" t="s">
        <v>1776</v>
      </c>
      <c r="B217" s="11" t="s">
        <v>875</v>
      </c>
      <c r="C217" s="11" t="s">
        <v>876</v>
      </c>
      <c r="D217" s="11" t="s">
        <v>1409</v>
      </c>
      <c r="E217" s="11" t="n">
        <v>1</v>
      </c>
      <c r="F217" s="11" t="s">
        <v>1497</v>
      </c>
      <c r="G217" s="11" t="s">
        <v>1777</v>
      </c>
      <c r="H217" s="11" t="s">
        <v>1409</v>
      </c>
      <c r="I217" s="11" t="s">
        <v>1494</v>
      </c>
      <c r="J217" s="11" t="s">
        <v>1495</v>
      </c>
      <c r="K217" s="11"/>
    </row>
    <row r="218" customFormat="false" ht="15" hidden="false" customHeight="true" outlineLevel="0" collapsed="false">
      <c r="A218" s="9" t="s">
        <v>1778</v>
      </c>
      <c r="B218" s="9" t="s">
        <v>875</v>
      </c>
      <c r="C218" s="9" t="s">
        <v>876</v>
      </c>
      <c r="D218" s="9" t="s">
        <v>1337</v>
      </c>
      <c r="E218" s="9" t="n">
        <v>1</v>
      </c>
      <c r="F218" s="9" t="s">
        <v>1492</v>
      </c>
      <c r="G218" s="9" t="s">
        <v>457</v>
      </c>
      <c r="H218" s="9" t="s">
        <v>1337</v>
      </c>
      <c r="I218" s="9" t="s">
        <v>1494</v>
      </c>
      <c r="J218" s="9" t="s">
        <v>1501</v>
      </c>
      <c r="K218" s="9"/>
    </row>
    <row r="219" customFormat="false" ht="15" hidden="false" customHeight="true" outlineLevel="0" collapsed="false">
      <c r="A219" s="11" t="s">
        <v>1779</v>
      </c>
      <c r="B219" s="11" t="s">
        <v>875</v>
      </c>
      <c r="C219" s="11" t="s">
        <v>876</v>
      </c>
      <c r="D219" s="11" t="s">
        <v>1337</v>
      </c>
      <c r="E219" s="11" t="n">
        <v>1</v>
      </c>
      <c r="F219" s="11" t="s">
        <v>1497</v>
      </c>
      <c r="G219" s="11" t="s">
        <v>1535</v>
      </c>
      <c r="H219" s="11" t="s">
        <v>1337</v>
      </c>
      <c r="I219" s="11" t="s">
        <v>1494</v>
      </c>
      <c r="J219" s="11" t="s">
        <v>1501</v>
      </c>
      <c r="K219" s="11"/>
    </row>
    <row r="220" customFormat="false" ht="15" hidden="false" customHeight="true" outlineLevel="0" collapsed="false">
      <c r="A220" s="9" t="s">
        <v>1780</v>
      </c>
      <c r="B220" s="9" t="s">
        <v>875</v>
      </c>
      <c r="C220" s="9" t="s">
        <v>876</v>
      </c>
      <c r="D220" s="9" t="s">
        <v>531</v>
      </c>
      <c r="E220" s="9" t="n">
        <v>1</v>
      </c>
      <c r="F220" s="9" t="s">
        <v>1492</v>
      </c>
      <c r="G220" s="9" t="s">
        <v>1552</v>
      </c>
      <c r="H220" s="9" t="s">
        <v>531</v>
      </c>
      <c r="I220" s="9" t="s">
        <v>1494</v>
      </c>
      <c r="J220" s="9" t="s">
        <v>1507</v>
      </c>
      <c r="K220" s="9"/>
    </row>
    <row r="221" customFormat="false" ht="15" hidden="false" customHeight="true" outlineLevel="0" collapsed="false">
      <c r="A221" s="11" t="s">
        <v>1781</v>
      </c>
      <c r="B221" s="11" t="s">
        <v>875</v>
      </c>
      <c r="C221" s="11" t="s">
        <v>876</v>
      </c>
      <c r="D221" s="11" t="s">
        <v>531</v>
      </c>
      <c r="E221" s="11" t="n">
        <v>1</v>
      </c>
      <c r="F221" s="11" t="s">
        <v>1497</v>
      </c>
      <c r="G221" s="11" t="s">
        <v>1498</v>
      </c>
      <c r="H221" s="11" t="s">
        <v>531</v>
      </c>
      <c r="I221" s="11" t="s">
        <v>1494</v>
      </c>
      <c r="J221" s="11" t="s">
        <v>1507</v>
      </c>
      <c r="K221" s="11"/>
    </row>
    <row r="222" customFormat="false" ht="15" hidden="false" customHeight="true" outlineLevel="0" collapsed="false">
      <c r="A222" s="9" t="s">
        <v>1782</v>
      </c>
      <c r="B222" s="9" t="s">
        <v>894</v>
      </c>
      <c r="C222" s="9" t="s">
        <v>895</v>
      </c>
      <c r="D222" s="9" t="s">
        <v>1151</v>
      </c>
      <c r="E222" s="9" t="n">
        <v>1</v>
      </c>
      <c r="F222" s="9" t="s">
        <v>1492</v>
      </c>
      <c r="G222" s="9" t="s">
        <v>1493</v>
      </c>
      <c r="H222" s="9" t="s">
        <v>1151</v>
      </c>
      <c r="I222" s="9" t="s">
        <v>1494</v>
      </c>
      <c r="J222" s="9" t="s">
        <v>1495</v>
      </c>
      <c r="K222" s="9"/>
    </row>
    <row r="223" customFormat="false" ht="15" hidden="false" customHeight="true" outlineLevel="0" collapsed="false">
      <c r="A223" s="11" t="s">
        <v>1783</v>
      </c>
      <c r="B223" s="11" t="s">
        <v>894</v>
      </c>
      <c r="C223" s="11" t="s">
        <v>895</v>
      </c>
      <c r="D223" s="11" t="s">
        <v>1151</v>
      </c>
      <c r="E223" s="11" t="n">
        <v>1</v>
      </c>
      <c r="F223" s="11" t="s">
        <v>1497</v>
      </c>
      <c r="G223" s="11" t="s">
        <v>1498</v>
      </c>
      <c r="H223" s="11" t="s">
        <v>1151</v>
      </c>
      <c r="I223" s="11" t="s">
        <v>1494</v>
      </c>
      <c r="J223" s="11" t="s">
        <v>1495</v>
      </c>
      <c r="K223" s="11"/>
    </row>
    <row r="224" customFormat="false" ht="15" hidden="false" customHeight="true" outlineLevel="0" collapsed="false">
      <c r="A224" s="9" t="s">
        <v>1784</v>
      </c>
      <c r="B224" s="9" t="s">
        <v>894</v>
      </c>
      <c r="C224" s="9" t="s">
        <v>895</v>
      </c>
      <c r="D224" s="9" t="s">
        <v>593</v>
      </c>
      <c r="E224" s="9" t="n">
        <v>1</v>
      </c>
      <c r="F224" s="9" t="s">
        <v>1492</v>
      </c>
      <c r="G224" s="9" t="s">
        <v>1500</v>
      </c>
      <c r="H224" s="9" t="s">
        <v>593</v>
      </c>
      <c r="I224" s="9" t="s">
        <v>1494</v>
      </c>
      <c r="J224" s="9" t="s">
        <v>1501</v>
      </c>
      <c r="K224" s="9"/>
    </row>
    <row r="225" customFormat="false" ht="15" hidden="false" customHeight="true" outlineLevel="0" collapsed="false">
      <c r="A225" s="11" t="s">
        <v>1785</v>
      </c>
      <c r="B225" s="11" t="s">
        <v>894</v>
      </c>
      <c r="C225" s="11" t="s">
        <v>895</v>
      </c>
      <c r="D225" s="11" t="s">
        <v>593</v>
      </c>
      <c r="E225" s="11" t="n">
        <v>1</v>
      </c>
      <c r="F225" s="11" t="s">
        <v>1497</v>
      </c>
      <c r="G225" s="11" t="s">
        <v>1503</v>
      </c>
      <c r="H225" s="11" t="s">
        <v>593</v>
      </c>
      <c r="I225" s="11" t="s">
        <v>1494</v>
      </c>
      <c r="J225" s="11" t="s">
        <v>1501</v>
      </c>
      <c r="K225" s="11"/>
    </row>
    <row r="226" customFormat="false" ht="15" hidden="false" customHeight="true" outlineLevel="0" collapsed="false">
      <c r="A226" s="9" t="s">
        <v>1786</v>
      </c>
      <c r="B226" s="9" t="s">
        <v>894</v>
      </c>
      <c r="C226" s="9" t="s">
        <v>895</v>
      </c>
      <c r="D226" s="9" t="s">
        <v>1505</v>
      </c>
      <c r="E226" s="9" t="n">
        <v>1</v>
      </c>
      <c r="F226" s="9" t="s">
        <v>1492</v>
      </c>
      <c r="G226" s="9" t="s">
        <v>1506</v>
      </c>
      <c r="H226" s="9" t="s">
        <v>1505</v>
      </c>
      <c r="I226" s="9" t="s">
        <v>1494</v>
      </c>
      <c r="J226" s="9" t="s">
        <v>1507</v>
      </c>
      <c r="K226" s="9"/>
    </row>
    <row r="227" customFormat="false" ht="15" hidden="false" customHeight="true" outlineLevel="0" collapsed="false">
      <c r="A227" s="11" t="s">
        <v>1787</v>
      </c>
      <c r="B227" s="11" t="s">
        <v>894</v>
      </c>
      <c r="C227" s="11" t="s">
        <v>895</v>
      </c>
      <c r="D227" s="11" t="s">
        <v>1505</v>
      </c>
      <c r="E227" s="11" t="n">
        <v>1</v>
      </c>
      <c r="F227" s="11" t="s">
        <v>1497</v>
      </c>
      <c r="G227" s="11" t="s">
        <v>1509</v>
      </c>
      <c r="H227" s="11" t="s">
        <v>1505</v>
      </c>
      <c r="I227" s="11" t="s">
        <v>1494</v>
      </c>
      <c r="J227" s="11" t="s">
        <v>1507</v>
      </c>
      <c r="K227" s="11"/>
    </row>
    <row r="228" customFormat="false" ht="15" hidden="false" customHeight="true" outlineLevel="0" collapsed="false">
      <c r="A228" s="9" t="s">
        <v>1788</v>
      </c>
      <c r="B228" s="9" t="s">
        <v>894</v>
      </c>
      <c r="C228" s="9" t="s">
        <v>895</v>
      </c>
      <c r="D228" s="9" t="s">
        <v>1511</v>
      </c>
      <c r="E228" s="9" t="n">
        <v>1</v>
      </c>
      <c r="F228" s="9" t="s">
        <v>1492</v>
      </c>
      <c r="G228" s="9" t="s">
        <v>457</v>
      </c>
      <c r="H228" s="9" t="s">
        <v>1511</v>
      </c>
      <c r="I228" s="9" t="s">
        <v>1494</v>
      </c>
      <c r="J228" s="9" t="s">
        <v>1495</v>
      </c>
      <c r="K228" s="9"/>
    </row>
    <row r="229" customFormat="false" ht="15" hidden="false" customHeight="true" outlineLevel="0" collapsed="false">
      <c r="A229" s="11" t="s">
        <v>1789</v>
      </c>
      <c r="B229" s="11" t="s">
        <v>894</v>
      </c>
      <c r="C229" s="11" t="s">
        <v>895</v>
      </c>
      <c r="D229" s="11" t="s">
        <v>1511</v>
      </c>
      <c r="E229" s="11" t="n">
        <v>1</v>
      </c>
      <c r="F229" s="11" t="s">
        <v>1497</v>
      </c>
      <c r="G229" s="11" t="s">
        <v>1513</v>
      </c>
      <c r="H229" s="11" t="s">
        <v>1511</v>
      </c>
      <c r="I229" s="11" t="s">
        <v>1494</v>
      </c>
      <c r="J229" s="11" t="s">
        <v>1495</v>
      </c>
      <c r="K229" s="11"/>
    </row>
    <row r="230" customFormat="false" ht="15" hidden="false" customHeight="true" outlineLevel="0" collapsed="false">
      <c r="A230" s="9" t="s">
        <v>1790</v>
      </c>
      <c r="B230" s="9" t="s">
        <v>894</v>
      </c>
      <c r="C230" s="9" t="s">
        <v>895</v>
      </c>
      <c r="D230" s="9" t="s">
        <v>1515</v>
      </c>
      <c r="E230" s="9" t="n">
        <v>1</v>
      </c>
      <c r="F230" s="9" t="s">
        <v>1492</v>
      </c>
      <c r="G230" s="9" t="s">
        <v>1516</v>
      </c>
      <c r="H230" s="9" t="s">
        <v>1515</v>
      </c>
      <c r="I230" s="9" t="s">
        <v>1494</v>
      </c>
      <c r="J230" s="9" t="s">
        <v>1501</v>
      </c>
      <c r="K230" s="9"/>
    </row>
    <row r="231" customFormat="false" ht="15" hidden="false" customHeight="true" outlineLevel="0" collapsed="false">
      <c r="A231" s="11" t="s">
        <v>1791</v>
      </c>
      <c r="B231" s="11" t="s">
        <v>894</v>
      </c>
      <c r="C231" s="11" t="s">
        <v>895</v>
      </c>
      <c r="D231" s="11" t="s">
        <v>1515</v>
      </c>
      <c r="E231" s="11" t="n">
        <v>1</v>
      </c>
      <c r="F231" s="11" t="s">
        <v>1497</v>
      </c>
      <c r="G231" s="11" t="s">
        <v>1518</v>
      </c>
      <c r="H231" s="11" t="s">
        <v>1515</v>
      </c>
      <c r="I231" s="11" t="s">
        <v>1494</v>
      </c>
      <c r="J231" s="11" t="s">
        <v>1501</v>
      </c>
      <c r="K231" s="11"/>
    </row>
    <row r="232" customFormat="false" ht="15" hidden="false" customHeight="true" outlineLevel="0" collapsed="false">
      <c r="A232" s="9" t="s">
        <v>1792</v>
      </c>
      <c r="B232" s="9" t="s">
        <v>894</v>
      </c>
      <c r="C232" s="9" t="s">
        <v>895</v>
      </c>
      <c r="D232" s="9" t="s">
        <v>1359</v>
      </c>
      <c r="E232" s="9" t="n">
        <v>1</v>
      </c>
      <c r="F232" s="9" t="s">
        <v>1492</v>
      </c>
      <c r="G232" s="9" t="s">
        <v>1689</v>
      </c>
      <c r="H232" s="9" t="s">
        <v>1359</v>
      </c>
      <c r="I232" s="9" t="s">
        <v>1494</v>
      </c>
      <c r="J232" s="9" t="s">
        <v>1507</v>
      </c>
      <c r="K232" s="9"/>
    </row>
    <row r="233" customFormat="false" ht="15" hidden="false" customHeight="true" outlineLevel="0" collapsed="false">
      <c r="A233" s="11" t="s">
        <v>1793</v>
      </c>
      <c r="B233" s="11" t="s">
        <v>894</v>
      </c>
      <c r="C233" s="11" t="s">
        <v>895</v>
      </c>
      <c r="D233" s="11" t="s">
        <v>1359</v>
      </c>
      <c r="E233" s="11" t="n">
        <v>1</v>
      </c>
      <c r="F233" s="11" t="s">
        <v>1497</v>
      </c>
      <c r="G233" s="11" t="s">
        <v>1503</v>
      </c>
      <c r="H233" s="11" t="s">
        <v>1359</v>
      </c>
      <c r="I233" s="11" t="s">
        <v>1494</v>
      </c>
      <c r="J233" s="11" t="s">
        <v>1507</v>
      </c>
      <c r="K233" s="11"/>
    </row>
    <row r="234" customFormat="false" ht="15" hidden="false" customHeight="true" outlineLevel="0" collapsed="false">
      <c r="A234" s="9" t="s">
        <v>1794</v>
      </c>
      <c r="B234" s="9" t="s">
        <v>894</v>
      </c>
      <c r="C234" s="9" t="s">
        <v>895</v>
      </c>
      <c r="D234" s="9" t="s">
        <v>1332</v>
      </c>
      <c r="E234" s="9" t="n">
        <v>1</v>
      </c>
      <c r="F234" s="9" t="s">
        <v>1492</v>
      </c>
      <c r="G234" s="9" t="s">
        <v>1520</v>
      </c>
      <c r="H234" s="9" t="s">
        <v>1332</v>
      </c>
      <c r="I234" s="9" t="s">
        <v>1494</v>
      </c>
      <c r="J234" s="9" t="s">
        <v>1495</v>
      </c>
      <c r="K234" s="9"/>
    </row>
    <row r="235" customFormat="false" ht="15" hidden="false" customHeight="true" outlineLevel="0" collapsed="false">
      <c r="A235" s="11" t="s">
        <v>1795</v>
      </c>
      <c r="B235" s="11" t="s">
        <v>894</v>
      </c>
      <c r="C235" s="11" t="s">
        <v>895</v>
      </c>
      <c r="D235" s="11" t="s">
        <v>1332</v>
      </c>
      <c r="E235" s="11" t="n">
        <v>1</v>
      </c>
      <c r="F235" s="11" t="s">
        <v>1497</v>
      </c>
      <c r="G235" s="11" t="s">
        <v>1522</v>
      </c>
      <c r="H235" s="11" t="s">
        <v>1332</v>
      </c>
      <c r="I235" s="11" t="s">
        <v>1494</v>
      </c>
      <c r="J235" s="11" t="s">
        <v>1495</v>
      </c>
      <c r="K235" s="11"/>
    </row>
    <row r="236" customFormat="false" ht="15" hidden="false" customHeight="true" outlineLevel="0" collapsed="false">
      <c r="A236" s="9" t="s">
        <v>1796</v>
      </c>
      <c r="B236" s="9" t="s">
        <v>894</v>
      </c>
      <c r="C236" s="9" t="s">
        <v>895</v>
      </c>
      <c r="D236" s="9" t="s">
        <v>1524</v>
      </c>
      <c r="E236" s="9" t="n">
        <v>1</v>
      </c>
      <c r="F236" s="9" t="s">
        <v>1492</v>
      </c>
      <c r="G236" s="9" t="s">
        <v>472</v>
      </c>
      <c r="H236" s="9" t="s">
        <v>1524</v>
      </c>
      <c r="I236" s="9" t="s">
        <v>1494</v>
      </c>
      <c r="J236" s="9" t="s">
        <v>1501</v>
      </c>
      <c r="K236" s="9"/>
    </row>
    <row r="237" customFormat="false" ht="15" hidden="false" customHeight="true" outlineLevel="0" collapsed="false">
      <c r="A237" s="11" t="s">
        <v>1797</v>
      </c>
      <c r="B237" s="11" t="s">
        <v>894</v>
      </c>
      <c r="C237" s="11" t="s">
        <v>895</v>
      </c>
      <c r="D237" s="11" t="s">
        <v>1524</v>
      </c>
      <c r="E237" s="11" t="n">
        <v>1</v>
      </c>
      <c r="F237" s="11" t="s">
        <v>1497</v>
      </c>
      <c r="G237" s="11" t="s">
        <v>1571</v>
      </c>
      <c r="H237" s="11" t="s">
        <v>1524</v>
      </c>
      <c r="I237" s="11" t="s">
        <v>1494</v>
      </c>
      <c r="J237" s="11" t="s">
        <v>1501</v>
      </c>
      <c r="K237" s="11"/>
    </row>
    <row r="238" customFormat="false" ht="15" hidden="false" customHeight="true" outlineLevel="0" collapsed="false">
      <c r="A238" s="9" t="s">
        <v>1798</v>
      </c>
      <c r="B238" s="9" t="s">
        <v>894</v>
      </c>
      <c r="C238" s="9" t="s">
        <v>895</v>
      </c>
      <c r="D238" s="9" t="s">
        <v>1377</v>
      </c>
      <c r="E238" s="9" t="n">
        <v>1</v>
      </c>
      <c r="F238" s="9" t="s">
        <v>1492</v>
      </c>
      <c r="G238" s="9" t="s">
        <v>1552</v>
      </c>
      <c r="H238" s="9" t="s">
        <v>1377</v>
      </c>
      <c r="I238" s="9" t="s">
        <v>1494</v>
      </c>
      <c r="J238" s="9" t="s">
        <v>1507</v>
      </c>
      <c r="K238" s="9"/>
    </row>
    <row r="239" customFormat="false" ht="15" hidden="false" customHeight="true" outlineLevel="0" collapsed="false">
      <c r="A239" s="11" t="s">
        <v>1799</v>
      </c>
      <c r="B239" s="11" t="s">
        <v>894</v>
      </c>
      <c r="C239" s="11" t="s">
        <v>895</v>
      </c>
      <c r="D239" s="11" t="s">
        <v>1377</v>
      </c>
      <c r="E239" s="11" t="n">
        <v>1</v>
      </c>
      <c r="F239" s="11" t="s">
        <v>1497</v>
      </c>
      <c r="G239" s="11" t="s">
        <v>1574</v>
      </c>
      <c r="H239" s="11" t="s">
        <v>1377</v>
      </c>
      <c r="I239" s="11" t="s">
        <v>1494</v>
      </c>
      <c r="J239" s="11" t="s">
        <v>1507</v>
      </c>
      <c r="K239" s="11"/>
    </row>
    <row r="240" customFormat="false" ht="15" hidden="false" customHeight="true" outlineLevel="0" collapsed="false">
      <c r="A240" s="9" t="s">
        <v>1800</v>
      </c>
      <c r="B240" s="9" t="s">
        <v>894</v>
      </c>
      <c r="C240" s="9" t="s">
        <v>895</v>
      </c>
      <c r="D240" s="9" t="s">
        <v>1355</v>
      </c>
      <c r="E240" s="9" t="n">
        <v>1</v>
      </c>
      <c r="F240" s="9" t="s">
        <v>1492</v>
      </c>
      <c r="G240" s="9" t="s">
        <v>1537</v>
      </c>
      <c r="H240" s="9" t="s">
        <v>1355</v>
      </c>
      <c r="I240" s="9" t="s">
        <v>1494</v>
      </c>
      <c r="J240" s="9" t="s">
        <v>1495</v>
      </c>
      <c r="K240" s="9"/>
    </row>
    <row r="241" customFormat="false" ht="15" hidden="false" customHeight="true" outlineLevel="0" collapsed="false">
      <c r="A241" s="11" t="s">
        <v>1801</v>
      </c>
      <c r="B241" s="11" t="s">
        <v>894</v>
      </c>
      <c r="C241" s="11" t="s">
        <v>895</v>
      </c>
      <c r="D241" s="11" t="s">
        <v>1355</v>
      </c>
      <c r="E241" s="11" t="n">
        <v>1</v>
      </c>
      <c r="F241" s="11" t="s">
        <v>1497</v>
      </c>
      <c r="G241" s="11" t="s">
        <v>1539</v>
      </c>
      <c r="H241" s="11" t="s">
        <v>1355</v>
      </c>
      <c r="I241" s="11" t="s">
        <v>1494</v>
      </c>
      <c r="J241" s="11" t="s">
        <v>1495</v>
      </c>
      <c r="K241" s="11"/>
    </row>
    <row r="242" customFormat="false" ht="15" hidden="false" customHeight="true" outlineLevel="0" collapsed="false">
      <c r="A242" s="9" t="s">
        <v>1802</v>
      </c>
      <c r="B242" s="9" t="s">
        <v>894</v>
      </c>
      <c r="C242" s="9" t="s">
        <v>895</v>
      </c>
      <c r="D242" s="9" t="s">
        <v>1459</v>
      </c>
      <c r="E242" s="9" t="n">
        <v>1</v>
      </c>
      <c r="F242" s="9" t="s">
        <v>1492</v>
      </c>
      <c r="G242" s="9" t="s">
        <v>1541</v>
      </c>
      <c r="H242" s="9" t="s">
        <v>1459</v>
      </c>
      <c r="I242" s="9" t="s">
        <v>1494</v>
      </c>
      <c r="J242" s="9" t="s">
        <v>1501</v>
      </c>
      <c r="K242" s="9"/>
    </row>
    <row r="243" customFormat="false" ht="15" hidden="false" customHeight="true" outlineLevel="0" collapsed="false">
      <c r="A243" s="11" t="s">
        <v>1803</v>
      </c>
      <c r="B243" s="11" t="s">
        <v>894</v>
      </c>
      <c r="C243" s="11" t="s">
        <v>895</v>
      </c>
      <c r="D243" s="11" t="s">
        <v>1459</v>
      </c>
      <c r="E243" s="11" t="n">
        <v>1</v>
      </c>
      <c r="F243" s="11" t="s">
        <v>1497</v>
      </c>
      <c r="G243" s="11" t="s">
        <v>1543</v>
      </c>
      <c r="H243" s="11" t="s">
        <v>1459</v>
      </c>
      <c r="I243" s="11" t="s">
        <v>1494</v>
      </c>
      <c r="J243" s="11" t="s">
        <v>1501</v>
      </c>
      <c r="K243" s="11"/>
    </row>
    <row r="244" customFormat="false" ht="15" hidden="false" customHeight="true" outlineLevel="0" collapsed="false">
      <c r="A244" s="9" t="s">
        <v>1804</v>
      </c>
      <c r="B244" s="9" t="s">
        <v>894</v>
      </c>
      <c r="C244" s="9" t="s">
        <v>895</v>
      </c>
      <c r="D244" s="9" t="s">
        <v>1545</v>
      </c>
      <c r="E244" s="9" t="n">
        <v>1</v>
      </c>
      <c r="F244" s="9" t="s">
        <v>1492</v>
      </c>
      <c r="G244" s="9" t="s">
        <v>1546</v>
      </c>
      <c r="H244" s="9" t="s">
        <v>1545</v>
      </c>
      <c r="I244" s="9" t="s">
        <v>1494</v>
      </c>
      <c r="J244" s="9" t="s">
        <v>1507</v>
      </c>
      <c r="K244" s="9"/>
    </row>
    <row r="245" customFormat="false" ht="15" hidden="false" customHeight="true" outlineLevel="0" collapsed="false">
      <c r="A245" s="11" t="s">
        <v>1805</v>
      </c>
      <c r="B245" s="11" t="s">
        <v>894</v>
      </c>
      <c r="C245" s="11" t="s">
        <v>895</v>
      </c>
      <c r="D245" s="11" t="s">
        <v>1545</v>
      </c>
      <c r="E245" s="11" t="n">
        <v>1</v>
      </c>
      <c r="F245" s="11" t="s">
        <v>1497</v>
      </c>
      <c r="G245" s="11" t="s">
        <v>1548</v>
      </c>
      <c r="H245" s="11" t="s">
        <v>1545</v>
      </c>
      <c r="I245" s="11" t="s">
        <v>1494</v>
      </c>
      <c r="J245" s="11" t="s">
        <v>1507</v>
      </c>
      <c r="K245" s="11"/>
    </row>
    <row r="246" customFormat="false" ht="15" hidden="false" customHeight="true" outlineLevel="0" collapsed="false">
      <c r="A246" s="9" t="s">
        <v>1806</v>
      </c>
      <c r="B246" s="9" t="s">
        <v>894</v>
      </c>
      <c r="C246" s="9" t="s">
        <v>895</v>
      </c>
      <c r="D246" s="9" t="s">
        <v>1337</v>
      </c>
      <c r="E246" s="9" t="n">
        <v>1</v>
      </c>
      <c r="F246" s="9" t="s">
        <v>1492</v>
      </c>
      <c r="G246" s="9" t="s">
        <v>457</v>
      </c>
      <c r="H246" s="9" t="s">
        <v>1337</v>
      </c>
      <c r="I246" s="9" t="s">
        <v>1494</v>
      </c>
      <c r="J246" s="9" t="s">
        <v>1501</v>
      </c>
      <c r="K246" s="9"/>
    </row>
    <row r="247" customFormat="false" ht="15" hidden="false" customHeight="true" outlineLevel="0" collapsed="false">
      <c r="A247" s="11" t="s">
        <v>1807</v>
      </c>
      <c r="B247" s="11" t="s">
        <v>894</v>
      </c>
      <c r="C247" s="11" t="s">
        <v>895</v>
      </c>
      <c r="D247" s="11" t="s">
        <v>1337</v>
      </c>
      <c r="E247" s="11" t="n">
        <v>1</v>
      </c>
      <c r="F247" s="11" t="s">
        <v>1497</v>
      </c>
      <c r="G247" s="11" t="s">
        <v>1535</v>
      </c>
      <c r="H247" s="11" t="s">
        <v>1337</v>
      </c>
      <c r="I247" s="11" t="s">
        <v>1494</v>
      </c>
      <c r="J247" s="11" t="s">
        <v>1501</v>
      </c>
      <c r="K247" s="11"/>
    </row>
    <row r="248" customFormat="false" ht="15" hidden="false" customHeight="true" outlineLevel="0" collapsed="false">
      <c r="A248" s="9" t="s">
        <v>1808</v>
      </c>
      <c r="B248" s="9" t="s">
        <v>894</v>
      </c>
      <c r="C248" s="9" t="s">
        <v>895</v>
      </c>
      <c r="D248" s="9" t="s">
        <v>531</v>
      </c>
      <c r="E248" s="9" t="n">
        <v>1</v>
      </c>
      <c r="F248" s="9" t="s">
        <v>1492</v>
      </c>
      <c r="G248" s="9" t="s">
        <v>1552</v>
      </c>
      <c r="H248" s="9" t="s">
        <v>531</v>
      </c>
      <c r="I248" s="9" t="s">
        <v>1494</v>
      </c>
      <c r="J248" s="9" t="s">
        <v>1507</v>
      </c>
      <c r="K248" s="9"/>
    </row>
    <row r="249" customFormat="false" ht="15" hidden="false" customHeight="true" outlineLevel="0" collapsed="false">
      <c r="A249" s="11" t="s">
        <v>1809</v>
      </c>
      <c r="B249" s="11" t="s">
        <v>894</v>
      </c>
      <c r="C249" s="11" t="s">
        <v>895</v>
      </c>
      <c r="D249" s="11" t="s">
        <v>531</v>
      </c>
      <c r="E249" s="11" t="n">
        <v>1</v>
      </c>
      <c r="F249" s="11" t="s">
        <v>1497</v>
      </c>
      <c r="G249" s="11" t="s">
        <v>1498</v>
      </c>
      <c r="H249" s="11" t="s">
        <v>531</v>
      </c>
      <c r="I249" s="11" t="s">
        <v>1494</v>
      </c>
      <c r="J249" s="11" t="s">
        <v>1507</v>
      </c>
      <c r="K249" s="11"/>
    </row>
    <row r="250" customFormat="false" ht="15" hidden="false" customHeight="true" outlineLevel="0" collapsed="false">
      <c r="A250" s="9" t="s">
        <v>1810</v>
      </c>
      <c r="B250" s="9" t="s">
        <v>914</v>
      </c>
      <c r="C250" s="9" t="s">
        <v>915</v>
      </c>
      <c r="D250" s="9" t="s">
        <v>1151</v>
      </c>
      <c r="E250" s="9" t="n">
        <v>1</v>
      </c>
      <c r="F250" s="9" t="s">
        <v>1492</v>
      </c>
      <c r="G250" s="9" t="s">
        <v>1493</v>
      </c>
      <c r="H250" s="9" t="s">
        <v>1151</v>
      </c>
      <c r="I250" s="9" t="s">
        <v>1494</v>
      </c>
      <c r="J250" s="9" t="s">
        <v>1495</v>
      </c>
      <c r="K250" s="9"/>
    </row>
    <row r="251" customFormat="false" ht="15" hidden="false" customHeight="true" outlineLevel="0" collapsed="false">
      <c r="A251" s="11" t="s">
        <v>1811</v>
      </c>
      <c r="B251" s="11" t="s">
        <v>914</v>
      </c>
      <c r="C251" s="11" t="s">
        <v>915</v>
      </c>
      <c r="D251" s="11" t="s">
        <v>1151</v>
      </c>
      <c r="E251" s="11" t="n">
        <v>1</v>
      </c>
      <c r="F251" s="11" t="s">
        <v>1497</v>
      </c>
      <c r="G251" s="11" t="s">
        <v>1498</v>
      </c>
      <c r="H251" s="11" t="s">
        <v>1151</v>
      </c>
      <c r="I251" s="11" t="s">
        <v>1494</v>
      </c>
      <c r="J251" s="11" t="s">
        <v>1495</v>
      </c>
      <c r="K251" s="11"/>
    </row>
    <row r="252" customFormat="false" ht="15" hidden="false" customHeight="true" outlineLevel="0" collapsed="false">
      <c r="A252" s="9" t="s">
        <v>1812</v>
      </c>
      <c r="B252" s="9" t="s">
        <v>914</v>
      </c>
      <c r="C252" s="9" t="s">
        <v>915</v>
      </c>
      <c r="D252" s="9" t="s">
        <v>593</v>
      </c>
      <c r="E252" s="9" t="n">
        <v>1</v>
      </c>
      <c r="F252" s="9" t="s">
        <v>1492</v>
      </c>
      <c r="G252" s="9" t="s">
        <v>1500</v>
      </c>
      <c r="H252" s="9" t="s">
        <v>593</v>
      </c>
      <c r="I252" s="9" t="s">
        <v>1494</v>
      </c>
      <c r="J252" s="9" t="s">
        <v>1501</v>
      </c>
      <c r="K252" s="9"/>
    </row>
    <row r="253" customFormat="false" ht="15" hidden="false" customHeight="true" outlineLevel="0" collapsed="false">
      <c r="A253" s="11" t="s">
        <v>1813</v>
      </c>
      <c r="B253" s="11" t="s">
        <v>914</v>
      </c>
      <c r="C253" s="11" t="s">
        <v>915</v>
      </c>
      <c r="D253" s="11" t="s">
        <v>593</v>
      </c>
      <c r="E253" s="11" t="n">
        <v>1</v>
      </c>
      <c r="F253" s="11" t="s">
        <v>1497</v>
      </c>
      <c r="G253" s="11" t="s">
        <v>1503</v>
      </c>
      <c r="H253" s="11" t="s">
        <v>593</v>
      </c>
      <c r="I253" s="11" t="s">
        <v>1494</v>
      </c>
      <c r="J253" s="11" t="s">
        <v>1501</v>
      </c>
      <c r="K253" s="11"/>
    </row>
    <row r="254" customFormat="false" ht="15" hidden="false" customHeight="true" outlineLevel="0" collapsed="false">
      <c r="A254" s="9" t="s">
        <v>1814</v>
      </c>
      <c r="B254" s="9" t="s">
        <v>914</v>
      </c>
      <c r="C254" s="9" t="s">
        <v>915</v>
      </c>
      <c r="D254" s="9" t="s">
        <v>1505</v>
      </c>
      <c r="E254" s="9" t="n">
        <v>1</v>
      </c>
      <c r="F254" s="9" t="s">
        <v>1492</v>
      </c>
      <c r="G254" s="9" t="s">
        <v>1506</v>
      </c>
      <c r="H254" s="9" t="s">
        <v>1505</v>
      </c>
      <c r="I254" s="9" t="s">
        <v>1494</v>
      </c>
      <c r="J254" s="9" t="s">
        <v>1507</v>
      </c>
      <c r="K254" s="9"/>
    </row>
    <row r="255" customFormat="false" ht="15" hidden="false" customHeight="true" outlineLevel="0" collapsed="false">
      <c r="A255" s="11" t="s">
        <v>1815</v>
      </c>
      <c r="B255" s="11" t="s">
        <v>914</v>
      </c>
      <c r="C255" s="11" t="s">
        <v>915</v>
      </c>
      <c r="D255" s="11" t="s">
        <v>1505</v>
      </c>
      <c r="E255" s="11" t="n">
        <v>1</v>
      </c>
      <c r="F255" s="11" t="s">
        <v>1497</v>
      </c>
      <c r="G255" s="11" t="s">
        <v>1509</v>
      </c>
      <c r="H255" s="11" t="s">
        <v>1505</v>
      </c>
      <c r="I255" s="11" t="s">
        <v>1494</v>
      </c>
      <c r="J255" s="11" t="s">
        <v>1507</v>
      </c>
      <c r="K255" s="11"/>
    </row>
    <row r="256" customFormat="false" ht="15" hidden="false" customHeight="true" outlineLevel="0" collapsed="false">
      <c r="A256" s="9" t="s">
        <v>1816</v>
      </c>
      <c r="B256" s="9" t="s">
        <v>914</v>
      </c>
      <c r="C256" s="9" t="s">
        <v>915</v>
      </c>
      <c r="D256" s="9" t="s">
        <v>1511</v>
      </c>
      <c r="E256" s="9" t="n">
        <v>1</v>
      </c>
      <c r="F256" s="9" t="s">
        <v>1492</v>
      </c>
      <c r="G256" s="9" t="s">
        <v>457</v>
      </c>
      <c r="H256" s="9" t="s">
        <v>1511</v>
      </c>
      <c r="I256" s="9" t="s">
        <v>1494</v>
      </c>
      <c r="J256" s="9" t="s">
        <v>1495</v>
      </c>
      <c r="K256" s="9"/>
    </row>
    <row r="257" customFormat="false" ht="15" hidden="false" customHeight="true" outlineLevel="0" collapsed="false">
      <c r="A257" s="11" t="s">
        <v>1817</v>
      </c>
      <c r="B257" s="11" t="s">
        <v>914</v>
      </c>
      <c r="C257" s="11" t="s">
        <v>915</v>
      </c>
      <c r="D257" s="11" t="s">
        <v>1511</v>
      </c>
      <c r="E257" s="11" t="n">
        <v>1</v>
      </c>
      <c r="F257" s="11" t="s">
        <v>1497</v>
      </c>
      <c r="G257" s="11" t="s">
        <v>1513</v>
      </c>
      <c r="H257" s="11" t="s">
        <v>1511</v>
      </c>
      <c r="I257" s="11" t="s">
        <v>1494</v>
      </c>
      <c r="J257" s="11" t="s">
        <v>1495</v>
      </c>
      <c r="K257" s="11"/>
    </row>
    <row r="258" customFormat="false" ht="15" hidden="false" customHeight="true" outlineLevel="0" collapsed="false">
      <c r="A258" s="9" t="s">
        <v>1818</v>
      </c>
      <c r="B258" s="9" t="s">
        <v>914</v>
      </c>
      <c r="C258" s="9" t="s">
        <v>915</v>
      </c>
      <c r="D258" s="9" t="s">
        <v>1515</v>
      </c>
      <c r="E258" s="9" t="n">
        <v>1</v>
      </c>
      <c r="F258" s="9" t="s">
        <v>1492</v>
      </c>
      <c r="G258" s="9" t="s">
        <v>1516</v>
      </c>
      <c r="H258" s="9" t="s">
        <v>1515</v>
      </c>
      <c r="I258" s="9" t="s">
        <v>1494</v>
      </c>
      <c r="J258" s="9" t="s">
        <v>1501</v>
      </c>
      <c r="K258" s="9"/>
    </row>
    <row r="259" customFormat="false" ht="15" hidden="false" customHeight="true" outlineLevel="0" collapsed="false">
      <c r="A259" s="11" t="s">
        <v>1819</v>
      </c>
      <c r="B259" s="11" t="s">
        <v>914</v>
      </c>
      <c r="C259" s="11" t="s">
        <v>915</v>
      </c>
      <c r="D259" s="11" t="s">
        <v>1515</v>
      </c>
      <c r="E259" s="11" t="n">
        <v>1</v>
      </c>
      <c r="F259" s="11" t="s">
        <v>1497</v>
      </c>
      <c r="G259" s="11" t="s">
        <v>1518</v>
      </c>
      <c r="H259" s="11" t="s">
        <v>1515</v>
      </c>
      <c r="I259" s="11" t="s">
        <v>1494</v>
      </c>
      <c r="J259" s="11" t="s">
        <v>1501</v>
      </c>
      <c r="K259" s="11"/>
    </row>
    <row r="260" customFormat="false" ht="15" hidden="false" customHeight="true" outlineLevel="0" collapsed="false">
      <c r="A260" s="9" t="s">
        <v>1820</v>
      </c>
      <c r="B260" s="9" t="s">
        <v>914</v>
      </c>
      <c r="C260" s="9" t="s">
        <v>915</v>
      </c>
      <c r="D260" s="9" t="s">
        <v>1359</v>
      </c>
      <c r="E260" s="9" t="n">
        <v>1</v>
      </c>
      <c r="F260" s="9" t="s">
        <v>1492</v>
      </c>
      <c r="G260" s="9" t="s">
        <v>1689</v>
      </c>
      <c r="H260" s="9" t="s">
        <v>1359</v>
      </c>
      <c r="I260" s="9" t="s">
        <v>1494</v>
      </c>
      <c r="J260" s="9" t="s">
        <v>1507</v>
      </c>
      <c r="K260" s="9"/>
    </row>
    <row r="261" customFormat="false" ht="15" hidden="false" customHeight="true" outlineLevel="0" collapsed="false">
      <c r="A261" s="11" t="s">
        <v>1821</v>
      </c>
      <c r="B261" s="11" t="s">
        <v>914</v>
      </c>
      <c r="C261" s="11" t="s">
        <v>915</v>
      </c>
      <c r="D261" s="11" t="s">
        <v>1359</v>
      </c>
      <c r="E261" s="11" t="n">
        <v>1</v>
      </c>
      <c r="F261" s="11" t="s">
        <v>1497</v>
      </c>
      <c r="G261" s="11" t="s">
        <v>1717</v>
      </c>
      <c r="H261" s="11" t="s">
        <v>1359</v>
      </c>
      <c r="I261" s="11" t="s">
        <v>1494</v>
      </c>
      <c r="J261" s="11" t="s">
        <v>1507</v>
      </c>
      <c r="K261" s="11"/>
    </row>
    <row r="262" customFormat="false" ht="15" hidden="false" customHeight="true" outlineLevel="0" collapsed="false">
      <c r="A262" s="9" t="s">
        <v>1822</v>
      </c>
      <c r="B262" s="9" t="s">
        <v>914</v>
      </c>
      <c r="C262" s="9" t="s">
        <v>915</v>
      </c>
      <c r="D262" s="9" t="s">
        <v>1332</v>
      </c>
      <c r="E262" s="9" t="n">
        <v>1</v>
      </c>
      <c r="F262" s="9" t="s">
        <v>1492</v>
      </c>
      <c r="G262" s="9" t="s">
        <v>1520</v>
      </c>
      <c r="H262" s="9" t="s">
        <v>1332</v>
      </c>
      <c r="I262" s="9" t="s">
        <v>1494</v>
      </c>
      <c r="J262" s="9" t="s">
        <v>1495</v>
      </c>
      <c r="K262" s="9"/>
    </row>
    <row r="263" customFormat="false" ht="15" hidden="false" customHeight="true" outlineLevel="0" collapsed="false">
      <c r="A263" s="11" t="s">
        <v>1823</v>
      </c>
      <c r="B263" s="11" t="s">
        <v>914</v>
      </c>
      <c r="C263" s="11" t="s">
        <v>915</v>
      </c>
      <c r="D263" s="11" t="s">
        <v>1332</v>
      </c>
      <c r="E263" s="11" t="n">
        <v>1</v>
      </c>
      <c r="F263" s="11" t="s">
        <v>1497</v>
      </c>
      <c r="G263" s="11" t="s">
        <v>1522</v>
      </c>
      <c r="H263" s="11" t="s">
        <v>1332</v>
      </c>
      <c r="I263" s="11" t="s">
        <v>1494</v>
      </c>
      <c r="J263" s="11" t="s">
        <v>1495</v>
      </c>
      <c r="K263" s="11"/>
    </row>
    <row r="264" customFormat="false" ht="15" hidden="false" customHeight="true" outlineLevel="0" collapsed="false">
      <c r="A264" s="9" t="s">
        <v>1824</v>
      </c>
      <c r="B264" s="9" t="s">
        <v>914</v>
      </c>
      <c r="C264" s="9" t="s">
        <v>915</v>
      </c>
      <c r="D264" s="9" t="s">
        <v>1524</v>
      </c>
      <c r="E264" s="9" t="n">
        <v>1</v>
      </c>
      <c r="F264" s="9" t="s">
        <v>1492</v>
      </c>
      <c r="G264" s="9" t="s">
        <v>472</v>
      </c>
      <c r="H264" s="9" t="s">
        <v>1524</v>
      </c>
      <c r="I264" s="9" t="s">
        <v>1494</v>
      </c>
      <c r="J264" s="9" t="s">
        <v>1501</v>
      </c>
      <c r="K264" s="9"/>
    </row>
    <row r="265" customFormat="false" ht="15" hidden="false" customHeight="true" outlineLevel="0" collapsed="false">
      <c r="A265" s="11" t="s">
        <v>1825</v>
      </c>
      <c r="B265" s="11" t="s">
        <v>914</v>
      </c>
      <c r="C265" s="11" t="s">
        <v>915</v>
      </c>
      <c r="D265" s="11" t="s">
        <v>1524</v>
      </c>
      <c r="E265" s="11" t="n">
        <v>1</v>
      </c>
      <c r="F265" s="11" t="s">
        <v>1497</v>
      </c>
      <c r="G265" s="11" t="s">
        <v>1571</v>
      </c>
      <c r="H265" s="11" t="s">
        <v>1524</v>
      </c>
      <c r="I265" s="11" t="s">
        <v>1494</v>
      </c>
      <c r="J265" s="11" t="s">
        <v>1501</v>
      </c>
      <c r="K265" s="11"/>
    </row>
    <row r="266" customFormat="false" ht="15" hidden="false" customHeight="true" outlineLevel="0" collapsed="false">
      <c r="A266" s="9" t="s">
        <v>1826</v>
      </c>
      <c r="B266" s="9" t="s">
        <v>914</v>
      </c>
      <c r="C266" s="9" t="s">
        <v>915</v>
      </c>
      <c r="D266" s="9" t="s">
        <v>1377</v>
      </c>
      <c r="E266" s="9" t="n">
        <v>1</v>
      </c>
      <c r="F266" s="9" t="s">
        <v>1492</v>
      </c>
      <c r="G266" s="9" t="s">
        <v>1552</v>
      </c>
      <c r="H266" s="9" t="s">
        <v>1377</v>
      </c>
      <c r="I266" s="9" t="s">
        <v>1494</v>
      </c>
      <c r="J266" s="9" t="s">
        <v>1507</v>
      </c>
      <c r="K266" s="9"/>
    </row>
    <row r="267" customFormat="false" ht="15" hidden="false" customHeight="true" outlineLevel="0" collapsed="false">
      <c r="A267" s="11" t="s">
        <v>1827</v>
      </c>
      <c r="B267" s="11" t="s">
        <v>914</v>
      </c>
      <c r="C267" s="11" t="s">
        <v>915</v>
      </c>
      <c r="D267" s="11" t="s">
        <v>1377</v>
      </c>
      <c r="E267" s="11" t="n">
        <v>1</v>
      </c>
      <c r="F267" s="11" t="s">
        <v>1497</v>
      </c>
      <c r="G267" s="11" t="s">
        <v>1574</v>
      </c>
      <c r="H267" s="11" t="s">
        <v>1377</v>
      </c>
      <c r="I267" s="11" t="s">
        <v>1494</v>
      </c>
      <c r="J267" s="11" t="s">
        <v>1507</v>
      </c>
      <c r="K267" s="11"/>
    </row>
    <row r="268" customFormat="false" ht="15" hidden="false" customHeight="true" outlineLevel="0" collapsed="false">
      <c r="A268" s="9" t="s">
        <v>1828</v>
      </c>
      <c r="B268" s="9" t="s">
        <v>914</v>
      </c>
      <c r="C268" s="9" t="s">
        <v>915</v>
      </c>
      <c r="D268" s="9" t="s">
        <v>1355</v>
      </c>
      <c r="E268" s="9" t="n">
        <v>1</v>
      </c>
      <c r="F268" s="9" t="s">
        <v>1492</v>
      </c>
      <c r="G268" s="9" t="s">
        <v>1537</v>
      </c>
      <c r="H268" s="9" t="s">
        <v>1355</v>
      </c>
      <c r="I268" s="9" t="s">
        <v>1494</v>
      </c>
      <c r="J268" s="9" t="s">
        <v>1495</v>
      </c>
      <c r="K268" s="9"/>
    </row>
    <row r="269" customFormat="false" ht="15" hidden="false" customHeight="true" outlineLevel="0" collapsed="false">
      <c r="A269" s="11" t="s">
        <v>1829</v>
      </c>
      <c r="B269" s="11" t="s">
        <v>914</v>
      </c>
      <c r="C269" s="11" t="s">
        <v>915</v>
      </c>
      <c r="D269" s="11" t="s">
        <v>1355</v>
      </c>
      <c r="E269" s="11" t="n">
        <v>1</v>
      </c>
      <c r="F269" s="11" t="s">
        <v>1497</v>
      </c>
      <c r="G269" s="11" t="s">
        <v>1539</v>
      </c>
      <c r="H269" s="11" t="s">
        <v>1355</v>
      </c>
      <c r="I269" s="11" t="s">
        <v>1494</v>
      </c>
      <c r="J269" s="11" t="s">
        <v>1495</v>
      </c>
      <c r="K269" s="11"/>
    </row>
    <row r="270" customFormat="false" ht="15" hidden="false" customHeight="true" outlineLevel="0" collapsed="false">
      <c r="A270" s="9" t="s">
        <v>1830</v>
      </c>
      <c r="B270" s="9" t="s">
        <v>914</v>
      </c>
      <c r="C270" s="9" t="s">
        <v>915</v>
      </c>
      <c r="D270" s="9" t="s">
        <v>1459</v>
      </c>
      <c r="E270" s="9" t="n">
        <v>1</v>
      </c>
      <c r="F270" s="9" t="s">
        <v>1492</v>
      </c>
      <c r="G270" s="9" t="s">
        <v>1541</v>
      </c>
      <c r="H270" s="9" t="s">
        <v>1459</v>
      </c>
      <c r="I270" s="9" t="s">
        <v>1494</v>
      </c>
      <c r="J270" s="9" t="s">
        <v>1501</v>
      </c>
      <c r="K270" s="9"/>
    </row>
    <row r="271" customFormat="false" ht="15" hidden="false" customHeight="true" outlineLevel="0" collapsed="false">
      <c r="A271" s="11" t="s">
        <v>1831</v>
      </c>
      <c r="B271" s="11" t="s">
        <v>914</v>
      </c>
      <c r="C271" s="11" t="s">
        <v>915</v>
      </c>
      <c r="D271" s="11" t="s">
        <v>1459</v>
      </c>
      <c r="E271" s="11" t="n">
        <v>1</v>
      </c>
      <c r="F271" s="11" t="s">
        <v>1497</v>
      </c>
      <c r="G271" s="11" t="s">
        <v>1543</v>
      </c>
      <c r="H271" s="11" t="s">
        <v>1459</v>
      </c>
      <c r="I271" s="11" t="s">
        <v>1494</v>
      </c>
      <c r="J271" s="11" t="s">
        <v>1501</v>
      </c>
      <c r="K271" s="11"/>
    </row>
    <row r="272" customFormat="false" ht="15" hidden="false" customHeight="true" outlineLevel="0" collapsed="false">
      <c r="A272" s="9" t="s">
        <v>1832</v>
      </c>
      <c r="B272" s="9" t="s">
        <v>914</v>
      </c>
      <c r="C272" s="9" t="s">
        <v>915</v>
      </c>
      <c r="D272" s="9" t="s">
        <v>1545</v>
      </c>
      <c r="E272" s="9" t="n">
        <v>1</v>
      </c>
      <c r="F272" s="9" t="s">
        <v>1492</v>
      </c>
      <c r="G272" s="9" t="s">
        <v>1546</v>
      </c>
      <c r="H272" s="9" t="s">
        <v>1545</v>
      </c>
      <c r="I272" s="9" t="s">
        <v>1494</v>
      </c>
      <c r="J272" s="9" t="s">
        <v>1507</v>
      </c>
      <c r="K272" s="9"/>
    </row>
    <row r="273" customFormat="false" ht="15" hidden="false" customHeight="true" outlineLevel="0" collapsed="false">
      <c r="A273" s="11" t="s">
        <v>1833</v>
      </c>
      <c r="B273" s="11" t="s">
        <v>914</v>
      </c>
      <c r="C273" s="11" t="s">
        <v>915</v>
      </c>
      <c r="D273" s="11" t="s">
        <v>1545</v>
      </c>
      <c r="E273" s="11" t="n">
        <v>1</v>
      </c>
      <c r="F273" s="11" t="s">
        <v>1497</v>
      </c>
      <c r="G273" s="11" t="s">
        <v>1548</v>
      </c>
      <c r="H273" s="11" t="s">
        <v>1545</v>
      </c>
      <c r="I273" s="11" t="s">
        <v>1494</v>
      </c>
      <c r="J273" s="11" t="s">
        <v>1507</v>
      </c>
      <c r="K273" s="11"/>
    </row>
    <row r="274" customFormat="false" ht="15" hidden="false" customHeight="true" outlineLevel="0" collapsed="false">
      <c r="A274" s="9" t="s">
        <v>1834</v>
      </c>
      <c r="B274" s="9" t="s">
        <v>914</v>
      </c>
      <c r="C274" s="9" t="s">
        <v>915</v>
      </c>
      <c r="D274" s="9" t="s">
        <v>1409</v>
      </c>
      <c r="E274" s="9" t="n">
        <v>1</v>
      </c>
      <c r="F274" s="9" t="s">
        <v>1492</v>
      </c>
      <c r="G274" s="9" t="s">
        <v>1493</v>
      </c>
      <c r="H274" s="9" t="s">
        <v>1409</v>
      </c>
      <c r="I274" s="9" t="s">
        <v>1494</v>
      </c>
      <c r="J274" s="9" t="s">
        <v>1495</v>
      </c>
      <c r="K274" s="9"/>
    </row>
    <row r="275" customFormat="false" ht="15" hidden="false" customHeight="true" outlineLevel="0" collapsed="false">
      <c r="A275" s="11" t="s">
        <v>1835</v>
      </c>
      <c r="B275" s="11" t="s">
        <v>914</v>
      </c>
      <c r="C275" s="11" t="s">
        <v>915</v>
      </c>
      <c r="D275" s="11" t="s">
        <v>1409</v>
      </c>
      <c r="E275" s="11" t="n">
        <v>1</v>
      </c>
      <c r="F275" s="11" t="s">
        <v>1497</v>
      </c>
      <c r="G275" s="11" t="s">
        <v>1777</v>
      </c>
      <c r="H275" s="11" t="s">
        <v>1409</v>
      </c>
      <c r="I275" s="11" t="s">
        <v>1494</v>
      </c>
      <c r="J275" s="11" t="s">
        <v>1495</v>
      </c>
      <c r="K275" s="11"/>
    </row>
    <row r="276" customFormat="false" ht="15" hidden="false" customHeight="true" outlineLevel="0" collapsed="false">
      <c r="A276" s="9" t="s">
        <v>1836</v>
      </c>
      <c r="B276" s="9" t="s">
        <v>914</v>
      </c>
      <c r="C276" s="9" t="s">
        <v>915</v>
      </c>
      <c r="D276" s="9" t="s">
        <v>1337</v>
      </c>
      <c r="E276" s="9" t="n">
        <v>1</v>
      </c>
      <c r="F276" s="9" t="s">
        <v>1492</v>
      </c>
      <c r="G276" s="9" t="s">
        <v>457</v>
      </c>
      <c r="H276" s="9" t="s">
        <v>1337</v>
      </c>
      <c r="I276" s="9" t="s">
        <v>1494</v>
      </c>
      <c r="J276" s="9" t="s">
        <v>1501</v>
      </c>
      <c r="K276" s="9"/>
    </row>
    <row r="277" customFormat="false" ht="15" hidden="false" customHeight="true" outlineLevel="0" collapsed="false">
      <c r="A277" s="11" t="s">
        <v>1837</v>
      </c>
      <c r="B277" s="11" t="s">
        <v>914</v>
      </c>
      <c r="C277" s="11" t="s">
        <v>915</v>
      </c>
      <c r="D277" s="11" t="s">
        <v>1337</v>
      </c>
      <c r="E277" s="11" t="n">
        <v>1</v>
      </c>
      <c r="F277" s="11" t="s">
        <v>1497</v>
      </c>
      <c r="G277" s="11" t="s">
        <v>1535</v>
      </c>
      <c r="H277" s="11" t="s">
        <v>1337</v>
      </c>
      <c r="I277" s="11" t="s">
        <v>1494</v>
      </c>
      <c r="J277" s="11" t="s">
        <v>1501</v>
      </c>
      <c r="K277" s="11"/>
    </row>
    <row r="278" customFormat="false" ht="15" hidden="false" customHeight="true" outlineLevel="0" collapsed="false">
      <c r="A278" s="9" t="s">
        <v>1838</v>
      </c>
      <c r="B278" s="9" t="s">
        <v>914</v>
      </c>
      <c r="C278" s="9" t="s">
        <v>915</v>
      </c>
      <c r="D278" s="9" t="s">
        <v>531</v>
      </c>
      <c r="E278" s="9" t="n">
        <v>1</v>
      </c>
      <c r="F278" s="9" t="s">
        <v>1492</v>
      </c>
      <c r="G278" s="9" t="s">
        <v>1552</v>
      </c>
      <c r="H278" s="9" t="s">
        <v>531</v>
      </c>
      <c r="I278" s="9" t="s">
        <v>1494</v>
      </c>
      <c r="J278" s="9" t="s">
        <v>1507</v>
      </c>
      <c r="K278" s="9"/>
    </row>
    <row r="279" customFormat="false" ht="15" hidden="false" customHeight="true" outlineLevel="0" collapsed="false">
      <c r="A279" s="11" t="s">
        <v>1839</v>
      </c>
      <c r="B279" s="11" t="s">
        <v>914</v>
      </c>
      <c r="C279" s="11" t="s">
        <v>915</v>
      </c>
      <c r="D279" s="11" t="s">
        <v>531</v>
      </c>
      <c r="E279" s="11" t="n">
        <v>1</v>
      </c>
      <c r="F279" s="11" t="s">
        <v>1497</v>
      </c>
      <c r="G279" s="11" t="s">
        <v>1498</v>
      </c>
      <c r="H279" s="11" t="s">
        <v>531</v>
      </c>
      <c r="I279" s="11" t="s">
        <v>1494</v>
      </c>
      <c r="J279" s="11" t="s">
        <v>1507</v>
      </c>
      <c r="K279" s="11"/>
    </row>
    <row r="280" customFormat="false" ht="15" hidden="false" customHeight="true" outlineLevel="0" collapsed="false">
      <c r="A280" s="9" t="s">
        <v>1840</v>
      </c>
      <c r="B280" s="9" t="s">
        <v>953</v>
      </c>
      <c r="C280" s="9" t="s">
        <v>954</v>
      </c>
      <c r="D280" s="9" t="s">
        <v>1151</v>
      </c>
      <c r="E280" s="9" t="n">
        <v>1</v>
      </c>
      <c r="F280" s="9" t="s">
        <v>1492</v>
      </c>
      <c r="G280" s="9" t="s">
        <v>1841</v>
      </c>
      <c r="H280" s="9" t="s">
        <v>1151</v>
      </c>
      <c r="I280" s="9" t="s">
        <v>1494</v>
      </c>
      <c r="J280" s="9" t="s">
        <v>1842</v>
      </c>
      <c r="K280" s="9"/>
    </row>
    <row r="281" customFormat="false" ht="15" hidden="false" customHeight="true" outlineLevel="0" collapsed="false">
      <c r="A281" s="11" t="s">
        <v>1843</v>
      </c>
      <c r="B281" s="11" t="s">
        <v>953</v>
      </c>
      <c r="C281" s="11" t="s">
        <v>954</v>
      </c>
      <c r="D281" s="11" t="s">
        <v>1151</v>
      </c>
      <c r="E281" s="11" t="n">
        <v>1</v>
      </c>
      <c r="F281" s="11" t="s">
        <v>1497</v>
      </c>
      <c r="G281" s="11" t="s">
        <v>1844</v>
      </c>
      <c r="H281" s="11" t="s">
        <v>1151</v>
      </c>
      <c r="I281" s="11" t="s">
        <v>1494</v>
      </c>
      <c r="J281" s="11" t="s">
        <v>1842</v>
      </c>
      <c r="K281" s="11"/>
    </row>
    <row r="282" customFormat="false" ht="15" hidden="false" customHeight="true" outlineLevel="0" collapsed="false">
      <c r="A282" s="9" t="s">
        <v>1845</v>
      </c>
      <c r="B282" s="9" t="s">
        <v>953</v>
      </c>
      <c r="C282" s="9" t="s">
        <v>954</v>
      </c>
      <c r="D282" s="9" t="s">
        <v>593</v>
      </c>
      <c r="E282" s="9" t="n">
        <v>1</v>
      </c>
      <c r="F282" s="9" t="s">
        <v>1492</v>
      </c>
      <c r="G282" s="9" t="s">
        <v>1846</v>
      </c>
      <c r="H282" s="9" t="s">
        <v>593</v>
      </c>
      <c r="I282" s="9" t="s">
        <v>1494</v>
      </c>
      <c r="J282" s="9" t="s">
        <v>1847</v>
      </c>
      <c r="K282" s="9"/>
    </row>
    <row r="283" customFormat="false" ht="15" hidden="false" customHeight="true" outlineLevel="0" collapsed="false">
      <c r="A283" s="11" t="s">
        <v>1848</v>
      </c>
      <c r="B283" s="11" t="s">
        <v>953</v>
      </c>
      <c r="C283" s="11" t="s">
        <v>954</v>
      </c>
      <c r="D283" s="11" t="s">
        <v>593</v>
      </c>
      <c r="E283" s="11" t="n">
        <v>1</v>
      </c>
      <c r="F283" s="11" t="s">
        <v>1497</v>
      </c>
      <c r="G283" s="11" t="s">
        <v>1849</v>
      </c>
      <c r="H283" s="11" t="s">
        <v>593</v>
      </c>
      <c r="I283" s="11" t="s">
        <v>1494</v>
      </c>
      <c r="J283" s="11" t="s">
        <v>1847</v>
      </c>
      <c r="K283" s="11"/>
    </row>
    <row r="284" customFormat="false" ht="15" hidden="false" customHeight="true" outlineLevel="0" collapsed="false">
      <c r="A284" s="9" t="s">
        <v>1850</v>
      </c>
      <c r="B284" s="9" t="s">
        <v>953</v>
      </c>
      <c r="C284" s="9" t="s">
        <v>954</v>
      </c>
      <c r="D284" s="9" t="s">
        <v>1505</v>
      </c>
      <c r="E284" s="9" t="n">
        <v>1</v>
      </c>
      <c r="F284" s="9" t="s">
        <v>1492</v>
      </c>
      <c r="G284" s="9" t="s">
        <v>1851</v>
      </c>
      <c r="H284" s="9" t="s">
        <v>1505</v>
      </c>
      <c r="I284" s="9" t="s">
        <v>1494</v>
      </c>
      <c r="J284" s="9" t="s">
        <v>1852</v>
      </c>
      <c r="K284" s="9"/>
    </row>
    <row r="285" customFormat="false" ht="15" hidden="false" customHeight="true" outlineLevel="0" collapsed="false">
      <c r="A285" s="11" t="s">
        <v>1853</v>
      </c>
      <c r="B285" s="11" t="s">
        <v>953</v>
      </c>
      <c r="C285" s="11" t="s">
        <v>954</v>
      </c>
      <c r="D285" s="11" t="s">
        <v>1505</v>
      </c>
      <c r="E285" s="11" t="n">
        <v>1</v>
      </c>
      <c r="F285" s="11" t="s">
        <v>1497</v>
      </c>
      <c r="G285" s="11" t="s">
        <v>1854</v>
      </c>
      <c r="H285" s="11" t="s">
        <v>1505</v>
      </c>
      <c r="I285" s="11" t="s">
        <v>1494</v>
      </c>
      <c r="J285" s="11" t="s">
        <v>1852</v>
      </c>
      <c r="K285" s="11"/>
    </row>
    <row r="286" customFormat="false" ht="15" hidden="false" customHeight="true" outlineLevel="0" collapsed="false">
      <c r="A286" s="9" t="s">
        <v>1855</v>
      </c>
      <c r="B286" s="9" t="s">
        <v>953</v>
      </c>
      <c r="C286" s="9" t="s">
        <v>954</v>
      </c>
      <c r="D286" s="9" t="s">
        <v>1511</v>
      </c>
      <c r="E286" s="9" t="n">
        <v>1</v>
      </c>
      <c r="F286" s="9" t="s">
        <v>1492</v>
      </c>
      <c r="G286" s="9" t="s">
        <v>469</v>
      </c>
      <c r="H286" s="9" t="s">
        <v>1511</v>
      </c>
      <c r="I286" s="9" t="s">
        <v>1494</v>
      </c>
      <c r="J286" s="9" t="s">
        <v>1842</v>
      </c>
      <c r="K286" s="9"/>
    </row>
    <row r="287" customFormat="false" ht="15" hidden="false" customHeight="true" outlineLevel="0" collapsed="false">
      <c r="A287" s="11" t="s">
        <v>1856</v>
      </c>
      <c r="B287" s="11" t="s">
        <v>953</v>
      </c>
      <c r="C287" s="11" t="s">
        <v>954</v>
      </c>
      <c r="D287" s="11" t="s">
        <v>1511</v>
      </c>
      <c r="E287" s="11" t="n">
        <v>1</v>
      </c>
      <c r="F287" s="11" t="s">
        <v>1497</v>
      </c>
      <c r="G287" s="11" t="s">
        <v>1857</v>
      </c>
      <c r="H287" s="11" t="s">
        <v>1511</v>
      </c>
      <c r="I287" s="11" t="s">
        <v>1494</v>
      </c>
      <c r="J287" s="11" t="s">
        <v>1842</v>
      </c>
      <c r="K287" s="11"/>
    </row>
    <row r="288" customFormat="false" ht="15" hidden="false" customHeight="true" outlineLevel="0" collapsed="false">
      <c r="A288" s="9" t="s">
        <v>1858</v>
      </c>
      <c r="B288" s="9" t="s">
        <v>953</v>
      </c>
      <c r="C288" s="9" t="s">
        <v>954</v>
      </c>
      <c r="D288" s="9" t="s">
        <v>1515</v>
      </c>
      <c r="E288" s="9" t="n">
        <v>1</v>
      </c>
      <c r="F288" s="9" t="s">
        <v>1492</v>
      </c>
      <c r="G288" s="9" t="s">
        <v>1859</v>
      </c>
      <c r="H288" s="9" t="s">
        <v>1515</v>
      </c>
      <c r="I288" s="9" t="s">
        <v>1494</v>
      </c>
      <c r="J288" s="9" t="s">
        <v>1847</v>
      </c>
      <c r="K288" s="9"/>
    </row>
    <row r="289" customFormat="false" ht="15" hidden="false" customHeight="true" outlineLevel="0" collapsed="false">
      <c r="A289" s="11" t="s">
        <v>1860</v>
      </c>
      <c r="B289" s="11" t="s">
        <v>953</v>
      </c>
      <c r="C289" s="11" t="s">
        <v>954</v>
      </c>
      <c r="D289" s="11" t="s">
        <v>1515</v>
      </c>
      <c r="E289" s="11" t="n">
        <v>1</v>
      </c>
      <c r="F289" s="11" t="s">
        <v>1497</v>
      </c>
      <c r="G289" s="11" t="s">
        <v>1861</v>
      </c>
      <c r="H289" s="11" t="s">
        <v>1515</v>
      </c>
      <c r="I289" s="11" t="s">
        <v>1494</v>
      </c>
      <c r="J289" s="11" t="s">
        <v>1847</v>
      </c>
      <c r="K289" s="11"/>
    </row>
    <row r="290" customFormat="false" ht="15" hidden="false" customHeight="true" outlineLevel="0" collapsed="false">
      <c r="A290" s="9" t="s">
        <v>1862</v>
      </c>
      <c r="B290" s="9" t="s">
        <v>953</v>
      </c>
      <c r="C290" s="9" t="s">
        <v>954</v>
      </c>
      <c r="D290" s="9" t="s">
        <v>1332</v>
      </c>
      <c r="E290" s="9" t="n">
        <v>1</v>
      </c>
      <c r="F290" s="9" t="s">
        <v>1492</v>
      </c>
      <c r="G290" s="9" t="s">
        <v>1863</v>
      </c>
      <c r="H290" s="9" t="s">
        <v>1332</v>
      </c>
      <c r="I290" s="9" t="s">
        <v>1494</v>
      </c>
      <c r="J290" s="9" t="s">
        <v>1842</v>
      </c>
      <c r="K290" s="9"/>
    </row>
    <row r="291" customFormat="false" ht="15" hidden="false" customHeight="true" outlineLevel="0" collapsed="false">
      <c r="A291" s="11" t="s">
        <v>1864</v>
      </c>
      <c r="B291" s="11" t="s">
        <v>953</v>
      </c>
      <c r="C291" s="11" t="s">
        <v>954</v>
      </c>
      <c r="D291" s="11" t="s">
        <v>1332</v>
      </c>
      <c r="E291" s="11" t="n">
        <v>1</v>
      </c>
      <c r="F291" s="11" t="s">
        <v>1497</v>
      </c>
      <c r="G291" s="11" t="s">
        <v>1865</v>
      </c>
      <c r="H291" s="11" t="s">
        <v>1332</v>
      </c>
      <c r="I291" s="11" t="s">
        <v>1494</v>
      </c>
      <c r="J291" s="11" t="s">
        <v>1842</v>
      </c>
      <c r="K291" s="11"/>
    </row>
    <row r="292" customFormat="false" ht="15" hidden="false" customHeight="true" outlineLevel="0" collapsed="false">
      <c r="A292" s="9" t="s">
        <v>1866</v>
      </c>
      <c r="B292" s="9" t="s">
        <v>953</v>
      </c>
      <c r="C292" s="9" t="s">
        <v>954</v>
      </c>
      <c r="D292" s="9" t="s">
        <v>1524</v>
      </c>
      <c r="E292" s="9" t="n">
        <v>1</v>
      </c>
      <c r="F292" s="9" t="s">
        <v>1492</v>
      </c>
      <c r="G292" s="9" t="s">
        <v>1867</v>
      </c>
      <c r="H292" s="9" t="s">
        <v>1524</v>
      </c>
      <c r="I292" s="9" t="s">
        <v>1494</v>
      </c>
      <c r="J292" s="9" t="s">
        <v>1847</v>
      </c>
      <c r="K292" s="9"/>
    </row>
    <row r="293" customFormat="false" ht="15" hidden="false" customHeight="true" outlineLevel="0" collapsed="false">
      <c r="A293" s="11" t="s">
        <v>1868</v>
      </c>
      <c r="B293" s="11" t="s">
        <v>953</v>
      </c>
      <c r="C293" s="11" t="s">
        <v>954</v>
      </c>
      <c r="D293" s="11" t="s">
        <v>1524</v>
      </c>
      <c r="E293" s="11" t="n">
        <v>1</v>
      </c>
      <c r="F293" s="11" t="s">
        <v>1497</v>
      </c>
      <c r="G293" s="11" t="s">
        <v>1869</v>
      </c>
      <c r="H293" s="11" t="s">
        <v>1524</v>
      </c>
      <c r="I293" s="11" t="s">
        <v>1494</v>
      </c>
      <c r="J293" s="11" t="s">
        <v>1847</v>
      </c>
      <c r="K293" s="11"/>
    </row>
    <row r="294" customFormat="false" ht="15" hidden="false" customHeight="true" outlineLevel="0" collapsed="false">
      <c r="A294" s="9" t="s">
        <v>1870</v>
      </c>
      <c r="B294" s="9" t="s">
        <v>953</v>
      </c>
      <c r="C294" s="9" t="s">
        <v>954</v>
      </c>
      <c r="D294" s="9" t="s">
        <v>1377</v>
      </c>
      <c r="E294" s="9" t="n">
        <v>1</v>
      </c>
      <c r="F294" s="9" t="s">
        <v>1492</v>
      </c>
      <c r="G294" s="9" t="s">
        <v>1871</v>
      </c>
      <c r="H294" s="9" t="s">
        <v>1377</v>
      </c>
      <c r="I294" s="9" t="s">
        <v>1494</v>
      </c>
      <c r="J294" s="9" t="s">
        <v>1852</v>
      </c>
      <c r="K294" s="9"/>
    </row>
    <row r="295" customFormat="false" ht="15" hidden="false" customHeight="true" outlineLevel="0" collapsed="false">
      <c r="A295" s="11" t="s">
        <v>1872</v>
      </c>
      <c r="B295" s="11" t="s">
        <v>953</v>
      </c>
      <c r="C295" s="11" t="s">
        <v>954</v>
      </c>
      <c r="D295" s="11" t="s">
        <v>1377</v>
      </c>
      <c r="E295" s="11" t="n">
        <v>1</v>
      </c>
      <c r="F295" s="11" t="s">
        <v>1497</v>
      </c>
      <c r="G295" s="11" t="s">
        <v>1873</v>
      </c>
      <c r="H295" s="11" t="s">
        <v>1377</v>
      </c>
      <c r="I295" s="11" t="s">
        <v>1494</v>
      </c>
      <c r="J295" s="11" t="s">
        <v>1852</v>
      </c>
      <c r="K295" s="11"/>
    </row>
    <row r="296" customFormat="false" ht="15" hidden="false" customHeight="true" outlineLevel="0" collapsed="false">
      <c r="A296" s="9" t="s">
        <v>1874</v>
      </c>
      <c r="B296" s="9" t="s">
        <v>953</v>
      </c>
      <c r="C296" s="9" t="s">
        <v>954</v>
      </c>
      <c r="D296" s="9" t="s">
        <v>1355</v>
      </c>
      <c r="E296" s="9" t="n">
        <v>1</v>
      </c>
      <c r="F296" s="9" t="s">
        <v>1492</v>
      </c>
      <c r="G296" s="9" t="s">
        <v>1875</v>
      </c>
      <c r="H296" s="9" t="s">
        <v>1355</v>
      </c>
      <c r="I296" s="9" t="s">
        <v>1494</v>
      </c>
      <c r="J296" s="9" t="s">
        <v>1842</v>
      </c>
      <c r="K296" s="9"/>
    </row>
    <row r="297" customFormat="false" ht="15" hidden="false" customHeight="true" outlineLevel="0" collapsed="false">
      <c r="A297" s="11" t="s">
        <v>1876</v>
      </c>
      <c r="B297" s="11" t="s">
        <v>953</v>
      </c>
      <c r="C297" s="11" t="s">
        <v>954</v>
      </c>
      <c r="D297" s="11" t="s">
        <v>1355</v>
      </c>
      <c r="E297" s="11" t="n">
        <v>1</v>
      </c>
      <c r="F297" s="11" t="s">
        <v>1497</v>
      </c>
      <c r="G297" s="11" t="s">
        <v>1877</v>
      </c>
      <c r="H297" s="11" t="s">
        <v>1355</v>
      </c>
      <c r="I297" s="11" t="s">
        <v>1494</v>
      </c>
      <c r="J297" s="11" t="s">
        <v>1842</v>
      </c>
      <c r="K297" s="11"/>
    </row>
    <row r="298" customFormat="false" ht="15" hidden="false" customHeight="true" outlineLevel="0" collapsed="false">
      <c r="A298" s="9" t="s">
        <v>1878</v>
      </c>
      <c r="B298" s="9" t="s">
        <v>953</v>
      </c>
      <c r="C298" s="9" t="s">
        <v>954</v>
      </c>
      <c r="D298" s="9" t="s">
        <v>1459</v>
      </c>
      <c r="E298" s="9" t="n">
        <v>1</v>
      </c>
      <c r="F298" s="9" t="s">
        <v>1492</v>
      </c>
      <c r="G298" s="9" t="s">
        <v>1879</v>
      </c>
      <c r="H298" s="9" t="s">
        <v>1459</v>
      </c>
      <c r="I298" s="9" t="s">
        <v>1494</v>
      </c>
      <c r="J298" s="9" t="s">
        <v>1847</v>
      </c>
      <c r="K298" s="9"/>
    </row>
    <row r="299" customFormat="false" ht="15" hidden="false" customHeight="true" outlineLevel="0" collapsed="false">
      <c r="A299" s="11" t="s">
        <v>1880</v>
      </c>
      <c r="B299" s="11" t="s">
        <v>953</v>
      </c>
      <c r="C299" s="11" t="s">
        <v>954</v>
      </c>
      <c r="D299" s="11" t="s">
        <v>1459</v>
      </c>
      <c r="E299" s="11" t="n">
        <v>1</v>
      </c>
      <c r="F299" s="11" t="s">
        <v>1497</v>
      </c>
      <c r="G299" s="11" t="s">
        <v>1881</v>
      </c>
      <c r="H299" s="11" t="s">
        <v>1459</v>
      </c>
      <c r="I299" s="11" t="s">
        <v>1494</v>
      </c>
      <c r="J299" s="11" t="s">
        <v>1847</v>
      </c>
      <c r="K299" s="11"/>
    </row>
    <row r="300" customFormat="false" ht="15" hidden="false" customHeight="true" outlineLevel="0" collapsed="false">
      <c r="A300" s="9" t="s">
        <v>1882</v>
      </c>
      <c r="B300" s="9" t="s">
        <v>953</v>
      </c>
      <c r="C300" s="9" t="s">
        <v>954</v>
      </c>
      <c r="D300" s="9" t="s">
        <v>1545</v>
      </c>
      <c r="E300" s="9" t="n">
        <v>1</v>
      </c>
      <c r="F300" s="9" t="s">
        <v>1492</v>
      </c>
      <c r="G300" s="9" t="s">
        <v>1883</v>
      </c>
      <c r="H300" s="9" t="s">
        <v>1545</v>
      </c>
      <c r="I300" s="9" t="s">
        <v>1494</v>
      </c>
      <c r="J300" s="9" t="s">
        <v>1852</v>
      </c>
      <c r="K300" s="9"/>
    </row>
    <row r="301" customFormat="false" ht="15" hidden="false" customHeight="true" outlineLevel="0" collapsed="false">
      <c r="A301" s="11" t="s">
        <v>1884</v>
      </c>
      <c r="B301" s="11" t="s">
        <v>953</v>
      </c>
      <c r="C301" s="11" t="s">
        <v>954</v>
      </c>
      <c r="D301" s="11" t="s">
        <v>1545</v>
      </c>
      <c r="E301" s="11" t="n">
        <v>1</v>
      </c>
      <c r="F301" s="11" t="s">
        <v>1497</v>
      </c>
      <c r="G301" s="11" t="s">
        <v>1885</v>
      </c>
      <c r="H301" s="11" t="s">
        <v>1545</v>
      </c>
      <c r="I301" s="11" t="s">
        <v>1494</v>
      </c>
      <c r="J301" s="11" t="s">
        <v>1852</v>
      </c>
      <c r="K301" s="11"/>
    </row>
    <row r="302" customFormat="false" ht="15" hidden="false" customHeight="true" outlineLevel="0" collapsed="false">
      <c r="A302" s="9" t="s">
        <v>1886</v>
      </c>
      <c r="B302" s="9" t="s">
        <v>953</v>
      </c>
      <c r="C302" s="9" t="s">
        <v>954</v>
      </c>
      <c r="D302" s="9" t="s">
        <v>1337</v>
      </c>
      <c r="E302" s="9" t="n">
        <v>1</v>
      </c>
      <c r="F302" s="9" t="s">
        <v>1492</v>
      </c>
      <c r="G302" s="9" t="s">
        <v>469</v>
      </c>
      <c r="H302" s="9" t="s">
        <v>1337</v>
      </c>
      <c r="I302" s="9" t="s">
        <v>1494</v>
      </c>
      <c r="J302" s="9" t="s">
        <v>1847</v>
      </c>
      <c r="K302" s="9"/>
    </row>
    <row r="303" customFormat="false" ht="15" hidden="false" customHeight="true" outlineLevel="0" collapsed="false">
      <c r="A303" s="11" t="s">
        <v>1887</v>
      </c>
      <c r="B303" s="11" t="s">
        <v>953</v>
      </c>
      <c r="C303" s="11" t="s">
        <v>954</v>
      </c>
      <c r="D303" s="11" t="s">
        <v>1337</v>
      </c>
      <c r="E303" s="11" t="n">
        <v>1</v>
      </c>
      <c r="F303" s="11" t="s">
        <v>1497</v>
      </c>
      <c r="G303" s="11" t="s">
        <v>1888</v>
      </c>
      <c r="H303" s="11" t="s">
        <v>1337</v>
      </c>
      <c r="I303" s="11" t="s">
        <v>1494</v>
      </c>
      <c r="J303" s="11" t="s">
        <v>1847</v>
      </c>
      <c r="K303" s="11"/>
    </row>
    <row r="304" customFormat="false" ht="15" hidden="false" customHeight="true" outlineLevel="0" collapsed="false">
      <c r="A304" s="9" t="s">
        <v>1889</v>
      </c>
      <c r="B304" s="9" t="s">
        <v>953</v>
      </c>
      <c r="C304" s="9" t="s">
        <v>954</v>
      </c>
      <c r="D304" s="9" t="s">
        <v>531</v>
      </c>
      <c r="E304" s="9" t="n">
        <v>1</v>
      </c>
      <c r="F304" s="9" t="s">
        <v>1492</v>
      </c>
      <c r="G304" s="9" t="s">
        <v>1871</v>
      </c>
      <c r="H304" s="9" t="s">
        <v>531</v>
      </c>
      <c r="I304" s="9" t="s">
        <v>1494</v>
      </c>
      <c r="J304" s="9" t="s">
        <v>1852</v>
      </c>
      <c r="K304" s="9"/>
    </row>
    <row r="305" customFormat="false" ht="15" hidden="false" customHeight="true" outlineLevel="0" collapsed="false">
      <c r="A305" s="11" t="s">
        <v>1890</v>
      </c>
      <c r="B305" s="11" t="s">
        <v>953</v>
      </c>
      <c r="C305" s="11" t="s">
        <v>954</v>
      </c>
      <c r="D305" s="11" t="s">
        <v>531</v>
      </c>
      <c r="E305" s="11" t="n">
        <v>1</v>
      </c>
      <c r="F305" s="11" t="s">
        <v>1497</v>
      </c>
      <c r="G305" s="11" t="s">
        <v>1844</v>
      </c>
      <c r="H305" s="11" t="s">
        <v>531</v>
      </c>
      <c r="I305" s="11" t="s">
        <v>1494</v>
      </c>
      <c r="J305" s="11" t="s">
        <v>1852</v>
      </c>
      <c r="K305" s="11"/>
    </row>
    <row r="306" customFormat="false" ht="15" hidden="false" customHeight="true" outlineLevel="0" collapsed="false">
      <c r="A306" s="9" t="s">
        <v>1891</v>
      </c>
      <c r="B306" s="9" t="s">
        <v>970</v>
      </c>
      <c r="C306" s="9" t="s">
        <v>971</v>
      </c>
      <c r="D306" s="9" t="s">
        <v>1151</v>
      </c>
      <c r="E306" s="9" t="n">
        <v>1</v>
      </c>
      <c r="F306" s="9" t="s">
        <v>1492</v>
      </c>
      <c r="G306" s="9" t="s">
        <v>1892</v>
      </c>
      <c r="H306" s="9" t="s">
        <v>1151</v>
      </c>
      <c r="I306" s="9" t="s">
        <v>1494</v>
      </c>
      <c r="J306" s="9" t="s">
        <v>1842</v>
      </c>
      <c r="K306" s="9"/>
    </row>
    <row r="307" customFormat="false" ht="15" hidden="false" customHeight="true" outlineLevel="0" collapsed="false">
      <c r="A307" s="11" t="s">
        <v>1893</v>
      </c>
      <c r="B307" s="11" t="s">
        <v>970</v>
      </c>
      <c r="C307" s="11" t="s">
        <v>971</v>
      </c>
      <c r="D307" s="11" t="s">
        <v>1151</v>
      </c>
      <c r="E307" s="11" t="n">
        <v>1</v>
      </c>
      <c r="F307" s="11" t="s">
        <v>1497</v>
      </c>
      <c r="G307" s="11" t="s">
        <v>1894</v>
      </c>
      <c r="H307" s="11" t="s">
        <v>1151</v>
      </c>
      <c r="I307" s="11" t="s">
        <v>1494</v>
      </c>
      <c r="J307" s="11" t="s">
        <v>1842</v>
      </c>
      <c r="K307" s="11"/>
    </row>
    <row r="308" customFormat="false" ht="15" hidden="false" customHeight="true" outlineLevel="0" collapsed="false">
      <c r="A308" s="9" t="s">
        <v>1895</v>
      </c>
      <c r="B308" s="9" t="s">
        <v>970</v>
      </c>
      <c r="C308" s="9" t="s">
        <v>971</v>
      </c>
      <c r="D308" s="9" t="s">
        <v>593</v>
      </c>
      <c r="E308" s="9" t="n">
        <v>1</v>
      </c>
      <c r="F308" s="9" t="s">
        <v>1492</v>
      </c>
      <c r="G308" s="9" t="s">
        <v>1896</v>
      </c>
      <c r="H308" s="9" t="s">
        <v>593</v>
      </c>
      <c r="I308" s="9" t="s">
        <v>1494</v>
      </c>
      <c r="J308" s="9" t="s">
        <v>1847</v>
      </c>
      <c r="K308" s="9"/>
    </row>
    <row r="309" customFormat="false" ht="15" hidden="false" customHeight="true" outlineLevel="0" collapsed="false">
      <c r="A309" s="11" t="s">
        <v>1897</v>
      </c>
      <c r="B309" s="11" t="s">
        <v>970</v>
      </c>
      <c r="C309" s="11" t="s">
        <v>971</v>
      </c>
      <c r="D309" s="11" t="s">
        <v>593</v>
      </c>
      <c r="E309" s="11" t="n">
        <v>1</v>
      </c>
      <c r="F309" s="11" t="s">
        <v>1497</v>
      </c>
      <c r="G309" s="11" t="s">
        <v>1898</v>
      </c>
      <c r="H309" s="11" t="s">
        <v>593</v>
      </c>
      <c r="I309" s="11" t="s">
        <v>1494</v>
      </c>
      <c r="J309" s="11" t="s">
        <v>1847</v>
      </c>
      <c r="K309" s="11"/>
    </row>
    <row r="310" customFormat="false" ht="15" hidden="false" customHeight="true" outlineLevel="0" collapsed="false">
      <c r="A310" s="9" t="s">
        <v>1899</v>
      </c>
      <c r="B310" s="9" t="s">
        <v>970</v>
      </c>
      <c r="C310" s="9" t="s">
        <v>971</v>
      </c>
      <c r="D310" s="9" t="s">
        <v>1505</v>
      </c>
      <c r="E310" s="9" t="n">
        <v>1</v>
      </c>
      <c r="F310" s="9" t="s">
        <v>1492</v>
      </c>
      <c r="G310" s="9" t="s">
        <v>1900</v>
      </c>
      <c r="H310" s="9" t="s">
        <v>1505</v>
      </c>
      <c r="I310" s="9" t="s">
        <v>1494</v>
      </c>
      <c r="J310" s="9" t="s">
        <v>1852</v>
      </c>
      <c r="K310" s="9"/>
    </row>
    <row r="311" customFormat="false" ht="15" hidden="false" customHeight="true" outlineLevel="0" collapsed="false">
      <c r="A311" s="11" t="s">
        <v>1901</v>
      </c>
      <c r="B311" s="11" t="s">
        <v>970</v>
      </c>
      <c r="C311" s="11" t="s">
        <v>971</v>
      </c>
      <c r="D311" s="11" t="s">
        <v>1505</v>
      </c>
      <c r="E311" s="11" t="n">
        <v>1</v>
      </c>
      <c r="F311" s="11" t="s">
        <v>1497</v>
      </c>
      <c r="G311" s="11" t="s">
        <v>1902</v>
      </c>
      <c r="H311" s="11" t="s">
        <v>1505</v>
      </c>
      <c r="I311" s="11" t="s">
        <v>1494</v>
      </c>
      <c r="J311" s="11" t="s">
        <v>1852</v>
      </c>
      <c r="K311" s="11"/>
    </row>
    <row r="312" customFormat="false" ht="15" hidden="false" customHeight="true" outlineLevel="0" collapsed="false">
      <c r="A312" s="9" t="s">
        <v>1903</v>
      </c>
      <c r="B312" s="9" t="s">
        <v>970</v>
      </c>
      <c r="C312" s="9" t="s">
        <v>971</v>
      </c>
      <c r="D312" s="9" t="s">
        <v>1511</v>
      </c>
      <c r="E312" s="9" t="n">
        <v>1</v>
      </c>
      <c r="F312" s="9" t="s">
        <v>1492</v>
      </c>
      <c r="G312" s="9" t="s">
        <v>481</v>
      </c>
      <c r="H312" s="9" t="s">
        <v>1511</v>
      </c>
      <c r="I312" s="9" t="s">
        <v>1494</v>
      </c>
      <c r="J312" s="9" t="s">
        <v>1842</v>
      </c>
      <c r="K312" s="9"/>
    </row>
    <row r="313" customFormat="false" ht="15" hidden="false" customHeight="true" outlineLevel="0" collapsed="false">
      <c r="A313" s="11" t="s">
        <v>1904</v>
      </c>
      <c r="B313" s="11" t="s">
        <v>970</v>
      </c>
      <c r="C313" s="11" t="s">
        <v>971</v>
      </c>
      <c r="D313" s="11" t="s">
        <v>1511</v>
      </c>
      <c r="E313" s="11" t="n">
        <v>1</v>
      </c>
      <c r="F313" s="11" t="s">
        <v>1497</v>
      </c>
      <c r="G313" s="11" t="s">
        <v>1905</v>
      </c>
      <c r="H313" s="11" t="s">
        <v>1511</v>
      </c>
      <c r="I313" s="11" t="s">
        <v>1494</v>
      </c>
      <c r="J313" s="11" t="s">
        <v>1842</v>
      </c>
      <c r="K313" s="11"/>
    </row>
    <row r="314" customFormat="false" ht="15" hidden="false" customHeight="true" outlineLevel="0" collapsed="false">
      <c r="A314" s="9" t="s">
        <v>1906</v>
      </c>
      <c r="B314" s="9" t="s">
        <v>970</v>
      </c>
      <c r="C314" s="9" t="s">
        <v>971</v>
      </c>
      <c r="D314" s="9" t="s">
        <v>1515</v>
      </c>
      <c r="E314" s="9" t="n">
        <v>1</v>
      </c>
      <c r="F314" s="9" t="s">
        <v>1492</v>
      </c>
      <c r="G314" s="9" t="s">
        <v>1907</v>
      </c>
      <c r="H314" s="9" t="s">
        <v>1515</v>
      </c>
      <c r="I314" s="9" t="s">
        <v>1494</v>
      </c>
      <c r="J314" s="9" t="s">
        <v>1847</v>
      </c>
      <c r="K314" s="9"/>
    </row>
    <row r="315" customFormat="false" ht="15" hidden="false" customHeight="true" outlineLevel="0" collapsed="false">
      <c r="A315" s="11" t="s">
        <v>1908</v>
      </c>
      <c r="B315" s="11" t="s">
        <v>970</v>
      </c>
      <c r="C315" s="11" t="s">
        <v>971</v>
      </c>
      <c r="D315" s="11" t="s">
        <v>1515</v>
      </c>
      <c r="E315" s="11" t="n">
        <v>1</v>
      </c>
      <c r="F315" s="11" t="s">
        <v>1497</v>
      </c>
      <c r="G315" s="11" t="s">
        <v>1909</v>
      </c>
      <c r="H315" s="11" t="s">
        <v>1515</v>
      </c>
      <c r="I315" s="11" t="s">
        <v>1494</v>
      </c>
      <c r="J315" s="11" t="s">
        <v>1847</v>
      </c>
      <c r="K315" s="11"/>
    </row>
    <row r="316" customFormat="false" ht="15" hidden="false" customHeight="true" outlineLevel="0" collapsed="false">
      <c r="A316" s="9" t="s">
        <v>1910</v>
      </c>
      <c r="B316" s="9" t="s">
        <v>970</v>
      </c>
      <c r="C316" s="9" t="s">
        <v>971</v>
      </c>
      <c r="D316" s="9" t="s">
        <v>1545</v>
      </c>
      <c r="E316" s="9" t="n">
        <v>1</v>
      </c>
      <c r="F316" s="9" t="s">
        <v>1492</v>
      </c>
      <c r="G316" s="9" t="s">
        <v>1911</v>
      </c>
      <c r="H316" s="9" t="s">
        <v>1545</v>
      </c>
      <c r="I316" s="9" t="s">
        <v>1494</v>
      </c>
      <c r="J316" s="9" t="s">
        <v>1852</v>
      </c>
      <c r="K316" s="9"/>
    </row>
    <row r="317" customFormat="false" ht="15" hidden="false" customHeight="true" outlineLevel="0" collapsed="false">
      <c r="A317" s="11" t="s">
        <v>1912</v>
      </c>
      <c r="B317" s="11" t="s">
        <v>970</v>
      </c>
      <c r="C317" s="11" t="s">
        <v>971</v>
      </c>
      <c r="D317" s="11" t="s">
        <v>1545</v>
      </c>
      <c r="E317" s="11" t="n">
        <v>1</v>
      </c>
      <c r="F317" s="11" t="s">
        <v>1497</v>
      </c>
      <c r="G317" s="11" t="s">
        <v>1913</v>
      </c>
      <c r="H317" s="11" t="s">
        <v>1545</v>
      </c>
      <c r="I317" s="11" t="s">
        <v>1494</v>
      </c>
      <c r="J317" s="11" t="s">
        <v>1852</v>
      </c>
      <c r="K317" s="11"/>
    </row>
    <row r="318" customFormat="false" ht="15" hidden="false" customHeight="true" outlineLevel="0" collapsed="false">
      <c r="A318" s="9" t="s">
        <v>1914</v>
      </c>
      <c r="B318" s="9" t="s">
        <v>970</v>
      </c>
      <c r="C318" s="9" t="s">
        <v>971</v>
      </c>
      <c r="D318" s="9" t="s">
        <v>1337</v>
      </c>
      <c r="E318" s="9" t="n">
        <v>1</v>
      </c>
      <c r="F318" s="9" t="s">
        <v>1492</v>
      </c>
      <c r="G318" s="9" t="s">
        <v>481</v>
      </c>
      <c r="H318" s="9" t="s">
        <v>1337</v>
      </c>
      <c r="I318" s="9" t="s">
        <v>1494</v>
      </c>
      <c r="J318" s="9" t="s">
        <v>1847</v>
      </c>
      <c r="K318" s="9"/>
    </row>
    <row r="319" customFormat="false" ht="15" hidden="false" customHeight="true" outlineLevel="0" collapsed="false">
      <c r="A319" s="11" t="s">
        <v>1915</v>
      </c>
      <c r="B319" s="11" t="s">
        <v>970</v>
      </c>
      <c r="C319" s="11" t="s">
        <v>971</v>
      </c>
      <c r="D319" s="11" t="s">
        <v>1337</v>
      </c>
      <c r="E319" s="11" t="n">
        <v>1</v>
      </c>
      <c r="F319" s="11" t="s">
        <v>1497</v>
      </c>
      <c r="G319" s="11" t="s">
        <v>1916</v>
      </c>
      <c r="H319" s="11" t="s">
        <v>1337</v>
      </c>
      <c r="I319" s="11" t="s">
        <v>1494</v>
      </c>
      <c r="J319" s="11" t="s">
        <v>1847</v>
      </c>
      <c r="K319" s="11"/>
    </row>
    <row r="320" customFormat="false" ht="15" hidden="false" customHeight="true" outlineLevel="0" collapsed="false">
      <c r="A320" s="9" t="s">
        <v>1917</v>
      </c>
      <c r="B320" s="9" t="s">
        <v>970</v>
      </c>
      <c r="C320" s="9" t="s">
        <v>971</v>
      </c>
      <c r="D320" s="9" t="s">
        <v>531</v>
      </c>
      <c r="E320" s="9" t="n">
        <v>1</v>
      </c>
      <c r="F320" s="9" t="s">
        <v>1492</v>
      </c>
      <c r="G320" s="9" t="s">
        <v>1918</v>
      </c>
      <c r="H320" s="9" t="s">
        <v>531</v>
      </c>
      <c r="I320" s="9" t="s">
        <v>1494</v>
      </c>
      <c r="J320" s="9" t="s">
        <v>1852</v>
      </c>
      <c r="K320" s="9"/>
    </row>
    <row r="321" customFormat="false" ht="15" hidden="false" customHeight="true" outlineLevel="0" collapsed="false">
      <c r="A321" s="11" t="s">
        <v>1919</v>
      </c>
      <c r="B321" s="11" t="s">
        <v>970</v>
      </c>
      <c r="C321" s="11" t="s">
        <v>971</v>
      </c>
      <c r="D321" s="11" t="s">
        <v>531</v>
      </c>
      <c r="E321" s="11" t="n">
        <v>1</v>
      </c>
      <c r="F321" s="11" t="s">
        <v>1497</v>
      </c>
      <c r="G321" s="11" t="s">
        <v>1894</v>
      </c>
      <c r="H321" s="11" t="s">
        <v>531</v>
      </c>
      <c r="I321" s="11" t="s">
        <v>1494</v>
      </c>
      <c r="J321" s="11" t="s">
        <v>1852</v>
      </c>
      <c r="K321" s="11"/>
    </row>
    <row r="322" customFormat="false" ht="15" hidden="false" customHeight="true" outlineLevel="0" collapsed="false">
      <c r="A322" s="9" t="s">
        <v>1920</v>
      </c>
      <c r="B322" s="9" t="s">
        <v>986</v>
      </c>
      <c r="C322" s="9" t="s">
        <v>987</v>
      </c>
      <c r="D322" s="9" t="s">
        <v>1151</v>
      </c>
      <c r="E322" s="9" t="n">
        <v>1</v>
      </c>
      <c r="F322" s="9" t="s">
        <v>1492</v>
      </c>
      <c r="G322" s="9" t="s">
        <v>1921</v>
      </c>
      <c r="H322" s="9" t="s">
        <v>1151</v>
      </c>
      <c r="I322" s="9" t="s">
        <v>1494</v>
      </c>
      <c r="J322" s="9" t="s">
        <v>1842</v>
      </c>
      <c r="K322" s="9"/>
    </row>
    <row r="323" customFormat="false" ht="15" hidden="false" customHeight="true" outlineLevel="0" collapsed="false">
      <c r="A323" s="11" t="s">
        <v>1922</v>
      </c>
      <c r="B323" s="11" t="s">
        <v>986</v>
      </c>
      <c r="C323" s="11" t="s">
        <v>987</v>
      </c>
      <c r="D323" s="11" t="s">
        <v>1151</v>
      </c>
      <c r="E323" s="11" t="n">
        <v>1</v>
      </c>
      <c r="F323" s="11" t="s">
        <v>1497</v>
      </c>
      <c r="G323" s="11" t="s">
        <v>1923</v>
      </c>
      <c r="H323" s="11" t="s">
        <v>593</v>
      </c>
      <c r="I323" s="11" t="s">
        <v>1494</v>
      </c>
      <c r="J323" s="11" t="s">
        <v>1842</v>
      </c>
      <c r="K323" s="11" t="s">
        <v>1531</v>
      </c>
    </row>
    <row r="324" customFormat="false" ht="15" hidden="false" customHeight="true" outlineLevel="0" collapsed="false">
      <c r="A324" s="9" t="s">
        <v>1924</v>
      </c>
      <c r="B324" s="9" t="s">
        <v>986</v>
      </c>
      <c r="C324" s="9" t="s">
        <v>987</v>
      </c>
      <c r="D324" s="9" t="s">
        <v>593</v>
      </c>
      <c r="E324" s="9" t="n">
        <v>1</v>
      </c>
      <c r="F324" s="9" t="s">
        <v>1492</v>
      </c>
      <c r="G324" s="9" t="s">
        <v>1925</v>
      </c>
      <c r="H324" s="9" t="s">
        <v>593</v>
      </c>
      <c r="I324" s="9" t="s">
        <v>1494</v>
      </c>
      <c r="J324" s="9" t="s">
        <v>1847</v>
      </c>
      <c r="K324" s="9"/>
    </row>
    <row r="325" customFormat="false" ht="15" hidden="false" customHeight="true" outlineLevel="0" collapsed="false">
      <c r="A325" s="11" t="s">
        <v>1926</v>
      </c>
      <c r="B325" s="11" t="s">
        <v>986</v>
      </c>
      <c r="C325" s="11" t="s">
        <v>987</v>
      </c>
      <c r="D325" s="11" t="s">
        <v>593</v>
      </c>
      <c r="E325" s="11" t="n">
        <v>1</v>
      </c>
      <c r="F325" s="11" t="s">
        <v>1497</v>
      </c>
      <c r="G325" s="11" t="s">
        <v>1927</v>
      </c>
      <c r="H325" s="11" t="s">
        <v>1505</v>
      </c>
      <c r="I325" s="11" t="s">
        <v>1494</v>
      </c>
      <c r="J325" s="11" t="s">
        <v>1847</v>
      </c>
      <c r="K325" s="11" t="s">
        <v>1531</v>
      </c>
    </row>
    <row r="326" customFormat="false" ht="15" hidden="false" customHeight="true" outlineLevel="0" collapsed="false">
      <c r="A326" s="9" t="s">
        <v>1928</v>
      </c>
      <c r="B326" s="9" t="s">
        <v>986</v>
      </c>
      <c r="C326" s="9" t="s">
        <v>987</v>
      </c>
      <c r="D326" s="9" t="s">
        <v>1505</v>
      </c>
      <c r="E326" s="9" t="n">
        <v>1</v>
      </c>
      <c r="F326" s="9" t="s">
        <v>1492</v>
      </c>
      <c r="G326" s="9" t="s">
        <v>1929</v>
      </c>
      <c r="H326" s="9" t="s">
        <v>1505</v>
      </c>
      <c r="I326" s="9" t="s">
        <v>1494</v>
      </c>
      <c r="J326" s="9" t="s">
        <v>1852</v>
      </c>
      <c r="K326" s="9"/>
    </row>
    <row r="327" customFormat="false" ht="15" hidden="false" customHeight="true" outlineLevel="0" collapsed="false">
      <c r="A327" s="11" t="s">
        <v>1930</v>
      </c>
      <c r="B327" s="11" t="s">
        <v>986</v>
      </c>
      <c r="C327" s="11" t="s">
        <v>987</v>
      </c>
      <c r="D327" s="11" t="s">
        <v>1505</v>
      </c>
      <c r="E327" s="11" t="n">
        <v>1</v>
      </c>
      <c r="F327" s="11" t="s">
        <v>1497</v>
      </c>
      <c r="G327" s="11" t="s">
        <v>1931</v>
      </c>
      <c r="H327" s="11" t="s">
        <v>1511</v>
      </c>
      <c r="I327" s="11" t="s">
        <v>1494</v>
      </c>
      <c r="J327" s="11" t="s">
        <v>1852</v>
      </c>
      <c r="K327" s="11" t="s">
        <v>1531</v>
      </c>
    </row>
    <row r="328" customFormat="false" ht="15" hidden="false" customHeight="true" outlineLevel="0" collapsed="false">
      <c r="A328" s="9" t="s">
        <v>1932</v>
      </c>
      <c r="B328" s="9" t="s">
        <v>986</v>
      </c>
      <c r="C328" s="9" t="s">
        <v>987</v>
      </c>
      <c r="D328" s="9" t="s">
        <v>1511</v>
      </c>
      <c r="E328" s="9" t="n">
        <v>1</v>
      </c>
      <c r="F328" s="9" t="s">
        <v>1492</v>
      </c>
      <c r="G328" s="9" t="s">
        <v>470</v>
      </c>
      <c r="H328" s="9" t="s">
        <v>1511</v>
      </c>
      <c r="I328" s="9" t="s">
        <v>1494</v>
      </c>
      <c r="J328" s="9" t="s">
        <v>1842</v>
      </c>
      <c r="K328" s="9"/>
    </row>
    <row r="329" customFormat="false" ht="15" hidden="false" customHeight="true" outlineLevel="0" collapsed="false">
      <c r="A329" s="11" t="s">
        <v>1933</v>
      </c>
      <c r="B329" s="11" t="s">
        <v>986</v>
      </c>
      <c r="C329" s="11" t="s">
        <v>987</v>
      </c>
      <c r="D329" s="11" t="s">
        <v>1511</v>
      </c>
      <c r="E329" s="11" t="n">
        <v>1</v>
      </c>
      <c r="F329" s="11" t="s">
        <v>1497</v>
      </c>
      <c r="G329" s="11" t="s">
        <v>1934</v>
      </c>
      <c r="H329" s="11" t="s">
        <v>1515</v>
      </c>
      <c r="I329" s="11" t="s">
        <v>1494</v>
      </c>
      <c r="J329" s="11" t="s">
        <v>1842</v>
      </c>
      <c r="K329" s="11" t="s">
        <v>1531</v>
      </c>
    </row>
    <row r="330" customFormat="false" ht="15" hidden="false" customHeight="true" outlineLevel="0" collapsed="false">
      <c r="A330" s="9" t="s">
        <v>1935</v>
      </c>
      <c r="B330" s="9" t="s">
        <v>986</v>
      </c>
      <c r="C330" s="9" t="s">
        <v>987</v>
      </c>
      <c r="D330" s="9" t="s">
        <v>1515</v>
      </c>
      <c r="E330" s="9" t="n">
        <v>1</v>
      </c>
      <c r="F330" s="9" t="s">
        <v>1492</v>
      </c>
      <c r="G330" s="9" t="s">
        <v>1936</v>
      </c>
      <c r="H330" s="9" t="s">
        <v>1515</v>
      </c>
      <c r="I330" s="9" t="s">
        <v>1494</v>
      </c>
      <c r="J330" s="9" t="s">
        <v>1847</v>
      </c>
      <c r="K330" s="9"/>
    </row>
    <row r="331" customFormat="false" ht="15" hidden="false" customHeight="true" outlineLevel="0" collapsed="false">
      <c r="A331" s="11" t="s">
        <v>1937</v>
      </c>
      <c r="B331" s="11" t="s">
        <v>986</v>
      </c>
      <c r="C331" s="11" t="s">
        <v>987</v>
      </c>
      <c r="D331" s="11" t="s">
        <v>1515</v>
      </c>
      <c r="E331" s="11" t="n">
        <v>1</v>
      </c>
      <c r="F331" s="11" t="s">
        <v>1497</v>
      </c>
      <c r="G331" s="11" t="s">
        <v>1938</v>
      </c>
      <c r="H331" s="11" t="s">
        <v>1359</v>
      </c>
      <c r="I331" s="11" t="s">
        <v>1494</v>
      </c>
      <c r="J331" s="11" t="s">
        <v>1847</v>
      </c>
      <c r="K331" s="11" t="s">
        <v>1531</v>
      </c>
    </row>
    <row r="332" customFormat="false" ht="15" hidden="false" customHeight="true" outlineLevel="0" collapsed="false">
      <c r="A332" s="9" t="s">
        <v>1939</v>
      </c>
      <c r="B332" s="9" t="s">
        <v>986</v>
      </c>
      <c r="C332" s="9" t="s">
        <v>987</v>
      </c>
      <c r="D332" s="9" t="s">
        <v>1332</v>
      </c>
      <c r="E332" s="9" t="n">
        <v>1</v>
      </c>
      <c r="F332" s="9" t="s">
        <v>1492</v>
      </c>
      <c r="G332" s="9" t="s">
        <v>1940</v>
      </c>
      <c r="H332" s="9" t="s">
        <v>1332</v>
      </c>
      <c r="I332" s="9" t="s">
        <v>1494</v>
      </c>
      <c r="J332" s="9" t="s">
        <v>1842</v>
      </c>
      <c r="K332" s="9"/>
    </row>
    <row r="333" customFormat="false" ht="15" hidden="false" customHeight="true" outlineLevel="0" collapsed="false">
      <c r="A333" s="11" t="s">
        <v>1941</v>
      </c>
      <c r="B333" s="11" t="s">
        <v>986</v>
      </c>
      <c r="C333" s="11" t="s">
        <v>987</v>
      </c>
      <c r="D333" s="11" t="s">
        <v>1332</v>
      </c>
      <c r="E333" s="11" t="n">
        <v>1</v>
      </c>
      <c r="F333" s="11" t="s">
        <v>1497</v>
      </c>
      <c r="G333" s="11" t="s">
        <v>1942</v>
      </c>
      <c r="H333" s="11" t="s">
        <v>1524</v>
      </c>
      <c r="I333" s="11" t="s">
        <v>1494</v>
      </c>
      <c r="J333" s="11" t="s">
        <v>1842</v>
      </c>
      <c r="K333" s="11" t="s">
        <v>1531</v>
      </c>
    </row>
    <row r="334" customFormat="false" ht="15" hidden="false" customHeight="true" outlineLevel="0" collapsed="false">
      <c r="A334" s="9" t="s">
        <v>1943</v>
      </c>
      <c r="B334" s="9" t="s">
        <v>986</v>
      </c>
      <c r="C334" s="9" t="s">
        <v>987</v>
      </c>
      <c r="D334" s="9" t="s">
        <v>1524</v>
      </c>
      <c r="E334" s="9" t="n">
        <v>1</v>
      </c>
      <c r="F334" s="9" t="s">
        <v>1492</v>
      </c>
      <c r="G334" s="9" t="s">
        <v>1944</v>
      </c>
      <c r="H334" s="9" t="s">
        <v>1524</v>
      </c>
      <c r="I334" s="9" t="s">
        <v>1494</v>
      </c>
      <c r="J334" s="9" t="s">
        <v>1847</v>
      </c>
      <c r="K334" s="9"/>
    </row>
    <row r="335" customFormat="false" ht="15" hidden="false" customHeight="true" outlineLevel="0" collapsed="false">
      <c r="A335" s="11" t="s">
        <v>1945</v>
      </c>
      <c r="B335" s="11" t="s">
        <v>986</v>
      </c>
      <c r="C335" s="11" t="s">
        <v>987</v>
      </c>
      <c r="D335" s="11" t="s">
        <v>1524</v>
      </c>
      <c r="E335" s="11" t="n">
        <v>1</v>
      </c>
      <c r="F335" s="11" t="s">
        <v>1497</v>
      </c>
      <c r="G335" s="11" t="s">
        <v>1946</v>
      </c>
      <c r="H335" s="11" t="s">
        <v>1377</v>
      </c>
      <c r="I335" s="11" t="s">
        <v>1494</v>
      </c>
      <c r="J335" s="11" t="s">
        <v>1847</v>
      </c>
      <c r="K335" s="11" t="s">
        <v>1531</v>
      </c>
    </row>
    <row r="336" customFormat="false" ht="15" hidden="false" customHeight="true" outlineLevel="0" collapsed="false">
      <c r="A336" s="9" t="s">
        <v>1947</v>
      </c>
      <c r="B336" s="9" t="s">
        <v>986</v>
      </c>
      <c r="C336" s="9" t="s">
        <v>987</v>
      </c>
      <c r="D336" s="9" t="s">
        <v>1377</v>
      </c>
      <c r="E336" s="9" t="n">
        <v>1</v>
      </c>
      <c r="F336" s="9" t="s">
        <v>1492</v>
      </c>
      <c r="G336" s="9" t="s">
        <v>1948</v>
      </c>
      <c r="H336" s="9" t="s">
        <v>1377</v>
      </c>
      <c r="I336" s="9" t="s">
        <v>1494</v>
      </c>
      <c r="J336" s="9" t="s">
        <v>1852</v>
      </c>
      <c r="K336" s="9"/>
    </row>
    <row r="337" customFormat="false" ht="15" hidden="false" customHeight="true" outlineLevel="0" collapsed="false">
      <c r="A337" s="11" t="s">
        <v>1949</v>
      </c>
      <c r="B337" s="11" t="s">
        <v>986</v>
      </c>
      <c r="C337" s="11" t="s">
        <v>987</v>
      </c>
      <c r="D337" s="11" t="s">
        <v>1377</v>
      </c>
      <c r="E337" s="11" t="n">
        <v>1</v>
      </c>
      <c r="F337" s="11" t="s">
        <v>1497</v>
      </c>
      <c r="G337" s="11" t="s">
        <v>1950</v>
      </c>
      <c r="H337" s="11" t="s">
        <v>1355</v>
      </c>
      <c r="I337" s="11" t="s">
        <v>1494</v>
      </c>
      <c r="J337" s="11" t="s">
        <v>1852</v>
      </c>
      <c r="K337" s="11" t="s">
        <v>1531</v>
      </c>
    </row>
    <row r="338" customFormat="false" ht="15" hidden="false" customHeight="true" outlineLevel="0" collapsed="false">
      <c r="A338" s="9" t="s">
        <v>1951</v>
      </c>
      <c r="B338" s="9" t="s">
        <v>986</v>
      </c>
      <c r="C338" s="9" t="s">
        <v>987</v>
      </c>
      <c r="D338" s="9" t="s">
        <v>1355</v>
      </c>
      <c r="E338" s="9" t="n">
        <v>1</v>
      </c>
      <c r="F338" s="9" t="s">
        <v>1492</v>
      </c>
      <c r="G338" s="9" t="s">
        <v>1952</v>
      </c>
      <c r="H338" s="9" t="s">
        <v>1355</v>
      </c>
      <c r="I338" s="9" t="s">
        <v>1494</v>
      </c>
      <c r="J338" s="9" t="s">
        <v>1842</v>
      </c>
      <c r="K338" s="9"/>
    </row>
    <row r="339" customFormat="false" ht="15" hidden="false" customHeight="true" outlineLevel="0" collapsed="false">
      <c r="A339" s="11" t="s">
        <v>1953</v>
      </c>
      <c r="B339" s="11" t="s">
        <v>986</v>
      </c>
      <c r="C339" s="11" t="s">
        <v>987</v>
      </c>
      <c r="D339" s="11" t="s">
        <v>1355</v>
      </c>
      <c r="E339" s="11" t="n">
        <v>1</v>
      </c>
      <c r="F339" s="11" t="s">
        <v>1497</v>
      </c>
      <c r="G339" s="11" t="s">
        <v>1954</v>
      </c>
      <c r="H339" s="11" t="s">
        <v>1459</v>
      </c>
      <c r="I339" s="11" t="s">
        <v>1494</v>
      </c>
      <c r="J339" s="11" t="s">
        <v>1842</v>
      </c>
      <c r="K339" s="11" t="s">
        <v>1531</v>
      </c>
    </row>
    <row r="340" customFormat="false" ht="15" hidden="false" customHeight="true" outlineLevel="0" collapsed="false">
      <c r="A340" s="9" t="s">
        <v>1955</v>
      </c>
      <c r="B340" s="9" t="s">
        <v>986</v>
      </c>
      <c r="C340" s="9" t="s">
        <v>987</v>
      </c>
      <c r="D340" s="9" t="s">
        <v>1459</v>
      </c>
      <c r="E340" s="9" t="n">
        <v>1</v>
      </c>
      <c r="F340" s="9" t="s">
        <v>1492</v>
      </c>
      <c r="G340" s="9" t="s">
        <v>1956</v>
      </c>
      <c r="H340" s="9" t="s">
        <v>1459</v>
      </c>
      <c r="I340" s="9" t="s">
        <v>1494</v>
      </c>
      <c r="J340" s="9" t="s">
        <v>1847</v>
      </c>
      <c r="K340" s="9"/>
    </row>
    <row r="341" customFormat="false" ht="15" hidden="false" customHeight="true" outlineLevel="0" collapsed="false">
      <c r="A341" s="11" t="s">
        <v>1957</v>
      </c>
      <c r="B341" s="11" t="s">
        <v>986</v>
      </c>
      <c r="C341" s="11" t="s">
        <v>987</v>
      </c>
      <c r="D341" s="11" t="s">
        <v>1459</v>
      </c>
      <c r="E341" s="11" t="n">
        <v>1</v>
      </c>
      <c r="F341" s="11" t="s">
        <v>1497</v>
      </c>
      <c r="G341" s="11" t="s">
        <v>1958</v>
      </c>
      <c r="H341" s="11" t="s">
        <v>1545</v>
      </c>
      <c r="I341" s="11" t="s">
        <v>1494</v>
      </c>
      <c r="J341" s="11" t="s">
        <v>1847</v>
      </c>
      <c r="K341" s="11" t="s">
        <v>1531</v>
      </c>
    </row>
    <row r="342" customFormat="false" ht="15" hidden="false" customHeight="true" outlineLevel="0" collapsed="false">
      <c r="A342" s="9" t="s">
        <v>1959</v>
      </c>
      <c r="B342" s="9" t="s">
        <v>986</v>
      </c>
      <c r="C342" s="9" t="s">
        <v>987</v>
      </c>
      <c r="D342" s="9" t="s">
        <v>1545</v>
      </c>
      <c r="E342" s="9" t="n">
        <v>1</v>
      </c>
      <c r="F342" s="9" t="s">
        <v>1492</v>
      </c>
      <c r="G342" s="9" t="s">
        <v>1960</v>
      </c>
      <c r="H342" s="9" t="s">
        <v>1545</v>
      </c>
      <c r="I342" s="9" t="s">
        <v>1494</v>
      </c>
      <c r="J342" s="9" t="s">
        <v>1852</v>
      </c>
      <c r="K342" s="9"/>
    </row>
    <row r="343" customFormat="false" ht="15" hidden="false" customHeight="true" outlineLevel="0" collapsed="false">
      <c r="A343" s="11" t="s">
        <v>1961</v>
      </c>
      <c r="B343" s="11" t="s">
        <v>986</v>
      </c>
      <c r="C343" s="11" t="s">
        <v>987</v>
      </c>
      <c r="D343" s="11" t="s">
        <v>1545</v>
      </c>
      <c r="E343" s="11" t="n">
        <v>1</v>
      </c>
      <c r="F343" s="11" t="s">
        <v>1497</v>
      </c>
      <c r="G343" s="11" t="s">
        <v>1962</v>
      </c>
      <c r="H343" s="11" t="s">
        <v>1409</v>
      </c>
      <c r="I343" s="11" t="s">
        <v>1494</v>
      </c>
      <c r="J343" s="11" t="s">
        <v>1852</v>
      </c>
      <c r="K343" s="11" t="s">
        <v>1531</v>
      </c>
    </row>
    <row r="344" customFormat="false" ht="15" hidden="false" customHeight="true" outlineLevel="0" collapsed="false">
      <c r="A344" s="9" t="s">
        <v>1963</v>
      </c>
      <c r="B344" s="9" t="s">
        <v>986</v>
      </c>
      <c r="C344" s="9" t="s">
        <v>987</v>
      </c>
      <c r="D344" s="9" t="s">
        <v>1337</v>
      </c>
      <c r="E344" s="9" t="n">
        <v>1</v>
      </c>
      <c r="F344" s="9" t="s">
        <v>1492</v>
      </c>
      <c r="G344" s="9" t="s">
        <v>470</v>
      </c>
      <c r="H344" s="9" t="s">
        <v>1337</v>
      </c>
      <c r="I344" s="9" t="s">
        <v>1494</v>
      </c>
      <c r="J344" s="9" t="s">
        <v>1847</v>
      </c>
      <c r="K344" s="9"/>
    </row>
    <row r="345" customFormat="false" ht="15" hidden="false" customHeight="true" outlineLevel="0" collapsed="false">
      <c r="A345" s="11" t="s">
        <v>1964</v>
      </c>
      <c r="B345" s="11" t="s">
        <v>986</v>
      </c>
      <c r="C345" s="11" t="s">
        <v>987</v>
      </c>
      <c r="D345" s="11" t="s">
        <v>1337</v>
      </c>
      <c r="E345" s="11" t="n">
        <v>1</v>
      </c>
      <c r="F345" s="11" t="s">
        <v>1497</v>
      </c>
      <c r="G345" s="11" t="s">
        <v>1965</v>
      </c>
      <c r="H345" s="11" t="s">
        <v>531</v>
      </c>
      <c r="I345" s="11" t="s">
        <v>1494</v>
      </c>
      <c r="J345" s="11" t="s">
        <v>1847</v>
      </c>
      <c r="K345" s="11" t="s">
        <v>1531</v>
      </c>
    </row>
    <row r="346" customFormat="false" ht="15" hidden="false" customHeight="true" outlineLevel="0" collapsed="false">
      <c r="A346" s="9" t="s">
        <v>1966</v>
      </c>
      <c r="B346" s="9" t="s">
        <v>986</v>
      </c>
      <c r="C346" s="9" t="s">
        <v>987</v>
      </c>
      <c r="D346" s="9" t="s">
        <v>531</v>
      </c>
      <c r="E346" s="9" t="n">
        <v>1</v>
      </c>
      <c r="F346" s="9" t="s">
        <v>1492</v>
      </c>
      <c r="G346" s="9" t="s">
        <v>1948</v>
      </c>
      <c r="H346" s="9" t="s">
        <v>531</v>
      </c>
      <c r="I346" s="9" t="s">
        <v>1494</v>
      </c>
      <c r="J346" s="9" t="s">
        <v>1852</v>
      </c>
      <c r="K346" s="9"/>
    </row>
    <row r="347" customFormat="false" ht="15" hidden="false" customHeight="true" outlineLevel="0" collapsed="false">
      <c r="A347" s="11" t="s">
        <v>1967</v>
      </c>
      <c r="B347" s="11" t="s">
        <v>986</v>
      </c>
      <c r="C347" s="11" t="s">
        <v>987</v>
      </c>
      <c r="D347" s="11" t="s">
        <v>531</v>
      </c>
      <c r="E347" s="11" t="n">
        <v>1</v>
      </c>
      <c r="F347" s="11" t="s">
        <v>1497</v>
      </c>
      <c r="G347" s="11" t="s">
        <v>1923</v>
      </c>
      <c r="H347" s="11" t="s">
        <v>1164</v>
      </c>
      <c r="I347" s="11" t="s">
        <v>1494</v>
      </c>
      <c r="J347" s="11" t="s">
        <v>1852</v>
      </c>
      <c r="K347" s="11" t="s">
        <v>1531</v>
      </c>
    </row>
    <row r="348" customFormat="false" ht="15" hidden="false" customHeight="true" outlineLevel="0" collapsed="false">
      <c r="A348" s="9" t="s">
        <v>1968</v>
      </c>
      <c r="B348" s="9" t="s">
        <v>1068</v>
      </c>
      <c r="C348" s="9" t="s">
        <v>1069</v>
      </c>
      <c r="D348" s="9" t="s">
        <v>1151</v>
      </c>
      <c r="E348" s="9" t="n">
        <v>1</v>
      </c>
      <c r="F348" s="9" t="s">
        <v>1492</v>
      </c>
      <c r="G348" s="9" t="s">
        <v>1493</v>
      </c>
      <c r="H348" s="9" t="s">
        <v>1151</v>
      </c>
      <c r="I348" s="9" t="s">
        <v>1494</v>
      </c>
      <c r="J348" s="9" t="s">
        <v>1969</v>
      </c>
      <c r="K348" s="9"/>
    </row>
    <row r="349" customFormat="false" ht="15" hidden="false" customHeight="true" outlineLevel="0" collapsed="false">
      <c r="A349" s="11" t="s">
        <v>1970</v>
      </c>
      <c r="B349" s="11" t="s">
        <v>1068</v>
      </c>
      <c r="C349" s="11" t="s">
        <v>1069</v>
      </c>
      <c r="D349" s="11" t="s">
        <v>1151</v>
      </c>
      <c r="E349" s="11" t="n">
        <v>1</v>
      </c>
      <c r="F349" s="11" t="s">
        <v>1497</v>
      </c>
      <c r="G349" s="11" t="s">
        <v>1498</v>
      </c>
      <c r="H349" s="11" t="s">
        <v>1151</v>
      </c>
      <c r="I349" s="11" t="s">
        <v>1494</v>
      </c>
      <c r="J349" s="11" t="s">
        <v>1969</v>
      </c>
      <c r="K349" s="11"/>
    </row>
    <row r="350" customFormat="false" ht="15" hidden="false" customHeight="true" outlineLevel="0" collapsed="false">
      <c r="A350" s="9" t="s">
        <v>1971</v>
      </c>
      <c r="B350" s="9" t="s">
        <v>1068</v>
      </c>
      <c r="C350" s="9" t="s">
        <v>1069</v>
      </c>
      <c r="D350" s="9" t="s">
        <v>593</v>
      </c>
      <c r="E350" s="9" t="n">
        <v>1</v>
      </c>
      <c r="F350" s="9" t="s">
        <v>1492</v>
      </c>
      <c r="G350" s="9" t="s">
        <v>1500</v>
      </c>
      <c r="H350" s="9" t="s">
        <v>593</v>
      </c>
      <c r="I350" s="9" t="s">
        <v>1494</v>
      </c>
      <c r="J350" s="9" t="s">
        <v>1972</v>
      </c>
      <c r="K350" s="9"/>
    </row>
    <row r="351" customFormat="false" ht="15" hidden="false" customHeight="true" outlineLevel="0" collapsed="false">
      <c r="A351" s="11" t="s">
        <v>1973</v>
      </c>
      <c r="B351" s="11" t="s">
        <v>1068</v>
      </c>
      <c r="C351" s="11" t="s">
        <v>1069</v>
      </c>
      <c r="D351" s="11" t="s">
        <v>593</v>
      </c>
      <c r="E351" s="11" t="n">
        <v>1</v>
      </c>
      <c r="F351" s="11" t="s">
        <v>1497</v>
      </c>
      <c r="G351" s="11" t="s">
        <v>1503</v>
      </c>
      <c r="H351" s="11" t="s">
        <v>593</v>
      </c>
      <c r="I351" s="11" t="s">
        <v>1494</v>
      </c>
      <c r="J351" s="11" t="s">
        <v>1972</v>
      </c>
      <c r="K351" s="11"/>
    </row>
    <row r="352" customFormat="false" ht="15" hidden="false" customHeight="true" outlineLevel="0" collapsed="false">
      <c r="A352" s="9" t="s">
        <v>1974</v>
      </c>
      <c r="B352" s="9" t="s">
        <v>1068</v>
      </c>
      <c r="C352" s="9" t="s">
        <v>1069</v>
      </c>
      <c r="D352" s="9" t="s">
        <v>1505</v>
      </c>
      <c r="E352" s="9" t="n">
        <v>1</v>
      </c>
      <c r="F352" s="9" t="s">
        <v>1492</v>
      </c>
      <c r="G352" s="9" t="s">
        <v>1506</v>
      </c>
      <c r="H352" s="9" t="s">
        <v>1505</v>
      </c>
      <c r="I352" s="9" t="s">
        <v>1494</v>
      </c>
      <c r="J352" s="9" t="s">
        <v>1975</v>
      </c>
      <c r="K352" s="9"/>
    </row>
    <row r="353" customFormat="false" ht="15" hidden="false" customHeight="true" outlineLevel="0" collapsed="false">
      <c r="A353" s="11" t="s">
        <v>1976</v>
      </c>
      <c r="B353" s="11" t="s">
        <v>1068</v>
      </c>
      <c r="C353" s="11" t="s">
        <v>1069</v>
      </c>
      <c r="D353" s="11" t="s">
        <v>1505</v>
      </c>
      <c r="E353" s="11" t="n">
        <v>1</v>
      </c>
      <c r="F353" s="11" t="s">
        <v>1497</v>
      </c>
      <c r="G353" s="11" t="s">
        <v>1509</v>
      </c>
      <c r="H353" s="11" t="s">
        <v>1505</v>
      </c>
      <c r="I353" s="11" t="s">
        <v>1494</v>
      </c>
      <c r="J353" s="11" t="s">
        <v>1975</v>
      </c>
      <c r="K353" s="11"/>
    </row>
    <row r="354" customFormat="false" ht="15" hidden="false" customHeight="true" outlineLevel="0" collapsed="false">
      <c r="A354" s="9" t="s">
        <v>1977</v>
      </c>
      <c r="B354" s="9" t="s">
        <v>1068</v>
      </c>
      <c r="C354" s="9" t="s">
        <v>1069</v>
      </c>
      <c r="D354" s="9" t="s">
        <v>1511</v>
      </c>
      <c r="E354" s="9" t="n">
        <v>1</v>
      </c>
      <c r="F354" s="9" t="s">
        <v>1492</v>
      </c>
      <c r="G354" s="9" t="s">
        <v>457</v>
      </c>
      <c r="H354" s="9" t="s">
        <v>1511</v>
      </c>
      <c r="I354" s="9" t="s">
        <v>1494</v>
      </c>
      <c r="J354" s="9" t="s">
        <v>1969</v>
      </c>
      <c r="K354" s="9"/>
    </row>
    <row r="355" customFormat="false" ht="15" hidden="false" customHeight="true" outlineLevel="0" collapsed="false">
      <c r="A355" s="11" t="s">
        <v>1978</v>
      </c>
      <c r="B355" s="11" t="s">
        <v>1068</v>
      </c>
      <c r="C355" s="11" t="s">
        <v>1069</v>
      </c>
      <c r="D355" s="11" t="s">
        <v>1511</v>
      </c>
      <c r="E355" s="11" t="n">
        <v>1</v>
      </c>
      <c r="F355" s="11" t="s">
        <v>1497</v>
      </c>
      <c r="G355" s="11" t="s">
        <v>1513</v>
      </c>
      <c r="H355" s="11" t="s">
        <v>1511</v>
      </c>
      <c r="I355" s="11" t="s">
        <v>1494</v>
      </c>
      <c r="J355" s="11" t="s">
        <v>1969</v>
      </c>
      <c r="K355" s="11"/>
    </row>
    <row r="356" customFormat="false" ht="15" hidden="false" customHeight="true" outlineLevel="0" collapsed="false">
      <c r="A356" s="9" t="s">
        <v>1979</v>
      </c>
      <c r="B356" s="9" t="s">
        <v>1068</v>
      </c>
      <c r="C356" s="9" t="s">
        <v>1069</v>
      </c>
      <c r="D356" s="9" t="s">
        <v>1515</v>
      </c>
      <c r="E356" s="9" t="n">
        <v>1</v>
      </c>
      <c r="F356" s="9" t="s">
        <v>1492</v>
      </c>
      <c r="G356" s="9" t="s">
        <v>1516</v>
      </c>
      <c r="H356" s="9" t="s">
        <v>1515</v>
      </c>
      <c r="I356" s="9" t="s">
        <v>1494</v>
      </c>
      <c r="J356" s="9" t="s">
        <v>1972</v>
      </c>
      <c r="K356" s="9"/>
    </row>
    <row r="357" customFormat="false" ht="15" hidden="false" customHeight="true" outlineLevel="0" collapsed="false">
      <c r="A357" s="11" t="s">
        <v>1980</v>
      </c>
      <c r="B357" s="11" t="s">
        <v>1068</v>
      </c>
      <c r="C357" s="11" t="s">
        <v>1069</v>
      </c>
      <c r="D357" s="11" t="s">
        <v>1515</v>
      </c>
      <c r="E357" s="11" t="n">
        <v>1</v>
      </c>
      <c r="F357" s="11" t="s">
        <v>1497</v>
      </c>
      <c r="G357" s="11" t="s">
        <v>1518</v>
      </c>
      <c r="H357" s="11" t="s">
        <v>1515</v>
      </c>
      <c r="I357" s="11" t="s">
        <v>1494</v>
      </c>
      <c r="J357" s="11" t="s">
        <v>1972</v>
      </c>
      <c r="K357" s="11"/>
    </row>
    <row r="358" customFormat="false" ht="15" hidden="false" customHeight="true" outlineLevel="0" collapsed="false">
      <c r="A358" s="9" t="s">
        <v>1981</v>
      </c>
      <c r="B358" s="9" t="s">
        <v>1068</v>
      </c>
      <c r="C358" s="9" t="s">
        <v>1069</v>
      </c>
      <c r="D358" s="9" t="s">
        <v>1332</v>
      </c>
      <c r="E358" s="9" t="n">
        <v>1</v>
      </c>
      <c r="F358" s="9" t="s">
        <v>1492</v>
      </c>
      <c r="G358" s="9" t="s">
        <v>1520</v>
      </c>
      <c r="H358" s="9" t="s">
        <v>1332</v>
      </c>
      <c r="I358" s="9" t="s">
        <v>1494</v>
      </c>
      <c r="J358" s="9" t="s">
        <v>1969</v>
      </c>
      <c r="K358" s="9"/>
    </row>
    <row r="359" customFormat="false" ht="15" hidden="false" customHeight="true" outlineLevel="0" collapsed="false">
      <c r="A359" s="11" t="s">
        <v>1982</v>
      </c>
      <c r="B359" s="11" t="s">
        <v>1068</v>
      </c>
      <c r="C359" s="11" t="s">
        <v>1069</v>
      </c>
      <c r="D359" s="11" t="s">
        <v>1332</v>
      </c>
      <c r="E359" s="11" t="n">
        <v>1</v>
      </c>
      <c r="F359" s="11" t="s">
        <v>1497</v>
      </c>
      <c r="G359" s="11" t="s">
        <v>1522</v>
      </c>
      <c r="H359" s="11" t="s">
        <v>1332</v>
      </c>
      <c r="I359" s="11" t="s">
        <v>1494</v>
      </c>
      <c r="J359" s="11" t="s">
        <v>1969</v>
      </c>
      <c r="K359" s="11"/>
    </row>
    <row r="360" customFormat="false" ht="15" hidden="false" customHeight="true" outlineLevel="0" collapsed="false">
      <c r="A360" s="9" t="s">
        <v>1983</v>
      </c>
      <c r="B360" s="9" t="s">
        <v>1068</v>
      </c>
      <c r="C360" s="9" t="s">
        <v>1069</v>
      </c>
      <c r="D360" s="9" t="s">
        <v>1524</v>
      </c>
      <c r="E360" s="9" t="n">
        <v>1</v>
      </c>
      <c r="F360" s="9" t="s">
        <v>1492</v>
      </c>
      <c r="G360" s="9" t="s">
        <v>472</v>
      </c>
      <c r="H360" s="9" t="s">
        <v>1524</v>
      </c>
      <c r="I360" s="9" t="s">
        <v>1494</v>
      </c>
      <c r="J360" s="9" t="s">
        <v>1972</v>
      </c>
      <c r="K360" s="9"/>
    </row>
    <row r="361" customFormat="false" ht="15" hidden="false" customHeight="true" outlineLevel="0" collapsed="false">
      <c r="A361" s="11" t="s">
        <v>1984</v>
      </c>
      <c r="B361" s="11" t="s">
        <v>1068</v>
      </c>
      <c r="C361" s="11" t="s">
        <v>1069</v>
      </c>
      <c r="D361" s="11" t="s">
        <v>1524</v>
      </c>
      <c r="E361" s="11" t="n">
        <v>1</v>
      </c>
      <c r="F361" s="11" t="s">
        <v>1497</v>
      </c>
      <c r="G361" s="11" t="s">
        <v>1571</v>
      </c>
      <c r="H361" s="11" t="s">
        <v>1524</v>
      </c>
      <c r="I361" s="11" t="s">
        <v>1494</v>
      </c>
      <c r="J361" s="11" t="s">
        <v>1972</v>
      </c>
      <c r="K361" s="11"/>
    </row>
    <row r="362" customFormat="false" ht="15" hidden="false" customHeight="true" outlineLevel="0" collapsed="false">
      <c r="A362" s="9" t="s">
        <v>1985</v>
      </c>
      <c r="B362" s="9" t="s">
        <v>1068</v>
      </c>
      <c r="C362" s="9" t="s">
        <v>1069</v>
      </c>
      <c r="D362" s="9" t="s">
        <v>1377</v>
      </c>
      <c r="E362" s="9" t="n">
        <v>1</v>
      </c>
      <c r="F362" s="9" t="s">
        <v>1492</v>
      </c>
      <c r="G362" s="9" t="s">
        <v>1552</v>
      </c>
      <c r="H362" s="9" t="s">
        <v>1377</v>
      </c>
      <c r="I362" s="9" t="s">
        <v>1494</v>
      </c>
      <c r="J362" s="9" t="s">
        <v>1975</v>
      </c>
      <c r="K362" s="9"/>
    </row>
    <row r="363" customFormat="false" ht="15" hidden="false" customHeight="true" outlineLevel="0" collapsed="false">
      <c r="A363" s="11" t="s">
        <v>1986</v>
      </c>
      <c r="B363" s="11" t="s">
        <v>1068</v>
      </c>
      <c r="C363" s="11" t="s">
        <v>1069</v>
      </c>
      <c r="D363" s="11" t="s">
        <v>1377</v>
      </c>
      <c r="E363" s="11" t="n">
        <v>1</v>
      </c>
      <c r="F363" s="11" t="s">
        <v>1497</v>
      </c>
      <c r="G363" s="11" t="s">
        <v>1574</v>
      </c>
      <c r="H363" s="11" t="s">
        <v>1377</v>
      </c>
      <c r="I363" s="11" t="s">
        <v>1494</v>
      </c>
      <c r="J363" s="11" t="s">
        <v>1975</v>
      </c>
      <c r="K363" s="11"/>
    </row>
    <row r="364" customFormat="false" ht="15" hidden="false" customHeight="true" outlineLevel="0" collapsed="false">
      <c r="A364" s="9" t="s">
        <v>1987</v>
      </c>
      <c r="B364" s="9" t="s">
        <v>1068</v>
      </c>
      <c r="C364" s="9" t="s">
        <v>1069</v>
      </c>
      <c r="D364" s="9" t="s">
        <v>1355</v>
      </c>
      <c r="E364" s="9" t="n">
        <v>1</v>
      </c>
      <c r="F364" s="9" t="s">
        <v>1492</v>
      </c>
      <c r="G364" s="9" t="s">
        <v>1537</v>
      </c>
      <c r="H364" s="9" t="s">
        <v>1355</v>
      </c>
      <c r="I364" s="9" t="s">
        <v>1494</v>
      </c>
      <c r="J364" s="9" t="s">
        <v>1969</v>
      </c>
      <c r="K364" s="9"/>
    </row>
    <row r="365" customFormat="false" ht="15" hidden="false" customHeight="true" outlineLevel="0" collapsed="false">
      <c r="A365" s="11" t="s">
        <v>1988</v>
      </c>
      <c r="B365" s="11" t="s">
        <v>1068</v>
      </c>
      <c r="C365" s="11" t="s">
        <v>1069</v>
      </c>
      <c r="D365" s="11" t="s">
        <v>1355</v>
      </c>
      <c r="E365" s="11" t="n">
        <v>1</v>
      </c>
      <c r="F365" s="11" t="s">
        <v>1497</v>
      </c>
      <c r="G365" s="11" t="s">
        <v>1539</v>
      </c>
      <c r="H365" s="11" t="s">
        <v>1355</v>
      </c>
      <c r="I365" s="11" t="s">
        <v>1494</v>
      </c>
      <c r="J365" s="11" t="s">
        <v>1969</v>
      </c>
      <c r="K365" s="11"/>
    </row>
    <row r="366" customFormat="false" ht="15" hidden="false" customHeight="true" outlineLevel="0" collapsed="false">
      <c r="A366" s="9" t="s">
        <v>1989</v>
      </c>
      <c r="B366" s="9" t="s">
        <v>1068</v>
      </c>
      <c r="C366" s="9" t="s">
        <v>1069</v>
      </c>
      <c r="D366" s="9" t="s">
        <v>1459</v>
      </c>
      <c r="E366" s="9" t="n">
        <v>1</v>
      </c>
      <c r="F366" s="9" t="s">
        <v>1492</v>
      </c>
      <c r="G366" s="9" t="s">
        <v>1541</v>
      </c>
      <c r="H366" s="9" t="s">
        <v>1459</v>
      </c>
      <c r="I366" s="9" t="s">
        <v>1494</v>
      </c>
      <c r="J366" s="9" t="s">
        <v>1972</v>
      </c>
      <c r="K366" s="9"/>
    </row>
    <row r="367" customFormat="false" ht="15" hidden="false" customHeight="true" outlineLevel="0" collapsed="false">
      <c r="A367" s="11" t="s">
        <v>1990</v>
      </c>
      <c r="B367" s="11" t="s">
        <v>1068</v>
      </c>
      <c r="C367" s="11" t="s">
        <v>1069</v>
      </c>
      <c r="D367" s="11" t="s">
        <v>1459</v>
      </c>
      <c r="E367" s="11" t="n">
        <v>1</v>
      </c>
      <c r="F367" s="11" t="s">
        <v>1497</v>
      </c>
      <c r="G367" s="11" t="s">
        <v>1543</v>
      </c>
      <c r="H367" s="11" t="s">
        <v>1459</v>
      </c>
      <c r="I367" s="11" t="s">
        <v>1494</v>
      </c>
      <c r="J367" s="11" t="s">
        <v>1972</v>
      </c>
      <c r="K367" s="11"/>
    </row>
    <row r="368" customFormat="false" ht="15" hidden="false" customHeight="true" outlineLevel="0" collapsed="false">
      <c r="A368" s="9" t="s">
        <v>1991</v>
      </c>
      <c r="B368" s="9" t="s">
        <v>1068</v>
      </c>
      <c r="C368" s="9" t="s">
        <v>1069</v>
      </c>
      <c r="D368" s="9" t="s">
        <v>1545</v>
      </c>
      <c r="E368" s="9" t="n">
        <v>1</v>
      </c>
      <c r="F368" s="9" t="s">
        <v>1492</v>
      </c>
      <c r="G368" s="9" t="s">
        <v>1546</v>
      </c>
      <c r="H368" s="9" t="s">
        <v>1545</v>
      </c>
      <c r="I368" s="9" t="s">
        <v>1494</v>
      </c>
      <c r="J368" s="9" t="s">
        <v>1975</v>
      </c>
      <c r="K368" s="9"/>
    </row>
    <row r="369" customFormat="false" ht="15" hidden="false" customHeight="true" outlineLevel="0" collapsed="false">
      <c r="A369" s="11" t="s">
        <v>1992</v>
      </c>
      <c r="B369" s="11" t="s">
        <v>1068</v>
      </c>
      <c r="C369" s="11" t="s">
        <v>1069</v>
      </c>
      <c r="D369" s="11" t="s">
        <v>1545</v>
      </c>
      <c r="E369" s="11" t="n">
        <v>1</v>
      </c>
      <c r="F369" s="11" t="s">
        <v>1497</v>
      </c>
      <c r="G369" s="11" t="s">
        <v>1548</v>
      </c>
      <c r="H369" s="11" t="s">
        <v>1545</v>
      </c>
      <c r="I369" s="11" t="s">
        <v>1494</v>
      </c>
      <c r="J369" s="11" t="s">
        <v>1975</v>
      </c>
      <c r="K369" s="11"/>
    </row>
    <row r="370" customFormat="false" ht="15" hidden="false" customHeight="true" outlineLevel="0" collapsed="false">
      <c r="A370" s="9" t="s">
        <v>1993</v>
      </c>
      <c r="B370" s="9" t="s">
        <v>1068</v>
      </c>
      <c r="C370" s="9" t="s">
        <v>1069</v>
      </c>
      <c r="D370" s="9" t="s">
        <v>1337</v>
      </c>
      <c r="E370" s="9" t="n">
        <v>1</v>
      </c>
      <c r="F370" s="9" t="s">
        <v>1492</v>
      </c>
      <c r="G370" s="9" t="s">
        <v>457</v>
      </c>
      <c r="H370" s="9" t="s">
        <v>1337</v>
      </c>
      <c r="I370" s="9" t="s">
        <v>1494</v>
      </c>
      <c r="J370" s="9" t="s">
        <v>1972</v>
      </c>
      <c r="K370" s="9"/>
    </row>
    <row r="371" customFormat="false" ht="15" hidden="false" customHeight="true" outlineLevel="0" collapsed="false">
      <c r="A371" s="11" t="s">
        <v>1994</v>
      </c>
      <c r="B371" s="11" t="s">
        <v>1068</v>
      </c>
      <c r="C371" s="11" t="s">
        <v>1069</v>
      </c>
      <c r="D371" s="11" t="s">
        <v>1337</v>
      </c>
      <c r="E371" s="11" t="n">
        <v>1</v>
      </c>
      <c r="F371" s="11" t="s">
        <v>1497</v>
      </c>
      <c r="G371" s="11" t="s">
        <v>1535</v>
      </c>
      <c r="H371" s="11" t="s">
        <v>1337</v>
      </c>
      <c r="I371" s="11" t="s">
        <v>1494</v>
      </c>
      <c r="J371" s="11" t="s">
        <v>1972</v>
      </c>
      <c r="K371" s="11"/>
    </row>
    <row r="372" customFormat="false" ht="15" hidden="false" customHeight="true" outlineLevel="0" collapsed="false">
      <c r="A372" s="10" t="s">
        <v>1995</v>
      </c>
      <c r="B372" s="10" t="s">
        <v>785</v>
      </c>
      <c r="C372" s="10" t="s">
        <v>786</v>
      </c>
      <c r="D372" s="10" t="s">
        <v>1151</v>
      </c>
      <c r="E372" s="10" t="n">
        <v>1</v>
      </c>
      <c r="F372" s="10" t="s">
        <v>1492</v>
      </c>
      <c r="G372" s="10" t="s">
        <v>1892</v>
      </c>
      <c r="H372" s="10" t="s">
        <v>1151</v>
      </c>
      <c r="I372" s="10" t="s">
        <v>1494</v>
      </c>
      <c r="J372" s="10" t="s">
        <v>1495</v>
      </c>
      <c r="K372" s="10"/>
    </row>
    <row r="373" customFormat="false" ht="27.75" hidden="false" customHeight="true" outlineLevel="0" collapsed="false">
      <c r="A373" s="12" t="s">
        <v>1996</v>
      </c>
      <c r="B373" s="12" t="s">
        <v>785</v>
      </c>
      <c r="C373" s="12" t="s">
        <v>786</v>
      </c>
      <c r="D373" s="12" t="s">
        <v>1151</v>
      </c>
      <c r="E373" s="12" t="n">
        <v>1</v>
      </c>
      <c r="F373" s="12" t="s">
        <v>1497</v>
      </c>
      <c r="G373" s="12" t="s">
        <v>1894</v>
      </c>
      <c r="H373" s="12" t="s">
        <v>1151</v>
      </c>
      <c r="I373" s="12" t="s">
        <v>1494</v>
      </c>
      <c r="J373" s="12" t="s">
        <v>1495</v>
      </c>
      <c r="K373" s="12"/>
    </row>
    <row r="374" customFormat="false" ht="15" hidden="false" customHeight="true" outlineLevel="0" collapsed="false">
      <c r="A374" s="10" t="s">
        <v>1997</v>
      </c>
      <c r="B374" s="10" t="s">
        <v>785</v>
      </c>
      <c r="C374" s="10" t="s">
        <v>786</v>
      </c>
      <c r="D374" s="10" t="s">
        <v>593</v>
      </c>
      <c r="E374" s="10" t="n">
        <v>1</v>
      </c>
      <c r="F374" s="10" t="s">
        <v>1492</v>
      </c>
      <c r="G374" s="10" t="s">
        <v>1998</v>
      </c>
      <c r="H374" s="10" t="s">
        <v>593</v>
      </c>
      <c r="I374" s="10" t="s">
        <v>1494</v>
      </c>
      <c r="J374" s="10" t="s">
        <v>1501</v>
      </c>
      <c r="K374" s="10"/>
    </row>
    <row r="375" customFormat="false" ht="15" hidden="false" customHeight="true" outlineLevel="0" collapsed="false">
      <c r="A375" s="12" t="s">
        <v>1999</v>
      </c>
      <c r="B375" s="12" t="s">
        <v>785</v>
      </c>
      <c r="C375" s="12" t="s">
        <v>786</v>
      </c>
      <c r="D375" s="12" t="s">
        <v>593</v>
      </c>
      <c r="E375" s="12" t="n">
        <v>1</v>
      </c>
      <c r="F375" s="12" t="s">
        <v>1497</v>
      </c>
      <c r="G375" s="12" t="s">
        <v>2000</v>
      </c>
      <c r="H375" s="12" t="s">
        <v>593</v>
      </c>
      <c r="I375" s="12" t="s">
        <v>1494</v>
      </c>
      <c r="J375" s="12" t="s">
        <v>1501</v>
      </c>
      <c r="K375" s="12"/>
    </row>
    <row r="376" customFormat="false" ht="15" hidden="false" customHeight="true" outlineLevel="0" collapsed="false">
      <c r="A376" s="10" t="s">
        <v>2001</v>
      </c>
      <c r="B376" s="10" t="s">
        <v>785</v>
      </c>
      <c r="C376" s="10" t="s">
        <v>786</v>
      </c>
      <c r="D376" s="10" t="s">
        <v>1505</v>
      </c>
      <c r="E376" s="10" t="n">
        <v>1</v>
      </c>
      <c r="F376" s="10" t="s">
        <v>1492</v>
      </c>
      <c r="G376" s="10" t="s">
        <v>1896</v>
      </c>
      <c r="H376" s="10" t="s">
        <v>1505</v>
      </c>
      <c r="I376" s="10" t="s">
        <v>1494</v>
      </c>
      <c r="J376" s="10" t="s">
        <v>1507</v>
      </c>
      <c r="K376" s="10"/>
    </row>
    <row r="377" customFormat="false" ht="15" hidden="false" customHeight="true" outlineLevel="0" collapsed="false">
      <c r="A377" s="12" t="s">
        <v>2002</v>
      </c>
      <c r="B377" s="12" t="s">
        <v>785</v>
      </c>
      <c r="C377" s="12" t="s">
        <v>786</v>
      </c>
      <c r="D377" s="12" t="s">
        <v>1505</v>
      </c>
      <c r="E377" s="12" t="n">
        <v>1</v>
      </c>
      <c r="F377" s="12" t="s">
        <v>1497</v>
      </c>
      <c r="G377" s="12" t="s">
        <v>1898</v>
      </c>
      <c r="H377" s="12" t="s">
        <v>1505</v>
      </c>
      <c r="I377" s="12" t="s">
        <v>1494</v>
      </c>
      <c r="J377" s="12" t="s">
        <v>1507</v>
      </c>
      <c r="K377" s="12"/>
    </row>
    <row r="378" customFormat="false" ht="15" hidden="false" customHeight="true" outlineLevel="0" collapsed="false">
      <c r="A378" s="10" t="s">
        <v>2003</v>
      </c>
      <c r="B378" s="10" t="s">
        <v>785</v>
      </c>
      <c r="C378" s="10" t="s">
        <v>786</v>
      </c>
      <c r="D378" s="10" t="s">
        <v>1511</v>
      </c>
      <c r="E378" s="10" t="n">
        <v>1</v>
      </c>
      <c r="F378" s="10" t="s">
        <v>1492</v>
      </c>
      <c r="G378" s="10" t="s">
        <v>2004</v>
      </c>
      <c r="H378" s="10" t="s">
        <v>1511</v>
      </c>
      <c r="I378" s="10" t="s">
        <v>1494</v>
      </c>
      <c r="J378" s="10" t="s">
        <v>1495</v>
      </c>
      <c r="K378" s="10"/>
    </row>
    <row r="379" customFormat="false" ht="15" hidden="false" customHeight="true" outlineLevel="0" collapsed="false">
      <c r="A379" s="12" t="s">
        <v>2005</v>
      </c>
      <c r="B379" s="12" t="s">
        <v>785</v>
      </c>
      <c r="C379" s="12" t="s">
        <v>786</v>
      </c>
      <c r="D379" s="12" t="s">
        <v>1511</v>
      </c>
      <c r="E379" s="12" t="n">
        <v>1</v>
      </c>
      <c r="F379" s="12" t="s">
        <v>1497</v>
      </c>
      <c r="G379" s="12" t="s">
        <v>2006</v>
      </c>
      <c r="H379" s="12" t="s">
        <v>1511</v>
      </c>
      <c r="I379" s="12" t="s">
        <v>1494</v>
      </c>
      <c r="J379" s="12" t="s">
        <v>1495</v>
      </c>
      <c r="K379" s="12"/>
    </row>
    <row r="380" customFormat="false" ht="15" hidden="false" customHeight="true" outlineLevel="0" collapsed="false">
      <c r="A380" s="10" t="s">
        <v>2007</v>
      </c>
      <c r="B380" s="10" t="s">
        <v>785</v>
      </c>
      <c r="C380" s="10" t="s">
        <v>786</v>
      </c>
      <c r="D380" s="10" t="s">
        <v>1515</v>
      </c>
      <c r="E380" s="10" t="n">
        <v>1</v>
      </c>
      <c r="F380" s="10" t="s">
        <v>1492</v>
      </c>
      <c r="G380" s="10" t="s">
        <v>1907</v>
      </c>
      <c r="H380" s="10" t="s">
        <v>1515</v>
      </c>
      <c r="I380" s="10" t="s">
        <v>1494</v>
      </c>
      <c r="J380" s="10" t="s">
        <v>1501</v>
      </c>
      <c r="K380" s="10"/>
    </row>
    <row r="381" customFormat="false" ht="15" hidden="false" customHeight="true" outlineLevel="0" collapsed="false">
      <c r="A381" s="12" t="s">
        <v>2008</v>
      </c>
      <c r="B381" s="12" t="s">
        <v>785</v>
      </c>
      <c r="C381" s="12" t="s">
        <v>786</v>
      </c>
      <c r="D381" s="12" t="s">
        <v>1515</v>
      </c>
      <c r="E381" s="12" t="n">
        <v>1</v>
      </c>
      <c r="F381" s="12" t="s">
        <v>1497</v>
      </c>
      <c r="G381" s="12" t="s">
        <v>1909</v>
      </c>
      <c r="H381" s="12" t="s">
        <v>1515</v>
      </c>
      <c r="I381" s="12" t="s">
        <v>1494</v>
      </c>
      <c r="J381" s="12" t="s">
        <v>1501</v>
      </c>
      <c r="K381" s="12"/>
    </row>
    <row r="382" customFormat="false" ht="15" hidden="false" customHeight="true" outlineLevel="0" collapsed="false">
      <c r="A382" s="10" t="s">
        <v>2009</v>
      </c>
      <c r="B382" s="10" t="s">
        <v>785</v>
      </c>
      <c r="C382" s="10" t="s">
        <v>786</v>
      </c>
      <c r="D382" s="10" t="s">
        <v>1332</v>
      </c>
      <c r="E382" s="10" t="n">
        <v>1</v>
      </c>
      <c r="F382" s="10" t="s">
        <v>1492</v>
      </c>
      <c r="G382" s="10" t="s">
        <v>2010</v>
      </c>
      <c r="H382" s="10" t="s">
        <v>1332</v>
      </c>
      <c r="I382" s="10" t="s">
        <v>1494</v>
      </c>
      <c r="J382" s="10" t="s">
        <v>1495</v>
      </c>
      <c r="K382" s="10"/>
    </row>
    <row r="383" customFormat="false" ht="15" hidden="false" customHeight="true" outlineLevel="0" collapsed="false">
      <c r="A383" s="12" t="s">
        <v>2011</v>
      </c>
      <c r="B383" s="12" t="s">
        <v>785</v>
      </c>
      <c r="C383" s="12" t="s">
        <v>786</v>
      </c>
      <c r="D383" s="12" t="s">
        <v>1332</v>
      </c>
      <c r="E383" s="12" t="n">
        <v>1</v>
      </c>
      <c r="F383" s="12" t="s">
        <v>1497</v>
      </c>
      <c r="G383" s="12" t="s">
        <v>2012</v>
      </c>
      <c r="H383" s="12" t="s">
        <v>1332</v>
      </c>
      <c r="I383" s="12" t="s">
        <v>1494</v>
      </c>
      <c r="J383" s="12" t="s">
        <v>1495</v>
      </c>
      <c r="K383" s="12"/>
    </row>
    <row r="384" customFormat="false" ht="15" hidden="false" customHeight="true" outlineLevel="0" collapsed="false">
      <c r="A384" s="10" t="s">
        <v>2013</v>
      </c>
      <c r="B384" s="10" t="s">
        <v>785</v>
      </c>
      <c r="C384" s="10" t="s">
        <v>786</v>
      </c>
      <c r="D384" s="10" t="s">
        <v>1524</v>
      </c>
      <c r="E384" s="10" t="n">
        <v>1</v>
      </c>
      <c r="F384" s="10" t="s">
        <v>1492</v>
      </c>
      <c r="G384" s="10" t="s">
        <v>2014</v>
      </c>
      <c r="H384" s="10" t="s">
        <v>1524</v>
      </c>
      <c r="I384" s="10" t="s">
        <v>1494</v>
      </c>
      <c r="J384" s="10" t="s">
        <v>1501</v>
      </c>
      <c r="K384" s="10"/>
    </row>
    <row r="385" customFormat="false" ht="15" hidden="false" customHeight="true" outlineLevel="0" collapsed="false">
      <c r="A385" s="12" t="s">
        <v>2015</v>
      </c>
      <c r="B385" s="12" t="s">
        <v>785</v>
      </c>
      <c r="C385" s="12" t="s">
        <v>786</v>
      </c>
      <c r="D385" s="12" t="s">
        <v>1524</v>
      </c>
      <c r="E385" s="12" t="n">
        <v>1</v>
      </c>
      <c r="F385" s="12" t="s">
        <v>1497</v>
      </c>
      <c r="G385" s="12" t="s">
        <v>2016</v>
      </c>
      <c r="H385" s="12" t="s">
        <v>1524</v>
      </c>
      <c r="I385" s="12" t="s">
        <v>1494</v>
      </c>
      <c r="J385" s="12" t="s">
        <v>1501</v>
      </c>
      <c r="K385" s="12"/>
    </row>
    <row r="386" customFormat="false" ht="15" hidden="false" customHeight="true" outlineLevel="0" collapsed="false">
      <c r="A386" s="10" t="s">
        <v>2017</v>
      </c>
      <c r="B386" s="10" t="s">
        <v>785</v>
      </c>
      <c r="C386" s="10" t="s">
        <v>786</v>
      </c>
      <c r="D386" s="10" t="s">
        <v>1377</v>
      </c>
      <c r="E386" s="10" t="n">
        <v>1</v>
      </c>
      <c r="F386" s="10" t="s">
        <v>1492</v>
      </c>
      <c r="G386" s="10" t="s">
        <v>2018</v>
      </c>
      <c r="H386" s="10" t="s">
        <v>1377</v>
      </c>
      <c r="I386" s="10" t="s">
        <v>1494</v>
      </c>
      <c r="J386" s="10" t="s">
        <v>1507</v>
      </c>
      <c r="K386" s="10"/>
    </row>
    <row r="387" customFormat="false" ht="15" hidden="false" customHeight="true" outlineLevel="0" collapsed="false">
      <c r="A387" s="12" t="s">
        <v>2019</v>
      </c>
      <c r="B387" s="12" t="s">
        <v>785</v>
      </c>
      <c r="C387" s="12" t="s">
        <v>786</v>
      </c>
      <c r="D387" s="12" t="s">
        <v>1377</v>
      </c>
      <c r="E387" s="12" t="n">
        <v>1</v>
      </c>
      <c r="F387" s="12" t="s">
        <v>1497</v>
      </c>
      <c r="G387" s="12" t="s">
        <v>2020</v>
      </c>
      <c r="H387" s="12" t="s">
        <v>1377</v>
      </c>
      <c r="I387" s="12" t="s">
        <v>1494</v>
      </c>
      <c r="J387" s="12" t="s">
        <v>1507</v>
      </c>
      <c r="K387" s="12"/>
    </row>
    <row r="388" customFormat="false" ht="15" hidden="false" customHeight="true" outlineLevel="0" collapsed="false">
      <c r="A388" s="10" t="s">
        <v>2021</v>
      </c>
      <c r="B388" s="10" t="s">
        <v>785</v>
      </c>
      <c r="C388" s="10" t="s">
        <v>786</v>
      </c>
      <c r="D388" s="10" t="s">
        <v>1355</v>
      </c>
      <c r="E388" s="10" t="n">
        <v>1</v>
      </c>
      <c r="F388" s="10" t="s">
        <v>1492</v>
      </c>
      <c r="G388" s="10" t="s">
        <v>1918</v>
      </c>
      <c r="H388" s="10" t="s">
        <v>1355</v>
      </c>
      <c r="I388" s="10" t="s">
        <v>1494</v>
      </c>
      <c r="J388" s="10" t="s">
        <v>1495</v>
      </c>
      <c r="K388" s="10"/>
    </row>
    <row r="389" customFormat="false" ht="15" hidden="false" customHeight="true" outlineLevel="0" collapsed="false">
      <c r="A389" s="12" t="s">
        <v>2022</v>
      </c>
      <c r="B389" s="12" t="s">
        <v>785</v>
      </c>
      <c r="C389" s="12" t="s">
        <v>786</v>
      </c>
      <c r="D389" s="12" t="s">
        <v>1355</v>
      </c>
      <c r="E389" s="12" t="n">
        <v>1</v>
      </c>
      <c r="F389" s="12" t="s">
        <v>1497</v>
      </c>
      <c r="G389" s="12" t="s">
        <v>2023</v>
      </c>
      <c r="H389" s="12" t="s">
        <v>1355</v>
      </c>
      <c r="I389" s="12" t="s">
        <v>1494</v>
      </c>
      <c r="J389" s="12" t="s">
        <v>1495</v>
      </c>
      <c r="K389" s="12"/>
    </row>
    <row r="390" customFormat="false" ht="15" hidden="false" customHeight="true" outlineLevel="0" collapsed="false">
      <c r="A390" s="10" t="s">
        <v>2024</v>
      </c>
      <c r="B390" s="10" t="s">
        <v>785</v>
      </c>
      <c r="C390" s="10" t="s">
        <v>786</v>
      </c>
      <c r="D390" s="10" t="s">
        <v>1459</v>
      </c>
      <c r="E390" s="10" t="n">
        <v>1</v>
      </c>
      <c r="F390" s="10" t="s">
        <v>1492</v>
      </c>
      <c r="G390" s="10" t="s">
        <v>2025</v>
      </c>
      <c r="H390" s="10" t="s">
        <v>1459</v>
      </c>
      <c r="I390" s="10" t="s">
        <v>1494</v>
      </c>
      <c r="J390" s="10" t="s">
        <v>1501</v>
      </c>
      <c r="K390" s="10"/>
    </row>
    <row r="391" customFormat="false" ht="15" hidden="false" customHeight="true" outlineLevel="0" collapsed="false">
      <c r="A391" s="12" t="s">
        <v>2026</v>
      </c>
      <c r="B391" s="12" t="s">
        <v>785</v>
      </c>
      <c r="C391" s="12" t="s">
        <v>786</v>
      </c>
      <c r="D391" s="12" t="s">
        <v>1459</v>
      </c>
      <c r="E391" s="12" t="n">
        <v>1</v>
      </c>
      <c r="F391" s="12" t="s">
        <v>1497</v>
      </c>
      <c r="G391" s="12" t="s">
        <v>1621</v>
      </c>
      <c r="H391" s="12" t="s">
        <v>1459</v>
      </c>
      <c r="I391" s="12" t="s">
        <v>1494</v>
      </c>
      <c r="J391" s="12" t="s">
        <v>1501</v>
      </c>
      <c r="K391" s="12"/>
    </row>
    <row r="392" customFormat="false" ht="15" hidden="false" customHeight="true" outlineLevel="0" collapsed="false">
      <c r="A392" s="10" t="s">
        <v>2027</v>
      </c>
      <c r="B392" s="10" t="s">
        <v>785</v>
      </c>
      <c r="C392" s="10" t="s">
        <v>786</v>
      </c>
      <c r="D392" s="10" t="s">
        <v>1545</v>
      </c>
      <c r="E392" s="10" t="n">
        <v>1</v>
      </c>
      <c r="F392" s="10" t="s">
        <v>1492</v>
      </c>
      <c r="G392" s="10" t="s">
        <v>2028</v>
      </c>
      <c r="H392" s="10" t="s">
        <v>1545</v>
      </c>
      <c r="I392" s="10" t="s">
        <v>1494</v>
      </c>
      <c r="J392" s="10" t="s">
        <v>1507</v>
      </c>
      <c r="K392" s="10"/>
    </row>
    <row r="393" customFormat="false" ht="15" hidden="false" customHeight="true" outlineLevel="0" collapsed="false">
      <c r="A393" s="12" t="s">
        <v>2029</v>
      </c>
      <c r="B393" s="12" t="s">
        <v>785</v>
      </c>
      <c r="C393" s="12" t="s">
        <v>786</v>
      </c>
      <c r="D393" s="12" t="s">
        <v>1545</v>
      </c>
      <c r="E393" s="12" t="n">
        <v>1</v>
      </c>
      <c r="F393" s="12" t="s">
        <v>1497</v>
      </c>
      <c r="G393" s="12" t="s">
        <v>2030</v>
      </c>
      <c r="H393" s="12" t="s">
        <v>1545</v>
      </c>
      <c r="I393" s="12" t="s">
        <v>1494</v>
      </c>
      <c r="J393" s="12" t="s">
        <v>1507</v>
      </c>
      <c r="K393" s="12"/>
    </row>
    <row r="394" customFormat="false" ht="15" hidden="false" customHeight="true" outlineLevel="0" collapsed="false">
      <c r="A394" s="10" t="s">
        <v>2031</v>
      </c>
      <c r="B394" s="10" t="s">
        <v>785</v>
      </c>
      <c r="C394" s="10" t="s">
        <v>786</v>
      </c>
      <c r="D394" s="10" t="s">
        <v>1337</v>
      </c>
      <c r="E394" s="10" t="n">
        <v>1</v>
      </c>
      <c r="F394" s="10" t="s">
        <v>1492</v>
      </c>
      <c r="G394" s="10" t="s">
        <v>1918</v>
      </c>
      <c r="H394" s="10" t="s">
        <v>1337</v>
      </c>
      <c r="I394" s="10" t="s">
        <v>1494</v>
      </c>
      <c r="J394" s="10" t="s">
        <v>1501</v>
      </c>
      <c r="K394" s="10"/>
    </row>
    <row r="395" customFormat="false" ht="15" hidden="false" customHeight="true" outlineLevel="0" collapsed="false">
      <c r="A395" s="12" t="s">
        <v>2032</v>
      </c>
      <c r="B395" s="12" t="s">
        <v>785</v>
      </c>
      <c r="C395" s="12" t="s">
        <v>786</v>
      </c>
      <c r="D395" s="12" t="s">
        <v>1337</v>
      </c>
      <c r="E395" s="12" t="n">
        <v>1</v>
      </c>
      <c r="F395" s="12" t="s">
        <v>1497</v>
      </c>
      <c r="G395" s="12" t="s">
        <v>1894</v>
      </c>
      <c r="H395" s="12" t="s">
        <v>1337</v>
      </c>
      <c r="I395" s="12" t="s">
        <v>1494</v>
      </c>
      <c r="J395" s="12" t="s">
        <v>1501</v>
      </c>
      <c r="K395" s="12"/>
    </row>
    <row r="396" customFormat="false" ht="15" hidden="false" customHeight="true" outlineLevel="0" collapsed="false">
      <c r="A396" s="10" t="s">
        <v>2033</v>
      </c>
      <c r="B396" s="10" t="s">
        <v>785</v>
      </c>
      <c r="C396" s="10" t="s">
        <v>786</v>
      </c>
      <c r="D396" s="10" t="s">
        <v>531</v>
      </c>
      <c r="E396" s="10" t="n">
        <v>1</v>
      </c>
      <c r="F396" s="10" t="s">
        <v>1492</v>
      </c>
      <c r="G396" s="10" t="s">
        <v>2034</v>
      </c>
      <c r="H396" s="10" t="s">
        <v>531</v>
      </c>
      <c r="I396" s="10" t="s">
        <v>1494</v>
      </c>
      <c r="J396" s="10" t="s">
        <v>1507</v>
      </c>
      <c r="K396" s="10"/>
    </row>
    <row r="397" customFormat="false" ht="15" hidden="false" customHeight="true" outlineLevel="0" collapsed="false">
      <c r="A397" s="12" t="s">
        <v>2035</v>
      </c>
      <c r="B397" s="12" t="s">
        <v>785</v>
      </c>
      <c r="C397" s="12" t="s">
        <v>786</v>
      </c>
      <c r="D397" s="12" t="s">
        <v>531</v>
      </c>
      <c r="E397" s="12" t="n">
        <v>1</v>
      </c>
      <c r="F397" s="12" t="s">
        <v>1497</v>
      </c>
      <c r="G397" s="12" t="s">
        <v>1916</v>
      </c>
      <c r="H397" s="12" t="s">
        <v>531</v>
      </c>
      <c r="I397" s="12" t="s">
        <v>1494</v>
      </c>
      <c r="J397" s="12" t="s">
        <v>1507</v>
      </c>
      <c r="K397" s="12"/>
    </row>
    <row r="399" customFormat="false" ht="27.75" hidden="false" customHeight="true" outlineLevel="0" collapsed="false">
      <c r="A399" s="14" t="s">
        <v>2036</v>
      </c>
      <c r="B399" s="14"/>
      <c r="C399" s="14"/>
      <c r="D399" s="14"/>
      <c r="E399" s="14"/>
      <c r="F399" s="14"/>
      <c r="G399" s="14"/>
      <c r="H399" s="14"/>
    </row>
  </sheetData>
  <autoFilter ref="A1:K371"/>
  <mergeCells count="1">
    <mergeCell ref="A399:H3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0"/>
    <col collapsed="false" customWidth="true" hidden="false" outlineLevel="0" max="4" min="4" style="1" width="12"/>
    <col collapsed="false" customWidth="true" hidden="false" outlineLevel="0" max="5" min="5" style="1" width="7"/>
    <col collapsed="false" customWidth="true" hidden="false" outlineLevel="0" max="7" min="6" style="1" width="13"/>
    <col collapsed="false" customWidth="true" hidden="false" outlineLevel="0" max="8" min="8" style="1" width="11"/>
    <col collapsed="false" customWidth="true" hidden="false" outlineLevel="0" max="10" min="9" style="1" width="12"/>
    <col collapsed="false" customWidth="true" hidden="false" outlineLevel="0" max="12" min="11" style="1" width="9"/>
    <col collapsed="false" customWidth="true" hidden="false" outlineLevel="0" max="13" min="13" style="1" width="13"/>
    <col collapsed="false" customWidth="true" hidden="false" outlineLevel="0" max="16" min="14" style="1" width="17"/>
    <col collapsed="false" customWidth="true" hidden="false" outlineLevel="0" max="17" min="17" style="1" width="18"/>
    <col collapsed="false" customWidth="true" hidden="false" outlineLevel="0" max="18" min="18" style="1" width="11"/>
    <col collapsed="false" customWidth="true" hidden="false" outlineLevel="0" max="19" min="19" style="1" width="12"/>
    <col collapsed="false" customWidth="true" hidden="false" outlineLevel="0" max="20" min="20" style="1" width="14"/>
    <col collapsed="false" customWidth="true" hidden="false" outlineLevel="0" max="21" min="21" style="1" width="13"/>
    <col collapsed="false" customWidth="true" hidden="false" outlineLevel="0" max="22" min="22" style="1" width="58"/>
    <col collapsed="false" customWidth="true" hidden="false" outlineLevel="0" max="23" min="23" style="1" width="2"/>
    <col collapsed="false" customWidth="true" hidden="false" outlineLevel="0" max="24" min="24" style="1" width="12"/>
    <col collapsed="false" customWidth="true" hidden="false" outlineLevel="0" max="25" min="25" style="1" width="14"/>
    <col collapsed="false" customWidth="true" hidden="false" outlineLevel="0" max="26" min="26" style="1" width="18"/>
    <col collapsed="false" customWidth="true" hidden="false" outlineLevel="0" max="27" min="27" style="1" width="11"/>
    <col collapsed="false" customWidth="true" hidden="false" outlineLevel="0" max="28" min="28" style="1" width="10"/>
  </cols>
  <sheetData>
    <row r="1" customFormat="false" ht="30" hidden="false" customHeight="true" outlineLevel="0" collapsed="false">
      <c r="A1" s="7" t="s">
        <v>544</v>
      </c>
      <c r="B1" s="7" t="s">
        <v>608</v>
      </c>
      <c r="C1" s="7" t="s">
        <v>1183</v>
      </c>
      <c r="D1" s="7" t="s">
        <v>504</v>
      </c>
      <c r="E1" s="7" t="s">
        <v>1209</v>
      </c>
      <c r="F1" s="7" t="s">
        <v>2037</v>
      </c>
      <c r="G1" s="7" t="s">
        <v>2038</v>
      </c>
      <c r="H1" s="7" t="s">
        <v>492</v>
      </c>
      <c r="I1" s="7" t="s">
        <v>2039</v>
      </c>
      <c r="J1" s="7" t="s">
        <v>2040</v>
      </c>
      <c r="K1" s="7" t="s">
        <v>2041</v>
      </c>
      <c r="L1" s="7" t="s">
        <v>2042</v>
      </c>
      <c r="M1" s="7" t="s">
        <v>2043</v>
      </c>
      <c r="N1" s="7" t="s">
        <v>2044</v>
      </c>
      <c r="O1" s="7" t="s">
        <v>2045</v>
      </c>
      <c r="P1" s="7" t="s">
        <v>2046</v>
      </c>
      <c r="Q1" s="7" t="s">
        <v>2047</v>
      </c>
      <c r="R1" s="7" t="s">
        <v>2048</v>
      </c>
      <c r="S1" s="7" t="s">
        <v>2049</v>
      </c>
      <c r="T1" s="7" t="s">
        <v>2050</v>
      </c>
      <c r="U1" s="7" t="s">
        <v>2051</v>
      </c>
      <c r="V1" s="7" t="s">
        <v>1490</v>
      </c>
      <c r="W1" s="7"/>
      <c r="X1" s="7" t="s">
        <v>2052</v>
      </c>
      <c r="Y1" s="7" t="s">
        <v>2053</v>
      </c>
      <c r="Z1" s="7" t="s">
        <v>2054</v>
      </c>
      <c r="AA1" s="7" t="s">
        <v>2055</v>
      </c>
      <c r="AB1" s="7" t="s">
        <v>2056</v>
      </c>
    </row>
    <row r="2" customFormat="false" ht="15" hidden="false" customHeight="true" outlineLevel="0" collapsed="false">
      <c r="A2" s="9" t="s">
        <v>2057</v>
      </c>
      <c r="B2" s="9" t="s">
        <v>580</v>
      </c>
      <c r="C2" s="9" t="s">
        <v>766</v>
      </c>
      <c r="D2" s="9" t="s">
        <v>1151</v>
      </c>
      <c r="E2" s="9" t="s">
        <v>2058</v>
      </c>
      <c r="F2" s="9" t="s">
        <v>454</v>
      </c>
      <c r="G2" s="9" t="s">
        <v>454</v>
      </c>
      <c r="H2" s="9" t="n">
        <v>12</v>
      </c>
      <c r="I2" s="9" t="n">
        <v>720</v>
      </c>
      <c r="J2" s="9" t="s">
        <v>2059</v>
      </c>
      <c r="K2" s="9" t="s">
        <v>1493</v>
      </c>
      <c r="L2" s="9" t="s">
        <v>1498</v>
      </c>
      <c r="M2" s="9" t="n">
        <v>731</v>
      </c>
      <c r="N2" s="9" t="n">
        <v>60</v>
      </c>
      <c r="O2" s="9" t="n">
        <v>0</v>
      </c>
      <c r="P2" s="9" t="n">
        <v>0</v>
      </c>
      <c r="Q2" s="9" t="s">
        <v>355</v>
      </c>
      <c r="R2" s="9"/>
      <c r="S2" s="9"/>
      <c r="T2" s="9" t="s">
        <v>226</v>
      </c>
      <c r="U2" s="9" t="s">
        <v>226</v>
      </c>
      <c r="V2" s="9"/>
      <c r="W2" s="9"/>
      <c r="X2" s="9" t="n">
        <f aca="false">$M2-$O2+$P2</f>
        <v>731</v>
      </c>
      <c r="Y2" s="9" t="n">
        <f aca="false">IF($M2=0,0,IF($J2="Working",IF($Q2="All",MAX(0,$M2-$I2),0),IF($Q2="None",0,$M2)))</f>
        <v>11</v>
      </c>
      <c r="Z2" s="23" t="str">
        <f aca="false">IF($J2&lt;&gt;"Working",IF($M2&gt;0,$J2&amp;" — worked",$J2),IF($U2="Y","Present",IF($X2&lt;INDEX(08_Attendance_Rules!$C$2:$C$5,MATCH($H2,08_Attendance_Rules!$A$2:$A$5,0)),"Absent",IF($X2&lt;INDEX(08_Attendance_Rules!$B$2:$B$5,MATCH($H2,08_Attendance_Rules!$A$2:$A$5,0)),"Half Day",IF($T2="Y","Half Day","Present")))))</f>
        <v>Present</v>
      </c>
      <c r="AA2" s="9" t="str">
        <f aca="false">IF($X2=0,"-",INT($X2/60)&amp;":"&amp;TEXT(MOD($X2,60),"00"))</f>
        <v>12:11</v>
      </c>
      <c r="AB2" s="9" t="str">
        <f aca="false">IF($Y2=0,"-",INT($Y2/60)&amp;":"&amp;TEXT(MOD($Y2,60),"00"))</f>
        <v>0:11</v>
      </c>
    </row>
    <row r="3" customFormat="false" ht="15" hidden="false" customHeight="true" outlineLevel="0" collapsed="false">
      <c r="A3" s="11" t="s">
        <v>2060</v>
      </c>
      <c r="B3" s="11" t="s">
        <v>580</v>
      </c>
      <c r="C3" s="11" t="s">
        <v>766</v>
      </c>
      <c r="D3" s="11" t="s">
        <v>593</v>
      </c>
      <c r="E3" s="11" t="s">
        <v>2061</v>
      </c>
      <c r="F3" s="11" t="s">
        <v>454</v>
      </c>
      <c r="G3" s="11" t="s">
        <v>454</v>
      </c>
      <c r="H3" s="11" t="n">
        <v>12</v>
      </c>
      <c r="I3" s="11" t="n">
        <v>720</v>
      </c>
      <c r="J3" s="11" t="s">
        <v>2059</v>
      </c>
      <c r="K3" s="11" t="s">
        <v>1500</v>
      </c>
      <c r="L3" s="11" t="s">
        <v>1503</v>
      </c>
      <c r="M3" s="11" t="n">
        <v>733</v>
      </c>
      <c r="N3" s="11" t="n">
        <v>60</v>
      </c>
      <c r="O3" s="11" t="n">
        <v>0</v>
      </c>
      <c r="P3" s="11" t="n">
        <v>0</v>
      </c>
      <c r="Q3" s="11" t="s">
        <v>355</v>
      </c>
      <c r="R3" s="11"/>
      <c r="S3" s="11"/>
      <c r="T3" s="11" t="s">
        <v>226</v>
      </c>
      <c r="U3" s="11" t="s">
        <v>226</v>
      </c>
      <c r="V3" s="11"/>
      <c r="W3" s="11"/>
      <c r="X3" s="11" t="n">
        <f aca="false">$M3-$O3+$P3</f>
        <v>733</v>
      </c>
      <c r="Y3" s="11" t="n">
        <f aca="false">IF($M3=0,0,IF($J3="Working",IF($Q3="All",MAX(0,$M3-$I3),0),IF($Q3="None",0,$M3)))</f>
        <v>13</v>
      </c>
      <c r="Z3" s="24" t="str">
        <f aca="false">IF($J3&lt;&gt;"Working",IF($M3&gt;0,$J3&amp;" — worked",$J3),IF($U3="Y","Present",IF($X3&lt;INDEX(08_Attendance_Rules!$C$2:$C$5,MATCH($H3,08_Attendance_Rules!$A$2:$A$5,0)),"Absent",IF($X3&lt;INDEX(08_Attendance_Rules!$B$2:$B$5,MATCH($H3,08_Attendance_Rules!$A$2:$A$5,0)),"Half Day",IF($T3="Y","Half Day","Present")))))</f>
        <v>Present</v>
      </c>
      <c r="AA3" s="11" t="str">
        <f aca="false">IF($X3=0,"-",INT($X3/60)&amp;":"&amp;TEXT(MOD($X3,60),"00"))</f>
        <v>12:13</v>
      </c>
      <c r="AB3" s="11" t="str">
        <f aca="false">IF($Y3=0,"-",INT($Y3/60)&amp;":"&amp;TEXT(MOD($Y3,60),"00"))</f>
        <v>0:13</v>
      </c>
    </row>
    <row r="4" customFormat="false" ht="15" hidden="false" customHeight="true" outlineLevel="0" collapsed="false">
      <c r="A4" s="9" t="s">
        <v>2062</v>
      </c>
      <c r="B4" s="9" t="s">
        <v>580</v>
      </c>
      <c r="C4" s="9" t="s">
        <v>766</v>
      </c>
      <c r="D4" s="9" t="s">
        <v>1505</v>
      </c>
      <c r="E4" s="9" t="s">
        <v>2063</v>
      </c>
      <c r="F4" s="9" t="s">
        <v>454</v>
      </c>
      <c r="G4" s="9" t="s">
        <v>454</v>
      </c>
      <c r="H4" s="9" t="n">
        <v>12</v>
      </c>
      <c r="I4" s="9" t="n">
        <v>720</v>
      </c>
      <c r="J4" s="9" t="s">
        <v>2059</v>
      </c>
      <c r="K4" s="9" t="s">
        <v>1506</v>
      </c>
      <c r="L4" s="9" t="s">
        <v>1509</v>
      </c>
      <c r="M4" s="9" t="n">
        <v>730</v>
      </c>
      <c r="N4" s="9" t="n">
        <v>60</v>
      </c>
      <c r="O4" s="9" t="n">
        <v>0</v>
      </c>
      <c r="P4" s="9" t="n">
        <v>0</v>
      </c>
      <c r="Q4" s="9" t="s">
        <v>355</v>
      </c>
      <c r="R4" s="9"/>
      <c r="S4" s="9"/>
      <c r="T4" s="9" t="s">
        <v>226</v>
      </c>
      <c r="U4" s="9" t="s">
        <v>226</v>
      </c>
      <c r="V4" s="9"/>
      <c r="W4" s="9"/>
      <c r="X4" s="9" t="n">
        <f aca="false">$M4-$O4+$P4</f>
        <v>730</v>
      </c>
      <c r="Y4" s="9" t="n">
        <f aca="false">IF($M4=0,0,IF($J4="Working",IF($Q4="All",MAX(0,$M4-$I4),0),IF($Q4="None",0,$M4)))</f>
        <v>10</v>
      </c>
      <c r="Z4" s="23" t="str">
        <f aca="false">IF($J4&lt;&gt;"Working",IF($M4&gt;0,$J4&amp;" — worked",$J4),IF($U4="Y","Present",IF($X4&lt;INDEX(08_Attendance_Rules!$C$2:$C$5,MATCH($H4,08_Attendance_Rules!$A$2:$A$5,0)),"Absent",IF($X4&lt;INDEX(08_Attendance_Rules!$B$2:$B$5,MATCH($H4,08_Attendance_Rules!$A$2:$A$5,0)),"Half Day",IF($T4="Y","Half Day","Present")))))</f>
        <v>Present</v>
      </c>
      <c r="AA4" s="9" t="str">
        <f aca="false">IF($X4=0,"-",INT($X4/60)&amp;":"&amp;TEXT(MOD($X4,60),"00"))</f>
        <v>12:10</v>
      </c>
      <c r="AB4" s="9" t="str">
        <f aca="false">IF($Y4=0,"-",INT($Y4/60)&amp;":"&amp;TEXT(MOD($Y4,60),"00"))</f>
        <v>0:10</v>
      </c>
    </row>
    <row r="5" customFormat="false" ht="15" hidden="false" customHeight="true" outlineLevel="0" collapsed="false">
      <c r="A5" s="11" t="s">
        <v>2064</v>
      </c>
      <c r="B5" s="11" t="s">
        <v>580</v>
      </c>
      <c r="C5" s="11" t="s">
        <v>766</v>
      </c>
      <c r="D5" s="11" t="s">
        <v>1511</v>
      </c>
      <c r="E5" s="11" t="s">
        <v>2065</v>
      </c>
      <c r="F5" s="11" t="s">
        <v>454</v>
      </c>
      <c r="G5" s="11" t="s">
        <v>454</v>
      </c>
      <c r="H5" s="11" t="n">
        <v>12</v>
      </c>
      <c r="I5" s="11" t="n">
        <v>720</v>
      </c>
      <c r="J5" s="11" t="s">
        <v>2059</v>
      </c>
      <c r="K5" s="11" t="s">
        <v>457</v>
      </c>
      <c r="L5" s="11" t="s">
        <v>1513</v>
      </c>
      <c r="M5" s="11" t="n">
        <v>734</v>
      </c>
      <c r="N5" s="11" t="n">
        <v>60</v>
      </c>
      <c r="O5" s="11" t="n">
        <v>0</v>
      </c>
      <c r="P5" s="11" t="n">
        <v>0</v>
      </c>
      <c r="Q5" s="11" t="s">
        <v>355</v>
      </c>
      <c r="R5" s="11"/>
      <c r="S5" s="11"/>
      <c r="T5" s="11" t="s">
        <v>226</v>
      </c>
      <c r="U5" s="11" t="s">
        <v>226</v>
      </c>
      <c r="V5" s="11"/>
      <c r="W5" s="11"/>
      <c r="X5" s="11" t="n">
        <f aca="false">$M5-$O5+$P5</f>
        <v>734</v>
      </c>
      <c r="Y5" s="11" t="n">
        <f aca="false">IF($M5=0,0,IF($J5="Working",IF($Q5="All",MAX(0,$M5-$I5),0),IF($Q5="None",0,$M5)))</f>
        <v>14</v>
      </c>
      <c r="Z5" s="24" t="str">
        <f aca="false">IF($J5&lt;&gt;"Working",IF($M5&gt;0,$J5&amp;" — worked",$J5),IF($U5="Y","Present",IF($X5&lt;INDEX(08_Attendance_Rules!$C$2:$C$5,MATCH($H5,08_Attendance_Rules!$A$2:$A$5,0)),"Absent",IF($X5&lt;INDEX(08_Attendance_Rules!$B$2:$B$5,MATCH($H5,08_Attendance_Rules!$A$2:$A$5,0)),"Half Day",IF($T5="Y","Half Day","Present")))))</f>
        <v>Present</v>
      </c>
      <c r="AA5" s="11" t="str">
        <f aca="false">IF($X5=0,"-",INT($X5/60)&amp;":"&amp;TEXT(MOD($X5,60),"00"))</f>
        <v>12:14</v>
      </c>
      <c r="AB5" s="11" t="str">
        <f aca="false">IF($Y5=0,"-",INT($Y5/60)&amp;":"&amp;TEXT(MOD($Y5,60),"00"))</f>
        <v>0:14</v>
      </c>
    </row>
    <row r="6" customFormat="false" ht="15" hidden="false" customHeight="true" outlineLevel="0" collapsed="false">
      <c r="A6" s="9" t="s">
        <v>2066</v>
      </c>
      <c r="B6" s="9" t="s">
        <v>580</v>
      </c>
      <c r="C6" s="9" t="s">
        <v>766</v>
      </c>
      <c r="D6" s="9" t="s">
        <v>1515</v>
      </c>
      <c r="E6" s="9" t="s">
        <v>2067</v>
      </c>
      <c r="F6" s="9" t="s">
        <v>454</v>
      </c>
      <c r="G6" s="9" t="s">
        <v>454</v>
      </c>
      <c r="H6" s="9" t="n">
        <v>12</v>
      </c>
      <c r="I6" s="9" t="n">
        <v>720</v>
      </c>
      <c r="J6" s="9" t="s">
        <v>2059</v>
      </c>
      <c r="K6" s="9" t="s">
        <v>1516</v>
      </c>
      <c r="L6" s="9" t="s">
        <v>1518</v>
      </c>
      <c r="M6" s="9" t="n">
        <v>732</v>
      </c>
      <c r="N6" s="9" t="n">
        <v>60</v>
      </c>
      <c r="O6" s="9" t="n">
        <v>0</v>
      </c>
      <c r="P6" s="9" t="n">
        <v>0</v>
      </c>
      <c r="Q6" s="9" t="s">
        <v>355</v>
      </c>
      <c r="R6" s="9"/>
      <c r="S6" s="9"/>
      <c r="T6" s="9" t="s">
        <v>226</v>
      </c>
      <c r="U6" s="9" t="s">
        <v>226</v>
      </c>
      <c r="V6" s="9"/>
      <c r="W6" s="9"/>
      <c r="X6" s="9" t="n">
        <f aca="false">$M6-$O6+$P6</f>
        <v>732</v>
      </c>
      <c r="Y6" s="9" t="n">
        <f aca="false">IF($M6=0,0,IF($J6="Working",IF($Q6="All",MAX(0,$M6-$I6),0),IF($Q6="None",0,$M6)))</f>
        <v>12</v>
      </c>
      <c r="Z6" s="23" t="str">
        <f aca="false">IF($J6&lt;&gt;"Working",IF($M6&gt;0,$J6&amp;" — worked",$J6),IF($U6="Y","Present",IF($X6&lt;INDEX(08_Attendance_Rules!$C$2:$C$5,MATCH($H6,08_Attendance_Rules!$A$2:$A$5,0)),"Absent",IF($X6&lt;INDEX(08_Attendance_Rules!$B$2:$B$5,MATCH($H6,08_Attendance_Rules!$A$2:$A$5,0)),"Half Day",IF($T6="Y","Half Day","Present")))))</f>
        <v>Present</v>
      </c>
      <c r="AA6" s="9" t="str">
        <f aca="false">IF($X6=0,"-",INT($X6/60)&amp;":"&amp;TEXT(MOD($X6,60),"00"))</f>
        <v>12:12</v>
      </c>
      <c r="AB6" s="9" t="str">
        <f aca="false">IF($Y6=0,"-",INT($Y6/60)&amp;":"&amp;TEXT(MOD($Y6,60),"00"))</f>
        <v>0:12</v>
      </c>
    </row>
    <row r="7" customFormat="false" ht="15" hidden="false" customHeight="true" outlineLevel="0" collapsed="false">
      <c r="A7" s="11" t="s">
        <v>2068</v>
      </c>
      <c r="B7" s="11" t="s">
        <v>580</v>
      </c>
      <c r="C7" s="11" t="s">
        <v>766</v>
      </c>
      <c r="D7" s="11" t="s">
        <v>1359</v>
      </c>
      <c r="E7" s="11" t="s">
        <v>2069</v>
      </c>
      <c r="F7" s="11" t="s">
        <v>454</v>
      </c>
      <c r="G7" s="11" t="s">
        <v>454</v>
      </c>
      <c r="H7" s="11" t="n">
        <v>12</v>
      </c>
      <c r="I7" s="11" t="n">
        <v>720</v>
      </c>
      <c r="J7" s="11" t="s">
        <v>2070</v>
      </c>
      <c r="K7" s="11"/>
      <c r="L7" s="11"/>
      <c r="M7" s="11" t="n">
        <v>0</v>
      </c>
      <c r="N7" s="11" t="n">
        <v>0</v>
      </c>
      <c r="O7" s="11" t="n">
        <v>0</v>
      </c>
      <c r="P7" s="11" t="n">
        <v>0</v>
      </c>
      <c r="Q7" s="11" t="s">
        <v>355</v>
      </c>
      <c r="R7" s="11"/>
      <c r="S7" s="11"/>
      <c r="T7" s="11" t="s">
        <v>226</v>
      </c>
      <c r="U7" s="11" t="s">
        <v>226</v>
      </c>
      <c r="V7" s="11"/>
      <c r="W7" s="11"/>
      <c r="X7" s="11" t="n">
        <f aca="false">$M7-$O7+$P7</f>
        <v>0</v>
      </c>
      <c r="Y7" s="11" t="n">
        <f aca="false">IF($M7=0,0,IF($J7="Working",IF($Q7="All",MAX(0,$M7-$I7),0),IF($Q7="None",0,$M7)))</f>
        <v>0</v>
      </c>
      <c r="Z7" s="24" t="str">
        <f aca="false">IF($J7&lt;&gt;"Working",IF($M7&gt;0,$J7&amp;" — worked",$J7),IF($U7="Y","Present",IF($X7&lt;INDEX(08_Attendance_Rules!$C$2:$C$5,MATCH($H7,08_Attendance_Rules!$A$2:$A$5,0)),"Absent",IF($X7&lt;INDEX(08_Attendance_Rules!$B$2:$B$5,MATCH($H7,08_Attendance_Rules!$A$2:$A$5,0)),"Half Day",IF($T7="Y","Half Day","Present")))))</f>
        <v>Weekly Off</v>
      </c>
      <c r="AA7" s="11" t="str">
        <f aca="false">IF($X7=0,"-",INT($X7/60)&amp;":"&amp;TEXT(MOD($X7,60),"00"))</f>
        <v>-</v>
      </c>
      <c r="AB7" s="11" t="str">
        <f aca="false">IF($Y7=0,"-",INT($Y7/60)&amp;":"&amp;TEXT(MOD($Y7,60),"00"))</f>
        <v>-</v>
      </c>
    </row>
    <row r="8" customFormat="false" ht="15" hidden="false" customHeight="true" outlineLevel="0" collapsed="false">
      <c r="A8" s="9" t="s">
        <v>2071</v>
      </c>
      <c r="B8" s="9" t="s">
        <v>580</v>
      </c>
      <c r="C8" s="9" t="s">
        <v>766</v>
      </c>
      <c r="D8" s="9" t="s">
        <v>1332</v>
      </c>
      <c r="E8" s="9" t="s">
        <v>2072</v>
      </c>
      <c r="F8" s="9" t="s">
        <v>454</v>
      </c>
      <c r="G8" s="9" t="s">
        <v>454</v>
      </c>
      <c r="H8" s="9" t="n">
        <v>12</v>
      </c>
      <c r="I8" s="9" t="n">
        <v>720</v>
      </c>
      <c r="J8" s="9" t="s">
        <v>2059</v>
      </c>
      <c r="K8" s="9" t="s">
        <v>1520</v>
      </c>
      <c r="L8" s="9" t="s">
        <v>1522</v>
      </c>
      <c r="M8" s="9" t="n">
        <v>743</v>
      </c>
      <c r="N8" s="9" t="n">
        <v>60</v>
      </c>
      <c r="O8" s="9" t="n">
        <v>0</v>
      </c>
      <c r="P8" s="9" t="n">
        <v>0</v>
      </c>
      <c r="Q8" s="9" t="s">
        <v>355</v>
      </c>
      <c r="R8" s="9"/>
      <c r="S8" s="9"/>
      <c r="T8" s="9" t="s">
        <v>226</v>
      </c>
      <c r="U8" s="9" t="s">
        <v>226</v>
      </c>
      <c r="V8" s="9"/>
      <c r="W8" s="9"/>
      <c r="X8" s="9" t="n">
        <f aca="false">$M8-$O8+$P8</f>
        <v>743</v>
      </c>
      <c r="Y8" s="9" t="n">
        <f aca="false">IF($M8=0,0,IF($J8="Working",IF($Q8="All",MAX(0,$M8-$I8),0),IF($Q8="None",0,$M8)))</f>
        <v>23</v>
      </c>
      <c r="Z8" s="23" t="str">
        <f aca="false">IF($J8&lt;&gt;"Working",IF($M8&gt;0,$J8&amp;" — worked",$J8),IF($U8="Y","Present",IF($X8&lt;INDEX(08_Attendance_Rules!$C$2:$C$5,MATCH($H8,08_Attendance_Rules!$A$2:$A$5,0)),"Absent",IF($X8&lt;INDEX(08_Attendance_Rules!$B$2:$B$5,MATCH($H8,08_Attendance_Rules!$A$2:$A$5,0)),"Half Day",IF($T8="Y","Half Day","Present")))))</f>
        <v>Present</v>
      </c>
      <c r="AA8" s="9" t="str">
        <f aca="false">IF($X8=0,"-",INT($X8/60)&amp;":"&amp;TEXT(MOD($X8,60),"00"))</f>
        <v>12:23</v>
      </c>
      <c r="AB8" s="9" t="str">
        <f aca="false">IF($Y8=0,"-",INT($Y8/60)&amp;":"&amp;TEXT(MOD($Y8,60),"00"))</f>
        <v>0:23</v>
      </c>
    </row>
    <row r="9" customFormat="false" ht="15" hidden="false" customHeight="true" outlineLevel="0" collapsed="false">
      <c r="A9" s="11" t="s">
        <v>2073</v>
      </c>
      <c r="B9" s="11" t="s">
        <v>580</v>
      </c>
      <c r="C9" s="11" t="s">
        <v>766</v>
      </c>
      <c r="D9" s="11" t="s">
        <v>1524</v>
      </c>
      <c r="E9" s="11" t="s">
        <v>2058</v>
      </c>
      <c r="F9" s="11" t="s">
        <v>454</v>
      </c>
      <c r="G9" s="11" t="s">
        <v>454</v>
      </c>
      <c r="H9" s="11" t="n">
        <v>12</v>
      </c>
      <c r="I9" s="11" t="n">
        <v>720</v>
      </c>
      <c r="J9" s="11" t="s">
        <v>2059</v>
      </c>
      <c r="K9" s="11" t="s">
        <v>457</v>
      </c>
      <c r="L9" s="11" t="s">
        <v>1530</v>
      </c>
      <c r="M9" s="11" t="n">
        <v>1160</v>
      </c>
      <c r="N9" s="11" t="n">
        <v>45</v>
      </c>
      <c r="O9" s="11" t="n">
        <v>0</v>
      </c>
      <c r="P9" s="11" t="n">
        <v>0</v>
      </c>
      <c r="Q9" s="11" t="s">
        <v>355</v>
      </c>
      <c r="R9" s="11"/>
      <c r="S9" s="11"/>
      <c r="T9" s="11" t="s">
        <v>226</v>
      </c>
      <c r="U9" s="11" t="s">
        <v>226</v>
      </c>
      <c r="V9" s="11" t="s">
        <v>2074</v>
      </c>
      <c r="W9" s="11"/>
      <c r="X9" s="11" t="n">
        <f aca="false">$M9-$O9+$P9</f>
        <v>1160</v>
      </c>
      <c r="Y9" s="11" t="n">
        <f aca="false">IF($M9=0,0,IF($J9="Working",IF($Q9="All",MAX(0,$M9-$I9),0),IF($Q9="None",0,$M9)))</f>
        <v>440</v>
      </c>
      <c r="Z9" s="24" t="str">
        <f aca="false">IF($J9&lt;&gt;"Working",IF($M9&gt;0,$J9&amp;" — worked",$J9),IF($U9="Y","Present",IF($X9&lt;INDEX(08_Attendance_Rules!$C$2:$C$5,MATCH($H9,08_Attendance_Rules!$A$2:$A$5,0)),"Absent",IF($X9&lt;INDEX(08_Attendance_Rules!$B$2:$B$5,MATCH($H9,08_Attendance_Rules!$A$2:$A$5,0)),"Half Day",IF($T9="Y","Half Day","Present")))))</f>
        <v>Present</v>
      </c>
      <c r="AA9" s="11" t="str">
        <f aca="false">IF($X9=0,"-",INT($X9/60)&amp;":"&amp;TEXT(MOD($X9,60),"00"))</f>
        <v>19:20</v>
      </c>
      <c r="AB9" s="11" t="str">
        <f aca="false">IF($Y9=0,"-",INT($Y9/60)&amp;":"&amp;TEXT(MOD($Y9,60),"00"))</f>
        <v>7:20</v>
      </c>
    </row>
    <row r="10" customFormat="false" ht="15" hidden="false" customHeight="true" outlineLevel="0" collapsed="false">
      <c r="A10" s="9" t="s">
        <v>2075</v>
      </c>
      <c r="B10" s="9" t="s">
        <v>580</v>
      </c>
      <c r="C10" s="9" t="s">
        <v>766</v>
      </c>
      <c r="D10" s="9" t="s">
        <v>1377</v>
      </c>
      <c r="E10" s="9" t="s">
        <v>2061</v>
      </c>
      <c r="F10" s="9" t="s">
        <v>454</v>
      </c>
      <c r="G10" s="9" t="s">
        <v>454</v>
      </c>
      <c r="H10" s="9" t="n">
        <v>12</v>
      </c>
      <c r="I10" s="9" t="n">
        <v>720</v>
      </c>
      <c r="J10" s="9" t="s">
        <v>2059</v>
      </c>
      <c r="K10" s="9" t="s">
        <v>1533</v>
      </c>
      <c r="L10" s="9" t="s">
        <v>1535</v>
      </c>
      <c r="M10" s="9" t="n">
        <v>645</v>
      </c>
      <c r="N10" s="9" t="n">
        <v>45</v>
      </c>
      <c r="O10" s="9" t="n">
        <v>0</v>
      </c>
      <c r="P10" s="9" t="n">
        <v>0</v>
      </c>
      <c r="Q10" s="9" t="s">
        <v>355</v>
      </c>
      <c r="R10" s="9" t="n">
        <v>85</v>
      </c>
      <c r="S10" s="9"/>
      <c r="T10" s="9" t="s">
        <v>226</v>
      </c>
      <c r="U10" s="9" t="s">
        <v>233</v>
      </c>
      <c r="V10" s="9" t="s">
        <v>2076</v>
      </c>
      <c r="W10" s="9"/>
      <c r="X10" s="9" t="n">
        <f aca="false">$M10-$O10+$P10</f>
        <v>645</v>
      </c>
      <c r="Y10" s="9" t="n">
        <f aca="false">IF($M10=0,0,IF($J10="Working",IF($Q10="All",MAX(0,$M10-$I10),0),IF($Q10="None",0,$M10)))</f>
        <v>0</v>
      </c>
      <c r="Z10" s="23" t="str">
        <f aca="false">IF($J10&lt;&gt;"Working",IF($M10&gt;0,$J10&amp;" — worked",$J10),IF($U10="Y","Present",IF($X10&lt;INDEX(08_Attendance_Rules!$C$2:$C$5,MATCH($H10,08_Attendance_Rules!$A$2:$A$5,0)),"Absent",IF($X10&lt;INDEX(08_Attendance_Rules!$B$2:$B$5,MATCH($H10,08_Attendance_Rules!$A$2:$A$5,0)),"Half Day",IF($T10="Y","Half Day","Present")))))</f>
        <v>Present</v>
      </c>
      <c r="AA10" s="9" t="str">
        <f aca="false">IF($X10=0,"-",INT($X10/60)&amp;":"&amp;TEXT(MOD($X10,60),"00"))</f>
        <v>10:45</v>
      </c>
      <c r="AB10" s="9" t="str">
        <f aca="false">IF($Y10=0,"-",INT($Y10/60)&amp;":"&amp;TEXT(MOD($Y10,60),"00"))</f>
        <v>-</v>
      </c>
    </row>
    <row r="11" customFormat="false" ht="15" hidden="false" customHeight="true" outlineLevel="0" collapsed="false">
      <c r="A11" s="11" t="s">
        <v>2077</v>
      </c>
      <c r="B11" s="11" t="s">
        <v>580</v>
      </c>
      <c r="C11" s="11" t="s">
        <v>766</v>
      </c>
      <c r="D11" s="11" t="s">
        <v>1355</v>
      </c>
      <c r="E11" s="11" t="s">
        <v>2063</v>
      </c>
      <c r="F11" s="11" t="s">
        <v>454</v>
      </c>
      <c r="G11" s="11" t="s">
        <v>454</v>
      </c>
      <c r="H11" s="11" t="n">
        <v>12</v>
      </c>
      <c r="I11" s="11" t="n">
        <v>720</v>
      </c>
      <c r="J11" s="11" t="s">
        <v>2059</v>
      </c>
      <c r="K11" s="11" t="s">
        <v>1537</v>
      </c>
      <c r="L11" s="11" t="s">
        <v>1539</v>
      </c>
      <c r="M11" s="11" t="n">
        <v>731</v>
      </c>
      <c r="N11" s="11" t="n">
        <v>60</v>
      </c>
      <c r="O11" s="11" t="n">
        <v>0</v>
      </c>
      <c r="P11" s="11" t="n">
        <v>0</v>
      </c>
      <c r="Q11" s="11" t="s">
        <v>355</v>
      </c>
      <c r="R11" s="11" t="n">
        <v>1</v>
      </c>
      <c r="S11" s="11"/>
      <c r="T11" s="11" t="s">
        <v>226</v>
      </c>
      <c r="U11" s="11" t="s">
        <v>226</v>
      </c>
      <c r="V11" s="11"/>
      <c r="W11" s="11"/>
      <c r="X11" s="11" t="n">
        <f aca="false">$M11-$O11+$P11</f>
        <v>731</v>
      </c>
      <c r="Y11" s="11" t="n">
        <f aca="false">IF($M11=0,0,IF($J11="Working",IF($Q11="All",MAX(0,$M11-$I11),0),IF($Q11="None",0,$M11)))</f>
        <v>11</v>
      </c>
      <c r="Z11" s="24" t="str">
        <f aca="false">IF($J11&lt;&gt;"Working",IF($M11&gt;0,$J11&amp;" — worked",$J11),IF($U11="Y","Present",IF($X11&lt;INDEX(08_Attendance_Rules!$C$2:$C$5,MATCH($H11,08_Attendance_Rules!$A$2:$A$5,0)),"Absent",IF($X11&lt;INDEX(08_Attendance_Rules!$B$2:$B$5,MATCH($H11,08_Attendance_Rules!$A$2:$A$5,0)),"Half Day",IF($T11="Y","Half Day","Present")))))</f>
        <v>Present</v>
      </c>
      <c r="AA11" s="11" t="str">
        <f aca="false">IF($X11=0,"-",INT($X11/60)&amp;":"&amp;TEXT(MOD($X11,60),"00"))</f>
        <v>12:11</v>
      </c>
      <c r="AB11" s="11" t="str">
        <f aca="false">IF($Y11=0,"-",INT($Y11/60)&amp;":"&amp;TEXT(MOD($Y11,60),"00"))</f>
        <v>0:11</v>
      </c>
    </row>
    <row r="12" customFormat="false" ht="15" hidden="false" customHeight="true" outlineLevel="0" collapsed="false">
      <c r="A12" s="9" t="s">
        <v>2078</v>
      </c>
      <c r="B12" s="9" t="s">
        <v>580</v>
      </c>
      <c r="C12" s="9" t="s">
        <v>766</v>
      </c>
      <c r="D12" s="9" t="s">
        <v>1459</v>
      </c>
      <c r="E12" s="9" t="s">
        <v>2065</v>
      </c>
      <c r="F12" s="9" t="s">
        <v>454</v>
      </c>
      <c r="G12" s="9" t="s">
        <v>454</v>
      </c>
      <c r="H12" s="9" t="n">
        <v>12</v>
      </c>
      <c r="I12" s="9" t="n">
        <v>720</v>
      </c>
      <c r="J12" s="9" t="s">
        <v>2059</v>
      </c>
      <c r="K12" s="9" t="s">
        <v>1541</v>
      </c>
      <c r="L12" s="9" t="s">
        <v>1543</v>
      </c>
      <c r="M12" s="9" t="n">
        <v>732</v>
      </c>
      <c r="N12" s="9" t="n">
        <v>60</v>
      </c>
      <c r="O12" s="9" t="n">
        <v>0</v>
      </c>
      <c r="P12" s="9" t="n">
        <v>0</v>
      </c>
      <c r="Q12" s="9" t="s">
        <v>355</v>
      </c>
      <c r="R12" s="9"/>
      <c r="S12" s="9"/>
      <c r="T12" s="9" t="s">
        <v>226</v>
      </c>
      <c r="U12" s="9" t="s">
        <v>226</v>
      </c>
      <c r="V12" s="9"/>
      <c r="W12" s="9"/>
      <c r="X12" s="9" t="n">
        <f aca="false">$M12-$O12+$P12</f>
        <v>732</v>
      </c>
      <c r="Y12" s="9" t="n">
        <f aca="false">IF($M12=0,0,IF($J12="Working",IF($Q12="All",MAX(0,$M12-$I12),0),IF($Q12="None",0,$M12)))</f>
        <v>12</v>
      </c>
      <c r="Z12" s="23" t="str">
        <f aca="false">IF($J12&lt;&gt;"Working",IF($M12&gt;0,$J12&amp;" — worked",$J12),IF($U12="Y","Present",IF($X12&lt;INDEX(08_Attendance_Rules!$C$2:$C$5,MATCH($H12,08_Attendance_Rules!$A$2:$A$5,0)),"Absent",IF($X12&lt;INDEX(08_Attendance_Rules!$B$2:$B$5,MATCH($H12,08_Attendance_Rules!$A$2:$A$5,0)),"Half Day",IF($T12="Y","Half Day","Present")))))</f>
        <v>Present</v>
      </c>
      <c r="AA12" s="9" t="str">
        <f aca="false">IF($X12=0,"-",INT($X12/60)&amp;":"&amp;TEXT(MOD($X12,60),"00"))</f>
        <v>12:12</v>
      </c>
      <c r="AB12" s="9" t="str">
        <f aca="false">IF($Y12=0,"-",INT($Y12/60)&amp;":"&amp;TEXT(MOD($Y12,60),"00"))</f>
        <v>0:12</v>
      </c>
    </row>
    <row r="13" customFormat="false" ht="15" hidden="false" customHeight="true" outlineLevel="0" collapsed="false">
      <c r="A13" s="11" t="s">
        <v>2079</v>
      </c>
      <c r="B13" s="11" t="s">
        <v>580</v>
      </c>
      <c r="C13" s="11" t="s">
        <v>766</v>
      </c>
      <c r="D13" s="11" t="s">
        <v>1545</v>
      </c>
      <c r="E13" s="11" t="s">
        <v>2067</v>
      </c>
      <c r="F13" s="11" t="s">
        <v>454</v>
      </c>
      <c r="G13" s="11" t="s">
        <v>454</v>
      </c>
      <c r="H13" s="11" t="n">
        <v>12</v>
      </c>
      <c r="I13" s="11" t="n">
        <v>720</v>
      </c>
      <c r="J13" s="11" t="s">
        <v>2059</v>
      </c>
      <c r="K13" s="11" t="s">
        <v>1546</v>
      </c>
      <c r="L13" s="11" t="s">
        <v>1548</v>
      </c>
      <c r="M13" s="11" t="n">
        <v>737</v>
      </c>
      <c r="N13" s="11" t="n">
        <v>60</v>
      </c>
      <c r="O13" s="11" t="n">
        <v>0</v>
      </c>
      <c r="P13" s="11" t="n">
        <v>0</v>
      </c>
      <c r="Q13" s="11" t="s">
        <v>355</v>
      </c>
      <c r="R13" s="11" t="n">
        <v>2</v>
      </c>
      <c r="S13" s="11"/>
      <c r="T13" s="11" t="s">
        <v>226</v>
      </c>
      <c r="U13" s="11" t="s">
        <v>226</v>
      </c>
      <c r="V13" s="11"/>
      <c r="W13" s="11"/>
      <c r="X13" s="11" t="n">
        <f aca="false">$M13-$O13+$P13</f>
        <v>737</v>
      </c>
      <c r="Y13" s="11" t="n">
        <f aca="false">IF($M13=0,0,IF($J13="Working",IF($Q13="All",MAX(0,$M13-$I13),0),IF($Q13="None",0,$M13)))</f>
        <v>17</v>
      </c>
      <c r="Z13" s="24" t="str">
        <f aca="false">IF($J13&lt;&gt;"Working",IF($M13&gt;0,$J13&amp;" — worked",$J13),IF($U13="Y","Present",IF($X13&lt;INDEX(08_Attendance_Rules!$C$2:$C$5,MATCH($H13,08_Attendance_Rules!$A$2:$A$5,0)),"Absent",IF($X13&lt;INDEX(08_Attendance_Rules!$B$2:$B$5,MATCH($H13,08_Attendance_Rules!$A$2:$A$5,0)),"Half Day",IF($T13="Y","Half Day","Present")))))</f>
        <v>Present</v>
      </c>
      <c r="AA13" s="11" t="str">
        <f aca="false">IF($X13=0,"-",INT($X13/60)&amp;":"&amp;TEXT(MOD($X13,60),"00"))</f>
        <v>12:17</v>
      </c>
      <c r="AB13" s="11" t="str">
        <f aca="false">IF($Y13=0,"-",INT($Y13/60)&amp;":"&amp;TEXT(MOD($Y13,60),"00"))</f>
        <v>0:17</v>
      </c>
    </row>
    <row r="14" customFormat="false" ht="15" hidden="false" customHeight="true" outlineLevel="0" collapsed="false">
      <c r="A14" s="9" t="s">
        <v>2080</v>
      </c>
      <c r="B14" s="9" t="s">
        <v>580</v>
      </c>
      <c r="C14" s="9" t="s">
        <v>766</v>
      </c>
      <c r="D14" s="9" t="s">
        <v>1409</v>
      </c>
      <c r="E14" s="9" t="s">
        <v>2069</v>
      </c>
      <c r="F14" s="9" t="s">
        <v>454</v>
      </c>
      <c r="G14" s="9" t="s">
        <v>454</v>
      </c>
      <c r="H14" s="9" t="n">
        <v>12</v>
      </c>
      <c r="I14" s="9" t="n">
        <v>720</v>
      </c>
      <c r="J14" s="9" t="s">
        <v>2070</v>
      </c>
      <c r="K14" s="9"/>
      <c r="L14" s="9"/>
      <c r="M14" s="9" t="n">
        <v>0</v>
      </c>
      <c r="N14" s="9" t="n">
        <v>0</v>
      </c>
      <c r="O14" s="9" t="n">
        <v>0</v>
      </c>
      <c r="P14" s="9" t="n">
        <v>0</v>
      </c>
      <c r="Q14" s="9" t="s">
        <v>355</v>
      </c>
      <c r="R14" s="9"/>
      <c r="S14" s="9"/>
      <c r="T14" s="9" t="s">
        <v>226</v>
      </c>
      <c r="U14" s="9" t="s">
        <v>226</v>
      </c>
      <c r="V14" s="9"/>
      <c r="W14" s="9"/>
      <c r="X14" s="9" t="n">
        <f aca="false">$M14-$O14+$P14</f>
        <v>0</v>
      </c>
      <c r="Y14" s="9" t="n">
        <f aca="false">IF($M14=0,0,IF($J14="Working",IF($Q14="All",MAX(0,$M14-$I14),0),IF($Q14="None",0,$M14)))</f>
        <v>0</v>
      </c>
      <c r="Z14" s="23" t="str">
        <f aca="false">IF($J14&lt;&gt;"Working",IF($M14&gt;0,$J14&amp;" — worked",$J14),IF($U14="Y","Present",IF($X14&lt;INDEX(08_Attendance_Rules!$C$2:$C$5,MATCH($H14,08_Attendance_Rules!$A$2:$A$5,0)),"Absent",IF($X14&lt;INDEX(08_Attendance_Rules!$B$2:$B$5,MATCH($H14,08_Attendance_Rules!$A$2:$A$5,0)),"Half Day",IF($T14="Y","Half Day","Present")))))</f>
        <v>Weekly Off</v>
      </c>
      <c r="AA14" s="9" t="str">
        <f aca="false">IF($X14=0,"-",INT($X14/60)&amp;":"&amp;TEXT(MOD($X14,60),"00"))</f>
        <v>-</v>
      </c>
      <c r="AB14" s="9" t="str">
        <f aca="false">IF($Y14=0,"-",INT($Y14/60)&amp;":"&amp;TEXT(MOD($Y14,60),"00"))</f>
        <v>-</v>
      </c>
    </row>
    <row r="15" customFormat="false" ht="15" hidden="false" customHeight="true" outlineLevel="0" collapsed="false">
      <c r="A15" s="11" t="s">
        <v>2081</v>
      </c>
      <c r="B15" s="11" t="s">
        <v>580</v>
      </c>
      <c r="C15" s="11" t="s">
        <v>766</v>
      </c>
      <c r="D15" s="11" t="s">
        <v>1337</v>
      </c>
      <c r="E15" s="11" t="s">
        <v>2072</v>
      </c>
      <c r="F15" s="11" t="s">
        <v>454</v>
      </c>
      <c r="G15" s="11" t="s">
        <v>454</v>
      </c>
      <c r="H15" s="11" t="n">
        <v>12</v>
      </c>
      <c r="I15" s="11" t="n">
        <v>720</v>
      </c>
      <c r="J15" s="11" t="s">
        <v>2059</v>
      </c>
      <c r="K15" s="11" t="s">
        <v>457</v>
      </c>
      <c r="L15" s="11" t="s">
        <v>1535</v>
      </c>
      <c r="M15" s="11" t="n">
        <v>730</v>
      </c>
      <c r="N15" s="11" t="n">
        <v>60</v>
      </c>
      <c r="O15" s="11" t="n">
        <v>0</v>
      </c>
      <c r="P15" s="11" t="n">
        <v>0</v>
      </c>
      <c r="Q15" s="11" t="s">
        <v>355</v>
      </c>
      <c r="R15" s="11"/>
      <c r="S15" s="11"/>
      <c r="T15" s="11" t="s">
        <v>226</v>
      </c>
      <c r="U15" s="11" t="s">
        <v>226</v>
      </c>
      <c r="V15" s="11"/>
      <c r="W15" s="11"/>
      <c r="X15" s="11" t="n">
        <f aca="false">$M15-$O15+$P15</f>
        <v>730</v>
      </c>
      <c r="Y15" s="11" t="n">
        <f aca="false">IF($M15=0,0,IF($J15="Working",IF($Q15="All",MAX(0,$M15-$I15),0),IF($Q15="None",0,$M15)))</f>
        <v>10</v>
      </c>
      <c r="Z15" s="24" t="str">
        <f aca="false">IF($J15&lt;&gt;"Working",IF($M15&gt;0,$J15&amp;" — worked",$J15),IF($U15="Y","Present",IF($X15&lt;INDEX(08_Attendance_Rules!$C$2:$C$5,MATCH($H15,08_Attendance_Rules!$A$2:$A$5,0)),"Absent",IF($X15&lt;INDEX(08_Attendance_Rules!$B$2:$B$5,MATCH($H15,08_Attendance_Rules!$A$2:$A$5,0)),"Half Day",IF($T15="Y","Half Day","Present")))))</f>
        <v>Present</v>
      </c>
      <c r="AA15" s="11" t="str">
        <f aca="false">IF($X15=0,"-",INT($X15/60)&amp;":"&amp;TEXT(MOD($X15,60),"00"))</f>
        <v>12:10</v>
      </c>
      <c r="AB15" s="11" t="str">
        <f aca="false">IF($Y15=0,"-",INT($Y15/60)&amp;":"&amp;TEXT(MOD($Y15,60),"00"))</f>
        <v>0:10</v>
      </c>
    </row>
    <row r="16" customFormat="false" ht="15" hidden="false" customHeight="true" outlineLevel="0" collapsed="false">
      <c r="A16" s="9" t="s">
        <v>2082</v>
      </c>
      <c r="B16" s="9" t="s">
        <v>580</v>
      </c>
      <c r="C16" s="9" t="s">
        <v>766</v>
      </c>
      <c r="D16" s="9" t="s">
        <v>531</v>
      </c>
      <c r="E16" s="9" t="s">
        <v>2058</v>
      </c>
      <c r="F16" s="9" t="s">
        <v>454</v>
      </c>
      <c r="G16" s="9" t="s">
        <v>454</v>
      </c>
      <c r="H16" s="9" t="n">
        <v>12</v>
      </c>
      <c r="I16" s="9" t="n">
        <v>720</v>
      </c>
      <c r="J16" s="9" t="s">
        <v>2059</v>
      </c>
      <c r="K16" s="9" t="s">
        <v>1552</v>
      </c>
      <c r="L16" s="9" t="s">
        <v>1498</v>
      </c>
      <c r="M16" s="9" t="n">
        <v>729</v>
      </c>
      <c r="N16" s="9" t="n">
        <v>60</v>
      </c>
      <c r="O16" s="9" t="n">
        <v>0</v>
      </c>
      <c r="P16" s="9" t="n">
        <v>0</v>
      </c>
      <c r="Q16" s="9" t="s">
        <v>355</v>
      </c>
      <c r="R16" s="9"/>
      <c r="S16" s="9"/>
      <c r="T16" s="9" t="s">
        <v>226</v>
      </c>
      <c r="U16" s="9" t="s">
        <v>226</v>
      </c>
      <c r="V16" s="9"/>
      <c r="W16" s="9"/>
      <c r="X16" s="9" t="n">
        <f aca="false">$M16-$O16+$P16</f>
        <v>729</v>
      </c>
      <c r="Y16" s="9" t="n">
        <f aca="false">IF($M16=0,0,IF($J16="Working",IF($Q16="All",MAX(0,$M16-$I16),0),IF($Q16="None",0,$M16)))</f>
        <v>9</v>
      </c>
      <c r="Z16" s="23" t="str">
        <f aca="false">IF($J16&lt;&gt;"Working",IF($M16&gt;0,$J16&amp;" — worked",$J16),IF($U16="Y","Present",IF($X16&lt;INDEX(08_Attendance_Rules!$C$2:$C$5,MATCH($H16,08_Attendance_Rules!$A$2:$A$5,0)),"Absent",IF($X16&lt;INDEX(08_Attendance_Rules!$B$2:$B$5,MATCH($H16,08_Attendance_Rules!$A$2:$A$5,0)),"Half Day",IF($T16="Y","Half Day","Present")))))</f>
        <v>Present</v>
      </c>
      <c r="AA16" s="9" t="str">
        <f aca="false">IF($X16=0,"-",INT($X16/60)&amp;":"&amp;TEXT(MOD($X16,60),"00"))</f>
        <v>12:09</v>
      </c>
      <c r="AB16" s="9" t="str">
        <f aca="false">IF($Y16=0,"-",INT($Y16/60)&amp;":"&amp;TEXT(MOD($Y16,60),"00"))</f>
        <v>0:09</v>
      </c>
    </row>
    <row r="17" customFormat="false" ht="15" hidden="false" customHeight="true" outlineLevel="0" collapsed="false">
      <c r="A17" s="11" t="s">
        <v>2083</v>
      </c>
      <c r="B17" s="11" t="s">
        <v>773</v>
      </c>
      <c r="C17" s="11" t="s">
        <v>774</v>
      </c>
      <c r="D17" s="11" t="s">
        <v>1151</v>
      </c>
      <c r="E17" s="11" t="s">
        <v>2058</v>
      </c>
      <c r="F17" s="11" t="s">
        <v>454</v>
      </c>
      <c r="G17" s="11" t="s">
        <v>454</v>
      </c>
      <c r="H17" s="11" t="n">
        <v>12</v>
      </c>
      <c r="I17" s="11" t="n">
        <v>720</v>
      </c>
      <c r="J17" s="11" t="s">
        <v>2059</v>
      </c>
      <c r="K17" s="11" t="s">
        <v>1555</v>
      </c>
      <c r="L17" s="11" t="s">
        <v>1498</v>
      </c>
      <c r="M17" s="11" t="n">
        <v>704</v>
      </c>
      <c r="N17" s="11" t="n">
        <v>60</v>
      </c>
      <c r="O17" s="11" t="n">
        <v>0</v>
      </c>
      <c r="P17" s="11" t="n">
        <v>0</v>
      </c>
      <c r="Q17" s="11" t="s">
        <v>355</v>
      </c>
      <c r="R17" s="11" t="n">
        <v>22</v>
      </c>
      <c r="S17" s="11" t="n">
        <v>1</v>
      </c>
      <c r="T17" s="11" t="s">
        <v>226</v>
      </c>
      <c r="U17" s="11" t="s">
        <v>226</v>
      </c>
      <c r="V17" s="11" t="s">
        <v>2084</v>
      </c>
      <c r="W17" s="11"/>
      <c r="X17" s="11" t="n">
        <f aca="false">$M17-$O17+$P17</f>
        <v>704</v>
      </c>
      <c r="Y17" s="11" t="n">
        <f aca="false">IF($M17=0,0,IF($J17="Working",IF($Q17="All",MAX(0,$M17-$I17),0),IF($Q17="None",0,$M17)))</f>
        <v>0</v>
      </c>
      <c r="Z17" s="24" t="str">
        <f aca="false">IF($J17&lt;&gt;"Working",IF($M17&gt;0,$J17&amp;" — worked",$J17),IF($U17="Y","Present",IF($X17&lt;INDEX(08_Attendance_Rules!$C$2:$C$5,MATCH($H17,08_Attendance_Rules!$A$2:$A$5,0)),"Absent",IF($X17&lt;INDEX(08_Attendance_Rules!$B$2:$B$5,MATCH($H17,08_Attendance_Rules!$A$2:$A$5,0)),"Half Day",IF($T17="Y","Half Day","Present")))))</f>
        <v>Present</v>
      </c>
      <c r="AA17" s="11" t="str">
        <f aca="false">IF($X17=0,"-",INT($X17/60)&amp;":"&amp;TEXT(MOD($X17,60),"00"))</f>
        <v>11:44</v>
      </c>
      <c r="AB17" s="11" t="str">
        <f aca="false">IF($Y17=0,"-",INT($Y17/60)&amp;":"&amp;TEXT(MOD($Y17,60),"00"))</f>
        <v>-</v>
      </c>
    </row>
    <row r="18" customFormat="false" ht="15" hidden="false" customHeight="true" outlineLevel="0" collapsed="false">
      <c r="A18" s="9" t="s">
        <v>2085</v>
      </c>
      <c r="B18" s="9" t="s">
        <v>773</v>
      </c>
      <c r="C18" s="9" t="s">
        <v>774</v>
      </c>
      <c r="D18" s="9" t="s">
        <v>593</v>
      </c>
      <c r="E18" s="9" t="s">
        <v>2061</v>
      </c>
      <c r="F18" s="9" t="s">
        <v>454</v>
      </c>
      <c r="G18" s="9" t="s">
        <v>454</v>
      </c>
      <c r="H18" s="9" t="n">
        <v>12</v>
      </c>
      <c r="I18" s="9" t="n">
        <v>720</v>
      </c>
      <c r="J18" s="9" t="s">
        <v>2059</v>
      </c>
      <c r="K18" s="9" t="s">
        <v>1500</v>
      </c>
      <c r="L18" s="9" t="s">
        <v>1503</v>
      </c>
      <c r="M18" s="9" t="n">
        <v>733</v>
      </c>
      <c r="N18" s="9" t="n">
        <v>60</v>
      </c>
      <c r="O18" s="9" t="n">
        <v>0</v>
      </c>
      <c r="P18" s="9" t="n">
        <v>0</v>
      </c>
      <c r="Q18" s="9" t="s">
        <v>355</v>
      </c>
      <c r="R18" s="9"/>
      <c r="S18" s="9"/>
      <c r="T18" s="9" t="s">
        <v>226</v>
      </c>
      <c r="U18" s="9" t="s">
        <v>226</v>
      </c>
      <c r="V18" s="9"/>
      <c r="W18" s="9"/>
      <c r="X18" s="9" t="n">
        <f aca="false">$M18-$O18+$P18</f>
        <v>733</v>
      </c>
      <c r="Y18" s="9" t="n">
        <f aca="false">IF($M18=0,0,IF($J18="Working",IF($Q18="All",MAX(0,$M18-$I18),0),IF($Q18="None",0,$M18)))</f>
        <v>13</v>
      </c>
      <c r="Z18" s="23" t="str">
        <f aca="false">IF($J18&lt;&gt;"Working",IF($M18&gt;0,$J18&amp;" — worked",$J18),IF($U18="Y","Present",IF($X18&lt;INDEX(08_Attendance_Rules!$C$2:$C$5,MATCH($H18,08_Attendance_Rules!$A$2:$A$5,0)),"Absent",IF($X18&lt;INDEX(08_Attendance_Rules!$B$2:$B$5,MATCH($H18,08_Attendance_Rules!$A$2:$A$5,0)),"Half Day",IF($T18="Y","Half Day","Present")))))</f>
        <v>Present</v>
      </c>
      <c r="AA18" s="9" t="str">
        <f aca="false">IF($X18=0,"-",INT($X18/60)&amp;":"&amp;TEXT(MOD($X18,60),"00"))</f>
        <v>12:13</v>
      </c>
      <c r="AB18" s="9" t="str">
        <f aca="false">IF($Y18=0,"-",INT($Y18/60)&amp;":"&amp;TEXT(MOD($Y18,60),"00"))</f>
        <v>0:13</v>
      </c>
    </row>
    <row r="19" customFormat="false" ht="15" hidden="false" customHeight="true" outlineLevel="0" collapsed="false">
      <c r="A19" s="11" t="s">
        <v>2086</v>
      </c>
      <c r="B19" s="11" t="s">
        <v>773</v>
      </c>
      <c r="C19" s="11" t="s">
        <v>774</v>
      </c>
      <c r="D19" s="11" t="s">
        <v>1505</v>
      </c>
      <c r="E19" s="11" t="s">
        <v>2063</v>
      </c>
      <c r="F19" s="11" t="s">
        <v>454</v>
      </c>
      <c r="G19" s="11" t="s">
        <v>454</v>
      </c>
      <c r="H19" s="11" t="n">
        <v>12</v>
      </c>
      <c r="I19" s="11" t="n">
        <v>720</v>
      </c>
      <c r="J19" s="11" t="s">
        <v>2059</v>
      </c>
      <c r="K19" s="11" t="s">
        <v>1560</v>
      </c>
      <c r="L19" s="11" t="s">
        <v>1503</v>
      </c>
      <c r="M19" s="11" t="n">
        <v>700</v>
      </c>
      <c r="N19" s="11" t="n">
        <v>60</v>
      </c>
      <c r="O19" s="11" t="n">
        <v>0</v>
      </c>
      <c r="P19" s="11" t="n">
        <v>0</v>
      </c>
      <c r="Q19" s="11" t="s">
        <v>355</v>
      </c>
      <c r="R19" s="11" t="n">
        <v>31</v>
      </c>
      <c r="S19" s="11" t="n">
        <v>2</v>
      </c>
      <c r="T19" s="11" t="s">
        <v>226</v>
      </c>
      <c r="U19" s="11" t="s">
        <v>226</v>
      </c>
      <c r="V19" s="11" t="s">
        <v>2087</v>
      </c>
      <c r="W19" s="11"/>
      <c r="X19" s="11" t="n">
        <f aca="false">$M19-$O19+$P19</f>
        <v>700</v>
      </c>
      <c r="Y19" s="11" t="n">
        <f aca="false">IF($M19=0,0,IF($J19="Working",IF($Q19="All",MAX(0,$M19-$I19),0),IF($Q19="None",0,$M19)))</f>
        <v>0</v>
      </c>
      <c r="Z19" s="24" t="str">
        <f aca="false">IF($J19&lt;&gt;"Working",IF($M19&gt;0,$J19&amp;" — worked",$J19),IF($U19="Y","Present",IF($X19&lt;INDEX(08_Attendance_Rules!$C$2:$C$5,MATCH($H19,08_Attendance_Rules!$A$2:$A$5,0)),"Absent",IF($X19&lt;INDEX(08_Attendance_Rules!$B$2:$B$5,MATCH($H19,08_Attendance_Rules!$A$2:$A$5,0)),"Half Day",IF($T19="Y","Half Day","Present")))))</f>
        <v>Present</v>
      </c>
      <c r="AA19" s="11" t="str">
        <f aca="false">IF($X19=0,"-",INT($X19/60)&amp;":"&amp;TEXT(MOD($X19,60),"00"))</f>
        <v>11:40</v>
      </c>
      <c r="AB19" s="11" t="str">
        <f aca="false">IF($Y19=0,"-",INT($Y19/60)&amp;":"&amp;TEXT(MOD($Y19,60),"00"))</f>
        <v>-</v>
      </c>
    </row>
    <row r="20" customFormat="false" ht="15" hidden="false" customHeight="true" outlineLevel="0" collapsed="false">
      <c r="A20" s="9" t="s">
        <v>2088</v>
      </c>
      <c r="B20" s="9" t="s">
        <v>773</v>
      </c>
      <c r="C20" s="9" t="s">
        <v>774</v>
      </c>
      <c r="D20" s="9" t="s">
        <v>1511</v>
      </c>
      <c r="E20" s="9" t="s">
        <v>2065</v>
      </c>
      <c r="F20" s="9" t="s">
        <v>454</v>
      </c>
      <c r="G20" s="9" t="s">
        <v>454</v>
      </c>
      <c r="H20" s="9" t="n">
        <v>12</v>
      </c>
      <c r="I20" s="9" t="n">
        <v>720</v>
      </c>
      <c r="J20" s="9" t="s">
        <v>2059</v>
      </c>
      <c r="K20" s="9" t="s">
        <v>457</v>
      </c>
      <c r="L20" s="9" t="s">
        <v>1513</v>
      </c>
      <c r="M20" s="9" t="n">
        <v>734</v>
      </c>
      <c r="N20" s="9" t="n">
        <v>60</v>
      </c>
      <c r="O20" s="9" t="n">
        <v>0</v>
      </c>
      <c r="P20" s="9" t="n">
        <v>0</v>
      </c>
      <c r="Q20" s="9" t="s">
        <v>355</v>
      </c>
      <c r="R20" s="9"/>
      <c r="S20" s="9"/>
      <c r="T20" s="9" t="s">
        <v>226</v>
      </c>
      <c r="U20" s="9" t="s">
        <v>226</v>
      </c>
      <c r="V20" s="9"/>
      <c r="W20" s="9"/>
      <c r="X20" s="9" t="n">
        <f aca="false">$M20-$O20+$P20</f>
        <v>734</v>
      </c>
      <c r="Y20" s="9" t="n">
        <f aca="false">IF($M20=0,0,IF($J20="Working",IF($Q20="All",MAX(0,$M20-$I20),0),IF($Q20="None",0,$M20)))</f>
        <v>14</v>
      </c>
      <c r="Z20" s="23" t="str">
        <f aca="false">IF($J20&lt;&gt;"Working",IF($M20&gt;0,$J20&amp;" — worked",$J20),IF($U20="Y","Present",IF($X20&lt;INDEX(08_Attendance_Rules!$C$2:$C$5,MATCH($H20,08_Attendance_Rules!$A$2:$A$5,0)),"Absent",IF($X20&lt;INDEX(08_Attendance_Rules!$B$2:$B$5,MATCH($H20,08_Attendance_Rules!$A$2:$A$5,0)),"Half Day",IF($T20="Y","Half Day","Present")))))</f>
        <v>Present</v>
      </c>
      <c r="AA20" s="9" t="str">
        <f aca="false">IF($X20=0,"-",INT($X20/60)&amp;":"&amp;TEXT(MOD($X20,60),"00"))</f>
        <v>12:14</v>
      </c>
      <c r="AB20" s="9" t="str">
        <f aca="false">IF($Y20=0,"-",INT($Y20/60)&amp;":"&amp;TEXT(MOD($Y20,60),"00"))</f>
        <v>0:14</v>
      </c>
    </row>
    <row r="21" customFormat="false" ht="15" hidden="false" customHeight="true" outlineLevel="0" collapsed="false">
      <c r="A21" s="11" t="s">
        <v>2089</v>
      </c>
      <c r="B21" s="11" t="s">
        <v>773</v>
      </c>
      <c r="C21" s="11" t="s">
        <v>774</v>
      </c>
      <c r="D21" s="11" t="s">
        <v>1515</v>
      </c>
      <c r="E21" s="11" t="s">
        <v>2067</v>
      </c>
      <c r="F21" s="11" t="s">
        <v>454</v>
      </c>
      <c r="G21" s="11" t="s">
        <v>454</v>
      </c>
      <c r="H21" s="11" t="n">
        <v>12</v>
      </c>
      <c r="I21" s="11" t="n">
        <v>720</v>
      </c>
      <c r="J21" s="11" t="s">
        <v>2059</v>
      </c>
      <c r="K21" s="11" t="s">
        <v>1516</v>
      </c>
      <c r="L21" s="11" t="s">
        <v>1518</v>
      </c>
      <c r="M21" s="11" t="n">
        <v>732</v>
      </c>
      <c r="N21" s="11" t="n">
        <v>60</v>
      </c>
      <c r="O21" s="11" t="n">
        <v>0</v>
      </c>
      <c r="P21" s="11" t="n">
        <v>0</v>
      </c>
      <c r="Q21" s="11" t="s">
        <v>355</v>
      </c>
      <c r="R21" s="11"/>
      <c r="S21" s="11"/>
      <c r="T21" s="11" t="s">
        <v>226</v>
      </c>
      <c r="U21" s="11" t="s">
        <v>226</v>
      </c>
      <c r="V21" s="11"/>
      <c r="W21" s="11"/>
      <c r="X21" s="11" t="n">
        <f aca="false">$M21-$O21+$P21</f>
        <v>732</v>
      </c>
      <c r="Y21" s="11" t="n">
        <f aca="false">IF($M21=0,0,IF($J21="Working",IF($Q21="All",MAX(0,$M21-$I21),0),IF($Q21="None",0,$M21)))</f>
        <v>12</v>
      </c>
      <c r="Z21" s="24" t="str">
        <f aca="false">IF($J21&lt;&gt;"Working",IF($M21&gt;0,$J21&amp;" — worked",$J21),IF($U21="Y","Present",IF($X21&lt;INDEX(08_Attendance_Rules!$C$2:$C$5,MATCH($H21,08_Attendance_Rules!$A$2:$A$5,0)),"Absent",IF($X21&lt;INDEX(08_Attendance_Rules!$B$2:$B$5,MATCH($H21,08_Attendance_Rules!$A$2:$A$5,0)),"Half Day",IF($T21="Y","Half Day","Present")))))</f>
        <v>Present</v>
      </c>
      <c r="AA21" s="11" t="str">
        <f aca="false">IF($X21=0,"-",INT($X21/60)&amp;":"&amp;TEXT(MOD($X21,60),"00"))</f>
        <v>12:12</v>
      </c>
      <c r="AB21" s="11" t="str">
        <f aca="false">IF($Y21=0,"-",INT($Y21/60)&amp;":"&amp;TEXT(MOD($Y21,60),"00"))</f>
        <v>0:12</v>
      </c>
    </row>
    <row r="22" customFormat="false" ht="15" hidden="false" customHeight="true" outlineLevel="0" collapsed="false">
      <c r="A22" s="9" t="s">
        <v>2090</v>
      </c>
      <c r="B22" s="9" t="s">
        <v>773</v>
      </c>
      <c r="C22" s="9" t="s">
        <v>774</v>
      </c>
      <c r="D22" s="9" t="s">
        <v>1359</v>
      </c>
      <c r="E22" s="9" t="s">
        <v>2069</v>
      </c>
      <c r="F22" s="9" t="s">
        <v>454</v>
      </c>
      <c r="G22" s="9" t="s">
        <v>454</v>
      </c>
      <c r="H22" s="9" t="n">
        <v>12</v>
      </c>
      <c r="I22" s="9" t="n">
        <v>720</v>
      </c>
      <c r="J22" s="9" t="s">
        <v>2070</v>
      </c>
      <c r="K22" s="9"/>
      <c r="L22" s="9"/>
      <c r="M22" s="9" t="n">
        <v>0</v>
      </c>
      <c r="N22" s="9" t="n">
        <v>0</v>
      </c>
      <c r="O22" s="9" t="n">
        <v>0</v>
      </c>
      <c r="P22" s="9" t="n">
        <v>0</v>
      </c>
      <c r="Q22" s="9" t="s">
        <v>355</v>
      </c>
      <c r="R22" s="9"/>
      <c r="S22" s="9"/>
      <c r="T22" s="9" t="s">
        <v>226</v>
      </c>
      <c r="U22" s="9" t="s">
        <v>226</v>
      </c>
      <c r="V22" s="9"/>
      <c r="W22" s="9"/>
      <c r="X22" s="9" t="n">
        <f aca="false">$M22-$O22+$P22</f>
        <v>0</v>
      </c>
      <c r="Y22" s="9" t="n">
        <f aca="false">IF($M22=0,0,IF($J22="Working",IF($Q22="All",MAX(0,$M22-$I22),0),IF($Q22="None",0,$M22)))</f>
        <v>0</v>
      </c>
      <c r="Z22" s="23" t="str">
        <f aca="false">IF($J22&lt;&gt;"Working",IF($M22&gt;0,$J22&amp;" — worked",$J22),IF($U22="Y","Present",IF($X22&lt;INDEX(08_Attendance_Rules!$C$2:$C$5,MATCH($H22,08_Attendance_Rules!$A$2:$A$5,0)),"Absent",IF($X22&lt;INDEX(08_Attendance_Rules!$B$2:$B$5,MATCH($H22,08_Attendance_Rules!$A$2:$A$5,0)),"Half Day",IF($T22="Y","Half Day","Present")))))</f>
        <v>Weekly Off</v>
      </c>
      <c r="AA22" s="9" t="str">
        <f aca="false">IF($X22=0,"-",INT($X22/60)&amp;":"&amp;TEXT(MOD($X22,60),"00"))</f>
        <v>-</v>
      </c>
      <c r="AB22" s="9" t="str">
        <f aca="false">IF($Y22=0,"-",INT($Y22/60)&amp;":"&amp;TEXT(MOD($Y22,60),"00"))</f>
        <v>-</v>
      </c>
    </row>
    <row r="23" customFormat="false" ht="15" hidden="false" customHeight="true" outlineLevel="0" collapsed="false">
      <c r="A23" s="11" t="s">
        <v>2091</v>
      </c>
      <c r="B23" s="11" t="s">
        <v>773</v>
      </c>
      <c r="C23" s="11" t="s">
        <v>774</v>
      </c>
      <c r="D23" s="11" t="s">
        <v>1332</v>
      </c>
      <c r="E23" s="11" t="s">
        <v>2072</v>
      </c>
      <c r="F23" s="11" t="s">
        <v>454</v>
      </c>
      <c r="G23" s="11" t="s">
        <v>454</v>
      </c>
      <c r="H23" s="11" t="n">
        <v>12</v>
      </c>
      <c r="I23" s="11" t="n">
        <v>720</v>
      </c>
      <c r="J23" s="11" t="s">
        <v>2059</v>
      </c>
      <c r="K23" s="11" t="s">
        <v>1567</v>
      </c>
      <c r="L23" s="11" t="s">
        <v>1509</v>
      </c>
      <c r="M23" s="11" t="n">
        <v>704</v>
      </c>
      <c r="N23" s="11" t="n">
        <v>60</v>
      </c>
      <c r="O23" s="11" t="n">
        <v>0</v>
      </c>
      <c r="P23" s="11" t="n">
        <v>0</v>
      </c>
      <c r="Q23" s="11" t="s">
        <v>355</v>
      </c>
      <c r="R23" s="11" t="n">
        <v>19</v>
      </c>
      <c r="S23" s="11" t="n">
        <v>3</v>
      </c>
      <c r="T23" s="11" t="s">
        <v>226</v>
      </c>
      <c r="U23" s="11" t="s">
        <v>226</v>
      </c>
      <c r="V23" s="11" t="s">
        <v>2092</v>
      </c>
      <c r="W23" s="11"/>
      <c r="X23" s="11" t="n">
        <f aca="false">$M23-$O23+$P23</f>
        <v>704</v>
      </c>
      <c r="Y23" s="11" t="n">
        <f aca="false">IF($M23=0,0,IF($J23="Working",IF($Q23="All",MAX(0,$M23-$I23),0),IF($Q23="None",0,$M23)))</f>
        <v>0</v>
      </c>
      <c r="Z23" s="24" t="str">
        <f aca="false">IF($J23&lt;&gt;"Working",IF($M23&gt;0,$J23&amp;" — worked",$J23),IF($U23="Y","Present",IF($X23&lt;INDEX(08_Attendance_Rules!$C$2:$C$5,MATCH($H23,08_Attendance_Rules!$A$2:$A$5,0)),"Absent",IF($X23&lt;INDEX(08_Attendance_Rules!$B$2:$B$5,MATCH($H23,08_Attendance_Rules!$A$2:$A$5,0)),"Half Day",IF($T23="Y","Half Day","Present")))))</f>
        <v>Present</v>
      </c>
      <c r="AA23" s="11" t="str">
        <f aca="false">IF($X23=0,"-",INT($X23/60)&amp;":"&amp;TEXT(MOD($X23,60),"00"))</f>
        <v>11:44</v>
      </c>
      <c r="AB23" s="11" t="str">
        <f aca="false">IF($Y23=0,"-",INT($Y23/60)&amp;":"&amp;TEXT(MOD($Y23,60),"00"))</f>
        <v>-</v>
      </c>
    </row>
    <row r="24" customFormat="false" ht="15" hidden="false" customHeight="true" outlineLevel="0" collapsed="false">
      <c r="A24" s="9" t="s">
        <v>2093</v>
      </c>
      <c r="B24" s="9" t="s">
        <v>773</v>
      </c>
      <c r="C24" s="9" t="s">
        <v>774</v>
      </c>
      <c r="D24" s="9" t="s">
        <v>1524</v>
      </c>
      <c r="E24" s="9" t="s">
        <v>2058</v>
      </c>
      <c r="F24" s="9" t="s">
        <v>454</v>
      </c>
      <c r="G24" s="9" t="s">
        <v>454</v>
      </c>
      <c r="H24" s="9" t="n">
        <v>12</v>
      </c>
      <c r="I24" s="9" t="n">
        <v>720</v>
      </c>
      <c r="J24" s="9" t="s">
        <v>2059</v>
      </c>
      <c r="K24" s="9" t="s">
        <v>472</v>
      </c>
      <c r="L24" s="9" t="s">
        <v>1571</v>
      </c>
      <c r="M24" s="9" t="n">
        <v>726</v>
      </c>
      <c r="N24" s="9" t="n">
        <v>60</v>
      </c>
      <c r="O24" s="9" t="n">
        <v>0</v>
      </c>
      <c r="P24" s="9" t="n">
        <v>0</v>
      </c>
      <c r="Q24" s="9" t="s">
        <v>355</v>
      </c>
      <c r="R24" s="9"/>
      <c r="S24" s="9"/>
      <c r="T24" s="9" t="s">
        <v>226</v>
      </c>
      <c r="U24" s="9" t="s">
        <v>226</v>
      </c>
      <c r="V24" s="9"/>
      <c r="W24" s="9"/>
      <c r="X24" s="9" t="n">
        <f aca="false">$M24-$O24+$P24</f>
        <v>726</v>
      </c>
      <c r="Y24" s="9" t="n">
        <f aca="false">IF($M24=0,0,IF($J24="Working",IF($Q24="All",MAX(0,$M24-$I24),0),IF($Q24="None",0,$M24)))</f>
        <v>6</v>
      </c>
      <c r="Z24" s="23" t="str">
        <f aca="false">IF($J24&lt;&gt;"Working",IF($M24&gt;0,$J24&amp;" — worked",$J24),IF($U24="Y","Present",IF($X24&lt;INDEX(08_Attendance_Rules!$C$2:$C$5,MATCH($H24,08_Attendance_Rules!$A$2:$A$5,0)),"Absent",IF($X24&lt;INDEX(08_Attendance_Rules!$B$2:$B$5,MATCH($H24,08_Attendance_Rules!$A$2:$A$5,0)),"Half Day",IF($T24="Y","Half Day","Present")))))</f>
        <v>Present</v>
      </c>
      <c r="AA24" s="9" t="str">
        <f aca="false">IF($X24=0,"-",INT($X24/60)&amp;":"&amp;TEXT(MOD($X24,60),"00"))</f>
        <v>12:06</v>
      </c>
      <c r="AB24" s="9" t="str">
        <f aca="false">IF($Y24=0,"-",INT($Y24/60)&amp;":"&amp;TEXT(MOD($Y24,60),"00"))</f>
        <v>0:06</v>
      </c>
    </row>
    <row r="25" customFormat="false" ht="15" hidden="false" customHeight="true" outlineLevel="0" collapsed="false">
      <c r="A25" s="11" t="s">
        <v>2094</v>
      </c>
      <c r="B25" s="11" t="s">
        <v>773</v>
      </c>
      <c r="C25" s="11" t="s">
        <v>774</v>
      </c>
      <c r="D25" s="11" t="s">
        <v>1377</v>
      </c>
      <c r="E25" s="11" t="s">
        <v>2061</v>
      </c>
      <c r="F25" s="11" t="s">
        <v>454</v>
      </c>
      <c r="G25" s="11" t="s">
        <v>454</v>
      </c>
      <c r="H25" s="11" t="n">
        <v>12</v>
      </c>
      <c r="I25" s="11" t="n">
        <v>720</v>
      </c>
      <c r="J25" s="11" t="s">
        <v>2059</v>
      </c>
      <c r="K25" s="11" t="s">
        <v>1552</v>
      </c>
      <c r="L25" s="11" t="s">
        <v>1574</v>
      </c>
      <c r="M25" s="11" t="n">
        <v>732</v>
      </c>
      <c r="N25" s="11" t="n">
        <v>60</v>
      </c>
      <c r="O25" s="11" t="n">
        <v>0</v>
      </c>
      <c r="P25" s="11" t="n">
        <v>0</v>
      </c>
      <c r="Q25" s="11" t="s">
        <v>355</v>
      </c>
      <c r="R25" s="11"/>
      <c r="S25" s="11"/>
      <c r="T25" s="11" t="s">
        <v>226</v>
      </c>
      <c r="U25" s="11" t="s">
        <v>226</v>
      </c>
      <c r="V25" s="11"/>
      <c r="W25" s="11"/>
      <c r="X25" s="11" t="n">
        <f aca="false">$M25-$O25+$P25</f>
        <v>732</v>
      </c>
      <c r="Y25" s="11" t="n">
        <f aca="false">IF($M25=0,0,IF($J25="Working",IF($Q25="All",MAX(0,$M25-$I25),0),IF($Q25="None",0,$M25)))</f>
        <v>12</v>
      </c>
      <c r="Z25" s="24" t="str">
        <f aca="false">IF($J25&lt;&gt;"Working",IF($M25&gt;0,$J25&amp;" — worked",$J25),IF($U25="Y","Present",IF($X25&lt;INDEX(08_Attendance_Rules!$C$2:$C$5,MATCH($H25,08_Attendance_Rules!$A$2:$A$5,0)),"Absent",IF($X25&lt;INDEX(08_Attendance_Rules!$B$2:$B$5,MATCH($H25,08_Attendance_Rules!$A$2:$A$5,0)),"Half Day",IF($T25="Y","Half Day","Present")))))</f>
        <v>Present</v>
      </c>
      <c r="AA25" s="11" t="str">
        <f aca="false">IF($X25=0,"-",INT($X25/60)&amp;":"&amp;TEXT(MOD($X25,60),"00"))</f>
        <v>12:12</v>
      </c>
      <c r="AB25" s="11" t="str">
        <f aca="false">IF($Y25=0,"-",INT($Y25/60)&amp;":"&amp;TEXT(MOD($Y25,60),"00"))</f>
        <v>0:12</v>
      </c>
    </row>
    <row r="26" customFormat="false" ht="15" hidden="false" customHeight="true" outlineLevel="0" collapsed="false">
      <c r="A26" s="9" t="s">
        <v>2095</v>
      </c>
      <c r="B26" s="9" t="s">
        <v>773</v>
      </c>
      <c r="C26" s="9" t="s">
        <v>774</v>
      </c>
      <c r="D26" s="9" t="s">
        <v>1355</v>
      </c>
      <c r="E26" s="9" t="s">
        <v>2063</v>
      </c>
      <c r="F26" s="9" t="s">
        <v>454</v>
      </c>
      <c r="G26" s="9" t="s">
        <v>454</v>
      </c>
      <c r="H26" s="9" t="n">
        <v>12</v>
      </c>
      <c r="I26" s="9" t="n">
        <v>720</v>
      </c>
      <c r="J26" s="9" t="s">
        <v>2059</v>
      </c>
      <c r="K26" s="9" t="s">
        <v>1576</v>
      </c>
      <c r="L26" s="9" t="s">
        <v>1574</v>
      </c>
      <c r="M26" s="9" t="n">
        <v>702</v>
      </c>
      <c r="N26" s="9" t="n">
        <v>60</v>
      </c>
      <c r="O26" s="9" t="n">
        <v>0</v>
      </c>
      <c r="P26" s="9" t="n">
        <v>0</v>
      </c>
      <c r="Q26" s="9" t="s">
        <v>355</v>
      </c>
      <c r="R26" s="9" t="n">
        <v>27</v>
      </c>
      <c r="S26" s="9" t="n">
        <v>4</v>
      </c>
      <c r="T26" s="9" t="s">
        <v>233</v>
      </c>
      <c r="U26" s="9" t="s">
        <v>226</v>
      </c>
      <c r="V26" s="9" t="s">
        <v>2096</v>
      </c>
      <c r="W26" s="9"/>
      <c r="X26" s="9" t="n">
        <f aca="false">$M26-$O26+$P26</f>
        <v>702</v>
      </c>
      <c r="Y26" s="9" t="n">
        <f aca="false">IF($M26=0,0,IF($J26="Working",IF($Q26="All",MAX(0,$M26-$I26),0),IF($Q26="None",0,$M26)))</f>
        <v>0</v>
      </c>
      <c r="Z26" s="23" t="str">
        <f aca="false">IF($J26&lt;&gt;"Working",IF($M26&gt;0,$J26&amp;" — worked",$J26),IF($U26="Y","Present",IF($X26&lt;INDEX(08_Attendance_Rules!$C$2:$C$5,MATCH($H26,08_Attendance_Rules!$A$2:$A$5,0)),"Absent",IF($X26&lt;INDEX(08_Attendance_Rules!$B$2:$B$5,MATCH($H26,08_Attendance_Rules!$A$2:$A$5,0)),"Half Day",IF($T26="Y","Half Day","Present")))))</f>
        <v>Half Day</v>
      </c>
      <c r="AA26" s="9" t="str">
        <f aca="false">IF($X26=0,"-",INT($X26/60)&amp;":"&amp;TEXT(MOD($X26,60),"00"))</f>
        <v>11:42</v>
      </c>
      <c r="AB26" s="9" t="str">
        <f aca="false">IF($Y26=0,"-",INT($Y26/60)&amp;":"&amp;TEXT(MOD($Y26,60),"00"))</f>
        <v>-</v>
      </c>
    </row>
    <row r="27" customFormat="false" ht="15" hidden="false" customHeight="true" outlineLevel="0" collapsed="false">
      <c r="A27" s="11" t="s">
        <v>2097</v>
      </c>
      <c r="B27" s="11" t="s">
        <v>773</v>
      </c>
      <c r="C27" s="11" t="s">
        <v>774</v>
      </c>
      <c r="D27" s="11" t="s">
        <v>1459</v>
      </c>
      <c r="E27" s="11" t="s">
        <v>2065</v>
      </c>
      <c r="F27" s="11" t="s">
        <v>454</v>
      </c>
      <c r="G27" s="11" t="s">
        <v>454</v>
      </c>
      <c r="H27" s="11" t="n">
        <v>12</v>
      </c>
      <c r="I27" s="11" t="n">
        <v>720</v>
      </c>
      <c r="J27" s="11" t="s">
        <v>2059</v>
      </c>
      <c r="K27" s="11" t="s">
        <v>1541</v>
      </c>
      <c r="L27" s="11" t="s">
        <v>1543</v>
      </c>
      <c r="M27" s="11" t="n">
        <v>732</v>
      </c>
      <c r="N27" s="11" t="n">
        <v>60</v>
      </c>
      <c r="O27" s="11" t="n">
        <v>0</v>
      </c>
      <c r="P27" s="11" t="n">
        <v>0</v>
      </c>
      <c r="Q27" s="11" t="s">
        <v>355</v>
      </c>
      <c r="R27" s="11"/>
      <c r="S27" s="11"/>
      <c r="T27" s="11" t="s">
        <v>226</v>
      </c>
      <c r="U27" s="11" t="s">
        <v>226</v>
      </c>
      <c r="V27" s="11"/>
      <c r="W27" s="11"/>
      <c r="X27" s="11" t="n">
        <f aca="false">$M27-$O27+$P27</f>
        <v>732</v>
      </c>
      <c r="Y27" s="11" t="n">
        <f aca="false">IF($M27=0,0,IF($J27="Working",IF($Q27="All",MAX(0,$M27-$I27),0),IF($Q27="None",0,$M27)))</f>
        <v>12</v>
      </c>
      <c r="Z27" s="24" t="str">
        <f aca="false">IF($J27&lt;&gt;"Working",IF($M27&gt;0,$J27&amp;" — worked",$J27),IF($U27="Y","Present",IF($X27&lt;INDEX(08_Attendance_Rules!$C$2:$C$5,MATCH($H27,08_Attendance_Rules!$A$2:$A$5,0)),"Absent",IF($X27&lt;INDEX(08_Attendance_Rules!$B$2:$B$5,MATCH($H27,08_Attendance_Rules!$A$2:$A$5,0)),"Half Day",IF($T27="Y","Half Day","Present")))))</f>
        <v>Present</v>
      </c>
      <c r="AA27" s="11" t="str">
        <f aca="false">IF($X27=0,"-",INT($X27/60)&amp;":"&amp;TEXT(MOD($X27,60),"00"))</f>
        <v>12:12</v>
      </c>
      <c r="AB27" s="11" t="str">
        <f aca="false">IF($Y27=0,"-",INT($Y27/60)&amp;":"&amp;TEXT(MOD($Y27,60),"00"))</f>
        <v>0:12</v>
      </c>
    </row>
    <row r="28" customFormat="false" ht="15" hidden="false" customHeight="true" outlineLevel="0" collapsed="false">
      <c r="A28" s="9" t="s">
        <v>2098</v>
      </c>
      <c r="B28" s="9" t="s">
        <v>773</v>
      </c>
      <c r="C28" s="9" t="s">
        <v>774</v>
      </c>
      <c r="D28" s="9" t="s">
        <v>1545</v>
      </c>
      <c r="E28" s="9" t="s">
        <v>2067</v>
      </c>
      <c r="F28" s="9" t="s">
        <v>454</v>
      </c>
      <c r="G28" s="9" t="s">
        <v>454</v>
      </c>
      <c r="H28" s="9" t="n">
        <v>12</v>
      </c>
      <c r="I28" s="9" t="n">
        <v>720</v>
      </c>
      <c r="J28" s="9" t="s">
        <v>2059</v>
      </c>
      <c r="K28" s="9" t="s">
        <v>1546</v>
      </c>
      <c r="L28" s="9" t="s">
        <v>1548</v>
      </c>
      <c r="M28" s="9" t="n">
        <v>737</v>
      </c>
      <c r="N28" s="9" t="n">
        <v>60</v>
      </c>
      <c r="O28" s="9" t="n">
        <v>0</v>
      </c>
      <c r="P28" s="9" t="n">
        <v>0</v>
      </c>
      <c r="Q28" s="9" t="s">
        <v>355</v>
      </c>
      <c r="R28" s="9" t="n">
        <v>2</v>
      </c>
      <c r="S28" s="9"/>
      <c r="T28" s="9" t="s">
        <v>226</v>
      </c>
      <c r="U28" s="9" t="s">
        <v>226</v>
      </c>
      <c r="V28" s="9"/>
      <c r="W28" s="9"/>
      <c r="X28" s="9" t="n">
        <f aca="false">$M28-$O28+$P28</f>
        <v>737</v>
      </c>
      <c r="Y28" s="9" t="n">
        <f aca="false">IF($M28=0,0,IF($J28="Working",IF($Q28="All",MAX(0,$M28-$I28),0),IF($Q28="None",0,$M28)))</f>
        <v>17</v>
      </c>
      <c r="Z28" s="23" t="str">
        <f aca="false">IF($J28&lt;&gt;"Working",IF($M28&gt;0,$J28&amp;" — worked",$J28),IF($U28="Y","Present",IF($X28&lt;INDEX(08_Attendance_Rules!$C$2:$C$5,MATCH($H28,08_Attendance_Rules!$A$2:$A$5,0)),"Absent",IF($X28&lt;INDEX(08_Attendance_Rules!$B$2:$B$5,MATCH($H28,08_Attendance_Rules!$A$2:$A$5,0)),"Half Day",IF($T28="Y","Half Day","Present")))))</f>
        <v>Present</v>
      </c>
      <c r="AA28" s="9" t="str">
        <f aca="false">IF($X28=0,"-",INT($X28/60)&amp;":"&amp;TEXT(MOD($X28,60),"00"))</f>
        <v>12:17</v>
      </c>
      <c r="AB28" s="9" t="str">
        <f aca="false">IF($Y28=0,"-",INT($Y28/60)&amp;":"&amp;TEXT(MOD($Y28,60),"00"))</f>
        <v>0:17</v>
      </c>
    </row>
    <row r="29" customFormat="false" ht="15" hidden="false" customHeight="true" outlineLevel="0" collapsed="false">
      <c r="A29" s="11" t="s">
        <v>2099</v>
      </c>
      <c r="B29" s="11" t="s">
        <v>773</v>
      </c>
      <c r="C29" s="11" t="s">
        <v>774</v>
      </c>
      <c r="D29" s="11" t="s">
        <v>1409</v>
      </c>
      <c r="E29" s="11" t="s">
        <v>2069</v>
      </c>
      <c r="F29" s="11" t="s">
        <v>454</v>
      </c>
      <c r="G29" s="11" t="s">
        <v>454</v>
      </c>
      <c r="H29" s="11" t="n">
        <v>12</v>
      </c>
      <c r="I29" s="11" t="n">
        <v>720</v>
      </c>
      <c r="J29" s="11" t="s">
        <v>2070</v>
      </c>
      <c r="K29" s="11"/>
      <c r="L29" s="11"/>
      <c r="M29" s="11" t="n">
        <v>0</v>
      </c>
      <c r="N29" s="11" t="n">
        <v>0</v>
      </c>
      <c r="O29" s="11" t="n">
        <v>0</v>
      </c>
      <c r="P29" s="11" t="n">
        <v>0</v>
      </c>
      <c r="Q29" s="11" t="s">
        <v>355</v>
      </c>
      <c r="R29" s="11"/>
      <c r="S29" s="11"/>
      <c r="T29" s="11" t="s">
        <v>226</v>
      </c>
      <c r="U29" s="11" t="s">
        <v>226</v>
      </c>
      <c r="V29" s="11"/>
      <c r="W29" s="11"/>
      <c r="X29" s="11" t="n">
        <f aca="false">$M29-$O29+$P29</f>
        <v>0</v>
      </c>
      <c r="Y29" s="11" t="n">
        <f aca="false">IF($M29=0,0,IF($J29="Working",IF($Q29="All",MAX(0,$M29-$I29),0),IF($Q29="None",0,$M29)))</f>
        <v>0</v>
      </c>
      <c r="Z29" s="24" t="str">
        <f aca="false">IF($J29&lt;&gt;"Working",IF($M29&gt;0,$J29&amp;" — worked",$J29),IF($U29="Y","Present",IF($X29&lt;INDEX(08_Attendance_Rules!$C$2:$C$5,MATCH($H29,08_Attendance_Rules!$A$2:$A$5,0)),"Absent",IF($X29&lt;INDEX(08_Attendance_Rules!$B$2:$B$5,MATCH($H29,08_Attendance_Rules!$A$2:$A$5,0)),"Half Day",IF($T29="Y","Half Day","Present")))))</f>
        <v>Weekly Off</v>
      </c>
      <c r="AA29" s="11" t="str">
        <f aca="false">IF($X29=0,"-",INT($X29/60)&amp;":"&amp;TEXT(MOD($X29,60),"00"))</f>
        <v>-</v>
      </c>
      <c r="AB29" s="11" t="str">
        <f aca="false">IF($Y29=0,"-",INT($Y29/60)&amp;":"&amp;TEXT(MOD($Y29,60),"00"))</f>
        <v>-</v>
      </c>
    </row>
    <row r="30" customFormat="false" ht="15" hidden="false" customHeight="true" outlineLevel="0" collapsed="false">
      <c r="A30" s="9" t="s">
        <v>2100</v>
      </c>
      <c r="B30" s="9" t="s">
        <v>773</v>
      </c>
      <c r="C30" s="9" t="s">
        <v>774</v>
      </c>
      <c r="D30" s="9" t="s">
        <v>1337</v>
      </c>
      <c r="E30" s="9" t="s">
        <v>2072</v>
      </c>
      <c r="F30" s="9" t="s">
        <v>454</v>
      </c>
      <c r="G30" s="9" t="s">
        <v>454</v>
      </c>
      <c r="H30" s="9" t="n">
        <v>12</v>
      </c>
      <c r="I30" s="9" t="n">
        <v>720</v>
      </c>
      <c r="J30" s="9" t="s">
        <v>2059</v>
      </c>
      <c r="K30" s="9" t="s">
        <v>1583</v>
      </c>
      <c r="L30" s="9" t="s">
        <v>1513</v>
      </c>
      <c r="M30" s="9" t="n">
        <v>710</v>
      </c>
      <c r="N30" s="9" t="n">
        <v>60</v>
      </c>
      <c r="O30" s="9" t="n">
        <v>0</v>
      </c>
      <c r="P30" s="9" t="n">
        <v>0</v>
      </c>
      <c r="Q30" s="9" t="s">
        <v>355</v>
      </c>
      <c r="R30" s="9" t="n">
        <v>24</v>
      </c>
      <c r="S30" s="9" t="n">
        <v>5</v>
      </c>
      <c r="T30" s="9" t="s">
        <v>233</v>
      </c>
      <c r="U30" s="9" t="s">
        <v>226</v>
      </c>
      <c r="V30" s="9" t="s">
        <v>2101</v>
      </c>
      <c r="W30" s="9"/>
      <c r="X30" s="9" t="n">
        <f aca="false">$M30-$O30+$P30</f>
        <v>710</v>
      </c>
      <c r="Y30" s="9" t="n">
        <f aca="false">IF($M30=0,0,IF($J30="Working",IF($Q30="All",MAX(0,$M30-$I30),0),IF($Q30="None",0,$M30)))</f>
        <v>0</v>
      </c>
      <c r="Z30" s="23" t="str">
        <f aca="false">IF($J30&lt;&gt;"Working",IF($M30&gt;0,$J30&amp;" — worked",$J30),IF($U30="Y","Present",IF($X30&lt;INDEX(08_Attendance_Rules!$C$2:$C$5,MATCH($H30,08_Attendance_Rules!$A$2:$A$5,0)),"Absent",IF($X30&lt;INDEX(08_Attendance_Rules!$B$2:$B$5,MATCH($H30,08_Attendance_Rules!$A$2:$A$5,0)),"Half Day",IF($T30="Y","Half Day","Present")))))</f>
        <v>Half Day</v>
      </c>
      <c r="AA30" s="9" t="str">
        <f aca="false">IF($X30=0,"-",INT($X30/60)&amp;":"&amp;TEXT(MOD($X30,60),"00"))</f>
        <v>11:50</v>
      </c>
      <c r="AB30" s="9" t="str">
        <f aca="false">IF($Y30=0,"-",INT($Y30/60)&amp;":"&amp;TEXT(MOD($Y30,60),"00"))</f>
        <v>-</v>
      </c>
    </row>
    <row r="31" customFormat="false" ht="15" hidden="false" customHeight="true" outlineLevel="0" collapsed="false">
      <c r="A31" s="11" t="s">
        <v>2102</v>
      </c>
      <c r="B31" s="11" t="s">
        <v>773</v>
      </c>
      <c r="C31" s="11" t="s">
        <v>774</v>
      </c>
      <c r="D31" s="11" t="s">
        <v>531</v>
      </c>
      <c r="E31" s="11" t="s">
        <v>2058</v>
      </c>
      <c r="F31" s="11" t="s">
        <v>454</v>
      </c>
      <c r="G31" s="11" t="s">
        <v>454</v>
      </c>
      <c r="H31" s="11" t="n">
        <v>12</v>
      </c>
      <c r="I31" s="11" t="n">
        <v>720</v>
      </c>
      <c r="J31" s="11" t="s">
        <v>2059</v>
      </c>
      <c r="K31" s="11" t="s">
        <v>1552</v>
      </c>
      <c r="L31" s="11" t="s">
        <v>1498</v>
      </c>
      <c r="M31" s="11" t="n">
        <v>729</v>
      </c>
      <c r="N31" s="11" t="n">
        <v>60</v>
      </c>
      <c r="O31" s="11" t="n">
        <v>0</v>
      </c>
      <c r="P31" s="11" t="n">
        <v>0</v>
      </c>
      <c r="Q31" s="11" t="s">
        <v>355</v>
      </c>
      <c r="R31" s="11"/>
      <c r="S31" s="11"/>
      <c r="T31" s="11" t="s">
        <v>226</v>
      </c>
      <c r="U31" s="11" t="s">
        <v>226</v>
      </c>
      <c r="V31" s="11"/>
      <c r="W31" s="11"/>
      <c r="X31" s="11" t="n">
        <f aca="false">$M31-$O31+$P31</f>
        <v>729</v>
      </c>
      <c r="Y31" s="11" t="n">
        <f aca="false">IF($M31=0,0,IF($J31="Working",IF($Q31="All",MAX(0,$M31-$I31),0),IF($Q31="None",0,$M31)))</f>
        <v>9</v>
      </c>
      <c r="Z31" s="24" t="str">
        <f aca="false">IF($J31&lt;&gt;"Working",IF($M31&gt;0,$J31&amp;" — worked",$J31),IF($U31="Y","Present",IF($X31&lt;INDEX(08_Attendance_Rules!$C$2:$C$5,MATCH($H31,08_Attendance_Rules!$A$2:$A$5,0)),"Absent",IF($X31&lt;INDEX(08_Attendance_Rules!$B$2:$B$5,MATCH($H31,08_Attendance_Rules!$A$2:$A$5,0)),"Half Day",IF($T31="Y","Half Day","Present")))))</f>
        <v>Present</v>
      </c>
      <c r="AA31" s="11" t="str">
        <f aca="false">IF($X31=0,"-",INT($X31/60)&amp;":"&amp;TEXT(MOD($X31,60),"00"))</f>
        <v>12:09</v>
      </c>
      <c r="AB31" s="11" t="str">
        <f aca="false">IF($Y31=0,"-",INT($Y31/60)&amp;":"&amp;TEXT(MOD($Y31,60),"00"))</f>
        <v>0:09</v>
      </c>
    </row>
    <row r="32" customFormat="false" ht="15" hidden="false" customHeight="true" outlineLevel="0" collapsed="false">
      <c r="A32" s="9" t="s">
        <v>2103</v>
      </c>
      <c r="B32" s="9" t="s">
        <v>781</v>
      </c>
      <c r="C32" s="9" t="s">
        <v>782</v>
      </c>
      <c r="D32" s="9" t="s">
        <v>1151</v>
      </c>
      <c r="E32" s="9" t="s">
        <v>2058</v>
      </c>
      <c r="F32" s="9" t="s">
        <v>454</v>
      </c>
      <c r="G32" s="9" t="s">
        <v>454</v>
      </c>
      <c r="H32" s="9" t="n">
        <v>12</v>
      </c>
      <c r="I32" s="9" t="n">
        <v>720</v>
      </c>
      <c r="J32" s="9" t="s">
        <v>2059</v>
      </c>
      <c r="K32" s="9" t="s">
        <v>1493</v>
      </c>
      <c r="L32" s="9" t="s">
        <v>1498</v>
      </c>
      <c r="M32" s="9" t="n">
        <v>731</v>
      </c>
      <c r="N32" s="9" t="n">
        <v>60</v>
      </c>
      <c r="O32" s="9" t="n">
        <v>0</v>
      </c>
      <c r="P32" s="9" t="n">
        <v>0</v>
      </c>
      <c r="Q32" s="9" t="s">
        <v>355</v>
      </c>
      <c r="R32" s="9"/>
      <c r="S32" s="9"/>
      <c r="T32" s="9" t="s">
        <v>226</v>
      </c>
      <c r="U32" s="9" t="s">
        <v>226</v>
      </c>
      <c r="V32" s="9"/>
      <c r="W32" s="9"/>
      <c r="X32" s="9" t="n">
        <f aca="false">$M32-$O32+$P32</f>
        <v>731</v>
      </c>
      <c r="Y32" s="9" t="n">
        <f aca="false">IF($M32=0,0,IF($J32="Working",IF($Q32="All",MAX(0,$M32-$I32),0),IF($Q32="None",0,$M32)))</f>
        <v>11</v>
      </c>
      <c r="Z32" s="23" t="str">
        <f aca="false">IF($J32&lt;&gt;"Working",IF($M32&gt;0,$J32&amp;" — worked",$J32),IF($U32="Y","Present",IF($X32&lt;INDEX(08_Attendance_Rules!$C$2:$C$5,MATCH($H32,08_Attendance_Rules!$A$2:$A$5,0)),"Absent",IF($X32&lt;INDEX(08_Attendance_Rules!$B$2:$B$5,MATCH($H32,08_Attendance_Rules!$A$2:$A$5,0)),"Half Day",IF($T32="Y","Half Day","Present")))))</f>
        <v>Present</v>
      </c>
      <c r="AA32" s="9" t="str">
        <f aca="false">IF($X32=0,"-",INT($X32/60)&amp;":"&amp;TEXT(MOD($X32,60),"00"))</f>
        <v>12:11</v>
      </c>
      <c r="AB32" s="9" t="str">
        <f aca="false">IF($Y32=0,"-",INT($Y32/60)&amp;":"&amp;TEXT(MOD($Y32,60),"00"))</f>
        <v>0:11</v>
      </c>
    </row>
    <row r="33" customFormat="false" ht="15" hidden="false" customHeight="true" outlineLevel="0" collapsed="false">
      <c r="A33" s="11" t="s">
        <v>2104</v>
      </c>
      <c r="B33" s="11" t="s">
        <v>781</v>
      </c>
      <c r="C33" s="11" t="s">
        <v>782</v>
      </c>
      <c r="D33" s="11" t="s">
        <v>593</v>
      </c>
      <c r="E33" s="11" t="s">
        <v>2061</v>
      </c>
      <c r="F33" s="11" t="s">
        <v>454</v>
      </c>
      <c r="G33" s="11" t="s">
        <v>454</v>
      </c>
      <c r="H33" s="11" t="n">
        <v>12</v>
      </c>
      <c r="I33" s="11" t="n">
        <v>720</v>
      </c>
      <c r="J33" s="11" t="s">
        <v>2059</v>
      </c>
      <c r="K33" s="11" t="s">
        <v>1500</v>
      </c>
      <c r="L33" s="11" t="s">
        <v>1503</v>
      </c>
      <c r="M33" s="11" t="n">
        <v>733</v>
      </c>
      <c r="N33" s="11" t="n">
        <v>60</v>
      </c>
      <c r="O33" s="11" t="n">
        <v>0</v>
      </c>
      <c r="P33" s="11" t="n">
        <v>0</v>
      </c>
      <c r="Q33" s="11" t="s">
        <v>355</v>
      </c>
      <c r="R33" s="11"/>
      <c r="S33" s="11"/>
      <c r="T33" s="11" t="s">
        <v>226</v>
      </c>
      <c r="U33" s="11" t="s">
        <v>226</v>
      </c>
      <c r="V33" s="11"/>
      <c r="W33" s="11"/>
      <c r="X33" s="11" t="n">
        <f aca="false">$M33-$O33+$P33</f>
        <v>733</v>
      </c>
      <c r="Y33" s="11" t="n">
        <f aca="false">IF($M33=0,0,IF($J33="Working",IF($Q33="All",MAX(0,$M33-$I33),0),IF($Q33="None",0,$M33)))</f>
        <v>13</v>
      </c>
      <c r="Z33" s="24" t="str">
        <f aca="false">IF($J33&lt;&gt;"Working",IF($M33&gt;0,$J33&amp;" — worked",$J33),IF($U33="Y","Present",IF($X33&lt;INDEX(08_Attendance_Rules!$C$2:$C$5,MATCH($H33,08_Attendance_Rules!$A$2:$A$5,0)),"Absent",IF($X33&lt;INDEX(08_Attendance_Rules!$B$2:$B$5,MATCH($H33,08_Attendance_Rules!$A$2:$A$5,0)),"Half Day",IF($T33="Y","Half Day","Present")))))</f>
        <v>Present</v>
      </c>
      <c r="AA33" s="11" t="str">
        <f aca="false">IF($X33=0,"-",INT($X33/60)&amp;":"&amp;TEXT(MOD($X33,60),"00"))</f>
        <v>12:13</v>
      </c>
      <c r="AB33" s="11" t="str">
        <f aca="false">IF($Y33=0,"-",INT($Y33/60)&amp;":"&amp;TEXT(MOD($Y33,60),"00"))</f>
        <v>0:13</v>
      </c>
    </row>
    <row r="34" customFormat="false" ht="15" hidden="false" customHeight="true" outlineLevel="0" collapsed="false">
      <c r="A34" s="9" t="s">
        <v>2105</v>
      </c>
      <c r="B34" s="9" t="s">
        <v>781</v>
      </c>
      <c r="C34" s="9" t="s">
        <v>782</v>
      </c>
      <c r="D34" s="9" t="s">
        <v>1505</v>
      </c>
      <c r="E34" s="9" t="s">
        <v>2063</v>
      </c>
      <c r="F34" s="9" t="s">
        <v>454</v>
      </c>
      <c r="G34" s="9" t="s">
        <v>454</v>
      </c>
      <c r="H34" s="9" t="n">
        <v>12</v>
      </c>
      <c r="I34" s="9" t="n">
        <v>720</v>
      </c>
      <c r="J34" s="9" t="s">
        <v>2059</v>
      </c>
      <c r="K34" s="9" t="s">
        <v>1506</v>
      </c>
      <c r="L34" s="9" t="s">
        <v>1509</v>
      </c>
      <c r="M34" s="9" t="n">
        <v>730</v>
      </c>
      <c r="N34" s="9" t="n">
        <v>60</v>
      </c>
      <c r="O34" s="9" t="n">
        <v>0</v>
      </c>
      <c r="P34" s="9" t="n">
        <v>0</v>
      </c>
      <c r="Q34" s="9" t="s">
        <v>355</v>
      </c>
      <c r="R34" s="9"/>
      <c r="S34" s="9"/>
      <c r="T34" s="9" t="s">
        <v>226</v>
      </c>
      <c r="U34" s="9" t="s">
        <v>226</v>
      </c>
      <c r="V34" s="9"/>
      <c r="W34" s="9"/>
      <c r="X34" s="9" t="n">
        <f aca="false">$M34-$O34+$P34</f>
        <v>730</v>
      </c>
      <c r="Y34" s="9" t="n">
        <f aca="false">IF($M34=0,0,IF($J34="Working",IF($Q34="All",MAX(0,$M34-$I34),0),IF($Q34="None",0,$M34)))</f>
        <v>10</v>
      </c>
      <c r="Z34" s="23" t="str">
        <f aca="false">IF($J34&lt;&gt;"Working",IF($M34&gt;0,$J34&amp;" — worked",$J34),IF($U34="Y","Present",IF($X34&lt;INDEX(08_Attendance_Rules!$C$2:$C$5,MATCH($H34,08_Attendance_Rules!$A$2:$A$5,0)),"Absent",IF($X34&lt;INDEX(08_Attendance_Rules!$B$2:$B$5,MATCH($H34,08_Attendance_Rules!$A$2:$A$5,0)),"Half Day",IF($T34="Y","Half Day","Present")))))</f>
        <v>Present</v>
      </c>
      <c r="AA34" s="9" t="str">
        <f aca="false">IF($X34=0,"-",INT($X34/60)&amp;":"&amp;TEXT(MOD($X34,60),"00"))</f>
        <v>12:10</v>
      </c>
      <c r="AB34" s="9" t="str">
        <f aca="false">IF($Y34=0,"-",INT($Y34/60)&amp;":"&amp;TEXT(MOD($Y34,60),"00"))</f>
        <v>0:10</v>
      </c>
    </row>
    <row r="35" customFormat="false" ht="15" hidden="false" customHeight="true" outlineLevel="0" collapsed="false">
      <c r="A35" s="11" t="s">
        <v>2106</v>
      </c>
      <c r="B35" s="11" t="s">
        <v>781</v>
      </c>
      <c r="C35" s="11" t="s">
        <v>782</v>
      </c>
      <c r="D35" s="11" t="s">
        <v>1511</v>
      </c>
      <c r="E35" s="11" t="s">
        <v>2065</v>
      </c>
      <c r="F35" s="11" t="s">
        <v>454</v>
      </c>
      <c r="G35" s="11" t="s">
        <v>462</v>
      </c>
      <c r="H35" s="11" t="n">
        <v>12</v>
      </c>
      <c r="I35" s="11" t="n">
        <v>720</v>
      </c>
      <c r="J35" s="11" t="s">
        <v>2059</v>
      </c>
      <c r="K35" s="11" t="s">
        <v>1571</v>
      </c>
      <c r="L35" s="11" t="s">
        <v>1595</v>
      </c>
      <c r="M35" s="11" t="n">
        <v>755</v>
      </c>
      <c r="N35" s="11" t="n">
        <v>60</v>
      </c>
      <c r="O35" s="11" t="n">
        <v>0</v>
      </c>
      <c r="P35" s="11" t="n">
        <v>0</v>
      </c>
      <c r="Q35" s="11" t="s">
        <v>355</v>
      </c>
      <c r="R35" s="11" t="n">
        <v>5</v>
      </c>
      <c r="S35" s="11"/>
      <c r="T35" s="11" t="s">
        <v>226</v>
      </c>
      <c r="U35" s="11" t="s">
        <v>226</v>
      </c>
      <c r="V35" s="11" t="s">
        <v>2107</v>
      </c>
      <c r="W35" s="11"/>
      <c r="X35" s="11" t="n">
        <f aca="false">$M35-$O35+$P35</f>
        <v>755</v>
      </c>
      <c r="Y35" s="11" t="n">
        <f aca="false">IF($M35=0,0,IF($J35="Working",IF($Q35="All",MAX(0,$M35-$I35),0),IF($Q35="None",0,$M35)))</f>
        <v>35</v>
      </c>
      <c r="Z35" s="24" t="str">
        <f aca="false">IF($J35&lt;&gt;"Working",IF($M35&gt;0,$J35&amp;" — worked",$J35),IF($U35="Y","Present",IF($X35&lt;INDEX(08_Attendance_Rules!$C$2:$C$5,MATCH($H35,08_Attendance_Rules!$A$2:$A$5,0)),"Absent",IF($X35&lt;INDEX(08_Attendance_Rules!$B$2:$B$5,MATCH($H35,08_Attendance_Rules!$A$2:$A$5,0)),"Half Day",IF($T35="Y","Half Day","Present")))))</f>
        <v>Present</v>
      </c>
      <c r="AA35" s="11" t="str">
        <f aca="false">IF($X35=0,"-",INT($X35/60)&amp;":"&amp;TEXT(MOD($X35,60),"00"))</f>
        <v>12:35</v>
      </c>
      <c r="AB35" s="11" t="str">
        <f aca="false">IF($Y35=0,"-",INT($Y35/60)&amp;":"&amp;TEXT(MOD($Y35,60),"00"))</f>
        <v>0:35</v>
      </c>
    </row>
    <row r="36" customFormat="false" ht="15" hidden="false" customHeight="true" outlineLevel="0" collapsed="false">
      <c r="A36" s="9" t="s">
        <v>2108</v>
      </c>
      <c r="B36" s="9" t="s">
        <v>781</v>
      </c>
      <c r="C36" s="9" t="s">
        <v>782</v>
      </c>
      <c r="D36" s="9" t="s">
        <v>1515</v>
      </c>
      <c r="E36" s="9" t="s">
        <v>2067</v>
      </c>
      <c r="F36" s="9" t="s">
        <v>454</v>
      </c>
      <c r="G36" s="9" t="s">
        <v>454</v>
      </c>
      <c r="H36" s="9" t="n">
        <v>12</v>
      </c>
      <c r="I36" s="9" t="n">
        <v>720</v>
      </c>
      <c r="J36" s="9" t="s">
        <v>2059</v>
      </c>
      <c r="K36" s="9" t="s">
        <v>1516</v>
      </c>
      <c r="L36" s="9" t="s">
        <v>1518</v>
      </c>
      <c r="M36" s="9" t="n">
        <v>732</v>
      </c>
      <c r="N36" s="9" t="n">
        <v>60</v>
      </c>
      <c r="O36" s="9" t="n">
        <v>0</v>
      </c>
      <c r="P36" s="9" t="n">
        <v>0</v>
      </c>
      <c r="Q36" s="9" t="s">
        <v>355</v>
      </c>
      <c r="R36" s="9"/>
      <c r="S36" s="9"/>
      <c r="T36" s="9" t="s">
        <v>226</v>
      </c>
      <c r="U36" s="9" t="s">
        <v>226</v>
      </c>
      <c r="V36" s="9"/>
      <c r="W36" s="9"/>
      <c r="X36" s="9" t="n">
        <f aca="false">$M36-$O36+$P36</f>
        <v>732</v>
      </c>
      <c r="Y36" s="9" t="n">
        <f aca="false">IF($M36=0,0,IF($J36="Working",IF($Q36="All",MAX(0,$M36-$I36),0),IF($Q36="None",0,$M36)))</f>
        <v>12</v>
      </c>
      <c r="Z36" s="23" t="str">
        <f aca="false">IF($J36&lt;&gt;"Working",IF($M36&gt;0,$J36&amp;" — worked",$J36),IF($U36="Y","Present",IF($X36&lt;INDEX(08_Attendance_Rules!$C$2:$C$5,MATCH($H36,08_Attendance_Rules!$A$2:$A$5,0)),"Absent",IF($X36&lt;INDEX(08_Attendance_Rules!$B$2:$B$5,MATCH($H36,08_Attendance_Rules!$A$2:$A$5,0)),"Half Day",IF($T36="Y","Half Day","Present")))))</f>
        <v>Present</v>
      </c>
      <c r="AA36" s="9" t="str">
        <f aca="false">IF($X36=0,"-",INT($X36/60)&amp;":"&amp;TEXT(MOD($X36,60),"00"))</f>
        <v>12:12</v>
      </c>
      <c r="AB36" s="9" t="str">
        <f aca="false">IF($Y36=0,"-",INT($Y36/60)&amp;":"&amp;TEXT(MOD($Y36,60),"00"))</f>
        <v>0:12</v>
      </c>
    </row>
    <row r="37" customFormat="false" ht="15" hidden="false" customHeight="true" outlineLevel="0" collapsed="false">
      <c r="A37" s="11" t="s">
        <v>2109</v>
      </c>
      <c r="B37" s="11" t="s">
        <v>781</v>
      </c>
      <c r="C37" s="11" t="s">
        <v>782</v>
      </c>
      <c r="D37" s="11" t="s">
        <v>1359</v>
      </c>
      <c r="E37" s="11" t="s">
        <v>2069</v>
      </c>
      <c r="F37" s="11" t="s">
        <v>454</v>
      </c>
      <c r="G37" s="11" t="s">
        <v>454</v>
      </c>
      <c r="H37" s="11" t="n">
        <v>12</v>
      </c>
      <c r="I37" s="11" t="n">
        <v>720</v>
      </c>
      <c r="J37" s="11" t="s">
        <v>2070</v>
      </c>
      <c r="K37" s="11"/>
      <c r="L37" s="11"/>
      <c r="M37" s="11" t="n">
        <v>0</v>
      </c>
      <c r="N37" s="11" t="n">
        <v>0</v>
      </c>
      <c r="O37" s="11" t="n">
        <v>0</v>
      </c>
      <c r="P37" s="11" t="n">
        <v>0</v>
      </c>
      <c r="Q37" s="11" t="s">
        <v>355</v>
      </c>
      <c r="R37" s="11"/>
      <c r="S37" s="11"/>
      <c r="T37" s="11" t="s">
        <v>226</v>
      </c>
      <c r="U37" s="11" t="s">
        <v>226</v>
      </c>
      <c r="V37" s="11"/>
      <c r="W37" s="11"/>
      <c r="X37" s="11" t="n">
        <f aca="false">$M37-$O37+$P37</f>
        <v>0</v>
      </c>
      <c r="Y37" s="11" t="n">
        <f aca="false">IF($M37=0,0,IF($J37="Working",IF($Q37="All",MAX(0,$M37-$I37),0),IF($Q37="None",0,$M37)))</f>
        <v>0</v>
      </c>
      <c r="Z37" s="24" t="str">
        <f aca="false">IF($J37&lt;&gt;"Working",IF($M37&gt;0,$J37&amp;" — worked",$J37),IF($U37="Y","Present",IF($X37&lt;INDEX(08_Attendance_Rules!$C$2:$C$5,MATCH($H37,08_Attendance_Rules!$A$2:$A$5,0)),"Absent",IF($X37&lt;INDEX(08_Attendance_Rules!$B$2:$B$5,MATCH($H37,08_Attendance_Rules!$A$2:$A$5,0)),"Half Day",IF($T37="Y","Half Day","Present")))))</f>
        <v>Weekly Off</v>
      </c>
      <c r="AA37" s="11" t="str">
        <f aca="false">IF($X37=0,"-",INT($X37/60)&amp;":"&amp;TEXT(MOD($X37,60),"00"))</f>
        <v>-</v>
      </c>
      <c r="AB37" s="11" t="str">
        <f aca="false">IF($Y37=0,"-",INT($Y37/60)&amp;":"&amp;TEXT(MOD($Y37,60),"00"))</f>
        <v>-</v>
      </c>
    </row>
    <row r="38" customFormat="false" ht="15" hidden="false" customHeight="true" outlineLevel="0" collapsed="false">
      <c r="A38" s="9" t="s">
        <v>2110</v>
      </c>
      <c r="B38" s="9" t="s">
        <v>781</v>
      </c>
      <c r="C38" s="9" t="s">
        <v>782</v>
      </c>
      <c r="D38" s="9" t="s">
        <v>1332</v>
      </c>
      <c r="E38" s="9" t="s">
        <v>2072</v>
      </c>
      <c r="F38" s="9" t="s">
        <v>454</v>
      </c>
      <c r="G38" s="9" t="s">
        <v>454</v>
      </c>
      <c r="H38" s="9" t="n">
        <v>12</v>
      </c>
      <c r="I38" s="9" t="n">
        <v>720</v>
      </c>
      <c r="J38" s="9" t="s">
        <v>2059</v>
      </c>
      <c r="K38" s="9" t="s">
        <v>1520</v>
      </c>
      <c r="L38" s="9" t="s">
        <v>1522</v>
      </c>
      <c r="M38" s="9" t="n">
        <v>743</v>
      </c>
      <c r="N38" s="9" t="n">
        <v>60</v>
      </c>
      <c r="O38" s="9" t="n">
        <v>0</v>
      </c>
      <c r="P38" s="9" t="n">
        <v>0</v>
      </c>
      <c r="Q38" s="9" t="s">
        <v>355</v>
      </c>
      <c r="R38" s="9"/>
      <c r="S38" s="9"/>
      <c r="T38" s="9" t="s">
        <v>226</v>
      </c>
      <c r="U38" s="9" t="s">
        <v>226</v>
      </c>
      <c r="V38" s="9"/>
      <c r="W38" s="9"/>
      <c r="X38" s="9" t="n">
        <f aca="false">$M38-$O38+$P38</f>
        <v>743</v>
      </c>
      <c r="Y38" s="9" t="n">
        <f aca="false">IF($M38=0,0,IF($J38="Working",IF($Q38="All",MAX(0,$M38-$I38),0),IF($Q38="None",0,$M38)))</f>
        <v>23</v>
      </c>
      <c r="Z38" s="23" t="str">
        <f aca="false">IF($J38&lt;&gt;"Working",IF($M38&gt;0,$J38&amp;" — worked",$J38),IF($U38="Y","Present",IF($X38&lt;INDEX(08_Attendance_Rules!$C$2:$C$5,MATCH($H38,08_Attendance_Rules!$A$2:$A$5,0)),"Absent",IF($X38&lt;INDEX(08_Attendance_Rules!$B$2:$B$5,MATCH($H38,08_Attendance_Rules!$A$2:$A$5,0)),"Half Day",IF($T38="Y","Half Day","Present")))))</f>
        <v>Present</v>
      </c>
      <c r="AA38" s="9" t="str">
        <f aca="false">IF($X38=0,"-",INT($X38/60)&amp;":"&amp;TEXT(MOD($X38,60),"00"))</f>
        <v>12:23</v>
      </c>
      <c r="AB38" s="9" t="str">
        <f aca="false">IF($Y38=0,"-",INT($Y38/60)&amp;":"&amp;TEXT(MOD($Y38,60),"00"))</f>
        <v>0:23</v>
      </c>
    </row>
    <row r="39" customFormat="false" ht="15" hidden="false" customHeight="true" outlineLevel="0" collapsed="false">
      <c r="A39" s="11" t="s">
        <v>2111</v>
      </c>
      <c r="B39" s="11" t="s">
        <v>781</v>
      </c>
      <c r="C39" s="11" t="s">
        <v>782</v>
      </c>
      <c r="D39" s="11" t="s">
        <v>1524</v>
      </c>
      <c r="E39" s="11" t="s">
        <v>2058</v>
      </c>
      <c r="F39" s="11" t="s">
        <v>454</v>
      </c>
      <c r="G39" s="11" t="s">
        <v>454</v>
      </c>
      <c r="H39" s="11" t="n">
        <v>12</v>
      </c>
      <c r="I39" s="11" t="n">
        <v>720</v>
      </c>
      <c r="J39" s="11" t="s">
        <v>2059</v>
      </c>
      <c r="K39" s="11" t="s">
        <v>472</v>
      </c>
      <c r="L39" s="11" t="s">
        <v>1571</v>
      </c>
      <c r="M39" s="11" t="n">
        <v>726</v>
      </c>
      <c r="N39" s="11" t="n">
        <v>60</v>
      </c>
      <c r="O39" s="11" t="n">
        <v>0</v>
      </c>
      <c r="P39" s="11" t="n">
        <v>0</v>
      </c>
      <c r="Q39" s="11" t="s">
        <v>355</v>
      </c>
      <c r="R39" s="11"/>
      <c r="S39" s="11"/>
      <c r="T39" s="11" t="s">
        <v>226</v>
      </c>
      <c r="U39" s="11" t="s">
        <v>226</v>
      </c>
      <c r="V39" s="11"/>
      <c r="W39" s="11"/>
      <c r="X39" s="11" t="n">
        <f aca="false">$M39-$O39+$P39</f>
        <v>726</v>
      </c>
      <c r="Y39" s="11" t="n">
        <f aca="false">IF($M39=0,0,IF($J39="Working",IF($Q39="All",MAX(0,$M39-$I39),0),IF($Q39="None",0,$M39)))</f>
        <v>6</v>
      </c>
      <c r="Z39" s="24" t="str">
        <f aca="false">IF($J39&lt;&gt;"Working",IF($M39&gt;0,$J39&amp;" — worked",$J39),IF($U39="Y","Present",IF($X39&lt;INDEX(08_Attendance_Rules!$C$2:$C$5,MATCH($H39,08_Attendance_Rules!$A$2:$A$5,0)),"Absent",IF($X39&lt;INDEX(08_Attendance_Rules!$B$2:$B$5,MATCH($H39,08_Attendance_Rules!$A$2:$A$5,0)),"Half Day",IF($T39="Y","Half Day","Present")))))</f>
        <v>Present</v>
      </c>
      <c r="AA39" s="11" t="str">
        <f aca="false">IF($X39=0,"-",INT($X39/60)&amp;":"&amp;TEXT(MOD($X39,60),"00"))</f>
        <v>12:06</v>
      </c>
      <c r="AB39" s="11" t="str">
        <f aca="false">IF($Y39=0,"-",INT($Y39/60)&amp;":"&amp;TEXT(MOD($Y39,60),"00"))</f>
        <v>0:06</v>
      </c>
    </row>
    <row r="40" customFormat="false" ht="15" hidden="false" customHeight="true" outlineLevel="0" collapsed="false">
      <c r="A40" s="9" t="s">
        <v>2112</v>
      </c>
      <c r="B40" s="9" t="s">
        <v>781</v>
      </c>
      <c r="C40" s="9" t="s">
        <v>782</v>
      </c>
      <c r="D40" s="9" t="s">
        <v>1377</v>
      </c>
      <c r="E40" s="9" t="s">
        <v>2061</v>
      </c>
      <c r="F40" s="9" t="s">
        <v>454</v>
      </c>
      <c r="G40" s="9" t="s">
        <v>454</v>
      </c>
      <c r="H40" s="9" t="n">
        <v>12</v>
      </c>
      <c r="I40" s="9" t="n">
        <v>720</v>
      </c>
      <c r="J40" s="9" t="s">
        <v>2059</v>
      </c>
      <c r="K40" s="9" t="s">
        <v>1552</v>
      </c>
      <c r="L40" s="9" t="s">
        <v>1574</v>
      </c>
      <c r="M40" s="9" t="n">
        <v>732</v>
      </c>
      <c r="N40" s="9" t="n">
        <v>60</v>
      </c>
      <c r="O40" s="9" t="n">
        <v>0</v>
      </c>
      <c r="P40" s="9" t="n">
        <v>0</v>
      </c>
      <c r="Q40" s="9" t="s">
        <v>355</v>
      </c>
      <c r="R40" s="9"/>
      <c r="S40" s="9"/>
      <c r="T40" s="9" t="s">
        <v>226</v>
      </c>
      <c r="U40" s="9" t="s">
        <v>226</v>
      </c>
      <c r="V40" s="9"/>
      <c r="W40" s="9"/>
      <c r="X40" s="9" t="n">
        <f aca="false">$M40-$O40+$P40</f>
        <v>732</v>
      </c>
      <c r="Y40" s="9" t="n">
        <f aca="false">IF($M40=0,0,IF($J40="Working",IF($Q40="All",MAX(0,$M40-$I40),0),IF($Q40="None",0,$M40)))</f>
        <v>12</v>
      </c>
      <c r="Z40" s="23" t="str">
        <f aca="false">IF($J40&lt;&gt;"Working",IF($M40&gt;0,$J40&amp;" — worked",$J40),IF($U40="Y","Present",IF($X40&lt;INDEX(08_Attendance_Rules!$C$2:$C$5,MATCH($H40,08_Attendance_Rules!$A$2:$A$5,0)),"Absent",IF($X40&lt;INDEX(08_Attendance_Rules!$B$2:$B$5,MATCH($H40,08_Attendance_Rules!$A$2:$A$5,0)),"Half Day",IF($T40="Y","Half Day","Present")))))</f>
        <v>Present</v>
      </c>
      <c r="AA40" s="9" t="str">
        <f aca="false">IF($X40=0,"-",INT($X40/60)&amp;":"&amp;TEXT(MOD($X40,60),"00"))</f>
        <v>12:12</v>
      </c>
      <c r="AB40" s="9" t="str">
        <f aca="false">IF($Y40=0,"-",INT($Y40/60)&amp;":"&amp;TEXT(MOD($Y40,60),"00"))</f>
        <v>0:12</v>
      </c>
    </row>
    <row r="41" customFormat="false" ht="15" hidden="false" customHeight="true" outlineLevel="0" collapsed="false">
      <c r="A41" s="11" t="s">
        <v>2113</v>
      </c>
      <c r="B41" s="11" t="s">
        <v>781</v>
      </c>
      <c r="C41" s="11" t="s">
        <v>782</v>
      </c>
      <c r="D41" s="11" t="s">
        <v>1355</v>
      </c>
      <c r="E41" s="11" t="s">
        <v>2063</v>
      </c>
      <c r="F41" s="11" t="s">
        <v>454</v>
      </c>
      <c r="G41" s="11" t="s">
        <v>454</v>
      </c>
      <c r="H41" s="11" t="n">
        <v>12</v>
      </c>
      <c r="I41" s="11" t="n">
        <v>720</v>
      </c>
      <c r="J41" s="11" t="s">
        <v>2059</v>
      </c>
      <c r="K41" s="11" t="s">
        <v>1537</v>
      </c>
      <c r="L41" s="11" t="s">
        <v>1539</v>
      </c>
      <c r="M41" s="11" t="n">
        <v>731</v>
      </c>
      <c r="N41" s="11" t="n">
        <v>60</v>
      </c>
      <c r="O41" s="11" t="n">
        <v>0</v>
      </c>
      <c r="P41" s="11" t="n">
        <v>0</v>
      </c>
      <c r="Q41" s="11" t="s">
        <v>355</v>
      </c>
      <c r="R41" s="11" t="n">
        <v>1</v>
      </c>
      <c r="S41" s="11"/>
      <c r="T41" s="11" t="s">
        <v>226</v>
      </c>
      <c r="U41" s="11" t="s">
        <v>226</v>
      </c>
      <c r="V41" s="11"/>
      <c r="W41" s="11"/>
      <c r="X41" s="11" t="n">
        <f aca="false">$M41-$O41+$P41</f>
        <v>731</v>
      </c>
      <c r="Y41" s="11" t="n">
        <f aca="false">IF($M41=0,0,IF($J41="Working",IF($Q41="All",MAX(0,$M41-$I41),0),IF($Q41="None",0,$M41)))</f>
        <v>11</v>
      </c>
      <c r="Z41" s="24" t="str">
        <f aca="false">IF($J41&lt;&gt;"Working",IF($M41&gt;0,$J41&amp;" — worked",$J41),IF($U41="Y","Present",IF($X41&lt;INDEX(08_Attendance_Rules!$C$2:$C$5,MATCH($H41,08_Attendance_Rules!$A$2:$A$5,0)),"Absent",IF($X41&lt;INDEX(08_Attendance_Rules!$B$2:$B$5,MATCH($H41,08_Attendance_Rules!$A$2:$A$5,0)),"Half Day",IF($T41="Y","Half Day","Present")))))</f>
        <v>Present</v>
      </c>
      <c r="AA41" s="11" t="str">
        <f aca="false">IF($X41=0,"-",INT($X41/60)&amp;":"&amp;TEXT(MOD($X41,60),"00"))</f>
        <v>12:11</v>
      </c>
      <c r="AB41" s="11" t="str">
        <f aca="false">IF($Y41=0,"-",INT($Y41/60)&amp;":"&amp;TEXT(MOD($Y41,60),"00"))</f>
        <v>0:11</v>
      </c>
    </row>
    <row r="42" customFormat="false" ht="15" hidden="false" customHeight="true" outlineLevel="0" collapsed="false">
      <c r="A42" s="9" t="s">
        <v>2114</v>
      </c>
      <c r="B42" s="9" t="s">
        <v>781</v>
      </c>
      <c r="C42" s="9" t="s">
        <v>782</v>
      </c>
      <c r="D42" s="9" t="s">
        <v>1459</v>
      </c>
      <c r="E42" s="9" t="s">
        <v>2065</v>
      </c>
      <c r="F42" s="9" t="s">
        <v>454</v>
      </c>
      <c r="G42" s="9" t="s">
        <v>462</v>
      </c>
      <c r="H42" s="9" t="n">
        <v>12</v>
      </c>
      <c r="I42" s="9" t="n">
        <v>720</v>
      </c>
      <c r="J42" s="9" t="s">
        <v>2059</v>
      </c>
      <c r="K42" s="9" t="s">
        <v>1607</v>
      </c>
      <c r="L42" s="9" t="s">
        <v>1609</v>
      </c>
      <c r="M42" s="9" t="n">
        <v>758</v>
      </c>
      <c r="N42" s="9" t="n">
        <v>60</v>
      </c>
      <c r="O42" s="9" t="n">
        <v>0</v>
      </c>
      <c r="P42" s="9" t="n">
        <v>0</v>
      </c>
      <c r="Q42" s="9" t="s">
        <v>355</v>
      </c>
      <c r="R42" s="9"/>
      <c r="S42" s="9"/>
      <c r="T42" s="9" t="s">
        <v>226</v>
      </c>
      <c r="U42" s="9" t="s">
        <v>226</v>
      </c>
      <c r="V42" s="9" t="s">
        <v>2115</v>
      </c>
      <c r="W42" s="9"/>
      <c r="X42" s="9" t="n">
        <f aca="false">$M42-$O42+$P42</f>
        <v>758</v>
      </c>
      <c r="Y42" s="9" t="n">
        <f aca="false">IF($M42=0,0,IF($J42="Working",IF($Q42="All",MAX(0,$M42-$I42),0),IF($Q42="None",0,$M42)))</f>
        <v>38</v>
      </c>
      <c r="Z42" s="23" t="str">
        <f aca="false">IF($J42&lt;&gt;"Working",IF($M42&gt;0,$J42&amp;" — worked",$J42),IF($U42="Y","Present",IF($X42&lt;INDEX(08_Attendance_Rules!$C$2:$C$5,MATCH($H42,08_Attendance_Rules!$A$2:$A$5,0)),"Absent",IF($X42&lt;INDEX(08_Attendance_Rules!$B$2:$B$5,MATCH($H42,08_Attendance_Rules!$A$2:$A$5,0)),"Half Day",IF($T42="Y","Half Day","Present")))))</f>
        <v>Present</v>
      </c>
      <c r="AA42" s="9" t="str">
        <f aca="false">IF($X42=0,"-",INT($X42/60)&amp;":"&amp;TEXT(MOD($X42,60),"00"))</f>
        <v>12:38</v>
      </c>
      <c r="AB42" s="9" t="str">
        <f aca="false">IF($Y42=0,"-",INT($Y42/60)&amp;":"&amp;TEXT(MOD($Y42,60),"00"))</f>
        <v>0:38</v>
      </c>
    </row>
    <row r="43" customFormat="false" ht="15" hidden="false" customHeight="true" outlineLevel="0" collapsed="false">
      <c r="A43" s="11" t="s">
        <v>2116</v>
      </c>
      <c r="B43" s="11" t="s">
        <v>781</v>
      </c>
      <c r="C43" s="11" t="s">
        <v>782</v>
      </c>
      <c r="D43" s="11" t="s">
        <v>1545</v>
      </c>
      <c r="E43" s="11" t="s">
        <v>2067</v>
      </c>
      <c r="F43" s="11" t="s">
        <v>454</v>
      </c>
      <c r="G43" s="11" t="s">
        <v>454</v>
      </c>
      <c r="H43" s="11" t="n">
        <v>12</v>
      </c>
      <c r="I43" s="11" t="n">
        <v>720</v>
      </c>
      <c r="J43" s="11" t="s">
        <v>2059</v>
      </c>
      <c r="K43" s="11" t="s">
        <v>1546</v>
      </c>
      <c r="L43" s="11" t="s">
        <v>1548</v>
      </c>
      <c r="M43" s="11" t="n">
        <v>737</v>
      </c>
      <c r="N43" s="11" t="n">
        <v>60</v>
      </c>
      <c r="O43" s="11" t="n">
        <v>0</v>
      </c>
      <c r="P43" s="11" t="n">
        <v>0</v>
      </c>
      <c r="Q43" s="11" t="s">
        <v>355</v>
      </c>
      <c r="R43" s="11" t="n">
        <v>2</v>
      </c>
      <c r="S43" s="11"/>
      <c r="T43" s="11" t="s">
        <v>226</v>
      </c>
      <c r="U43" s="11" t="s">
        <v>226</v>
      </c>
      <c r="V43" s="11"/>
      <c r="W43" s="11"/>
      <c r="X43" s="11" t="n">
        <f aca="false">$M43-$O43+$P43</f>
        <v>737</v>
      </c>
      <c r="Y43" s="11" t="n">
        <f aca="false">IF($M43=0,0,IF($J43="Working",IF($Q43="All",MAX(0,$M43-$I43),0),IF($Q43="None",0,$M43)))</f>
        <v>17</v>
      </c>
      <c r="Z43" s="24" t="str">
        <f aca="false">IF($J43&lt;&gt;"Working",IF($M43&gt;0,$J43&amp;" — worked",$J43),IF($U43="Y","Present",IF($X43&lt;INDEX(08_Attendance_Rules!$C$2:$C$5,MATCH($H43,08_Attendance_Rules!$A$2:$A$5,0)),"Absent",IF($X43&lt;INDEX(08_Attendance_Rules!$B$2:$B$5,MATCH($H43,08_Attendance_Rules!$A$2:$A$5,0)),"Half Day",IF($T43="Y","Half Day","Present")))))</f>
        <v>Present</v>
      </c>
      <c r="AA43" s="11" t="str">
        <f aca="false">IF($X43=0,"-",INT($X43/60)&amp;":"&amp;TEXT(MOD($X43,60),"00"))</f>
        <v>12:17</v>
      </c>
      <c r="AB43" s="11" t="str">
        <f aca="false">IF($Y43=0,"-",INT($Y43/60)&amp;":"&amp;TEXT(MOD($Y43,60),"00"))</f>
        <v>0:17</v>
      </c>
    </row>
    <row r="44" customFormat="false" ht="15" hidden="false" customHeight="true" outlineLevel="0" collapsed="false">
      <c r="A44" s="9" t="s">
        <v>2117</v>
      </c>
      <c r="B44" s="9" t="s">
        <v>781</v>
      </c>
      <c r="C44" s="9" t="s">
        <v>782</v>
      </c>
      <c r="D44" s="9" t="s">
        <v>1409</v>
      </c>
      <c r="E44" s="9" t="s">
        <v>2069</v>
      </c>
      <c r="F44" s="9" t="s">
        <v>454</v>
      </c>
      <c r="G44" s="9" t="s">
        <v>454</v>
      </c>
      <c r="H44" s="9" t="n">
        <v>12</v>
      </c>
      <c r="I44" s="9" t="n">
        <v>720</v>
      </c>
      <c r="J44" s="9" t="s">
        <v>2070</v>
      </c>
      <c r="K44" s="9"/>
      <c r="L44" s="9"/>
      <c r="M44" s="9" t="n">
        <v>0</v>
      </c>
      <c r="N44" s="9" t="n">
        <v>0</v>
      </c>
      <c r="O44" s="9" t="n">
        <v>0</v>
      </c>
      <c r="P44" s="9" t="n">
        <v>0</v>
      </c>
      <c r="Q44" s="9" t="s">
        <v>355</v>
      </c>
      <c r="R44" s="9"/>
      <c r="S44" s="9"/>
      <c r="T44" s="9" t="s">
        <v>226</v>
      </c>
      <c r="U44" s="9" t="s">
        <v>226</v>
      </c>
      <c r="V44" s="9"/>
      <c r="W44" s="9"/>
      <c r="X44" s="9" t="n">
        <f aca="false">$M44-$O44+$P44</f>
        <v>0</v>
      </c>
      <c r="Y44" s="9" t="n">
        <f aca="false">IF($M44=0,0,IF($J44="Working",IF($Q44="All",MAX(0,$M44-$I44),0),IF($Q44="None",0,$M44)))</f>
        <v>0</v>
      </c>
      <c r="Z44" s="23" t="str">
        <f aca="false">IF($J44&lt;&gt;"Working",IF($M44&gt;0,$J44&amp;" — worked",$J44),IF($U44="Y","Present",IF($X44&lt;INDEX(08_Attendance_Rules!$C$2:$C$5,MATCH($H44,08_Attendance_Rules!$A$2:$A$5,0)),"Absent",IF($X44&lt;INDEX(08_Attendance_Rules!$B$2:$B$5,MATCH($H44,08_Attendance_Rules!$A$2:$A$5,0)),"Half Day",IF($T44="Y","Half Day","Present")))))</f>
        <v>Weekly Off</v>
      </c>
      <c r="AA44" s="9" t="str">
        <f aca="false">IF($X44=0,"-",INT($X44/60)&amp;":"&amp;TEXT(MOD($X44,60),"00"))</f>
        <v>-</v>
      </c>
      <c r="AB44" s="9" t="str">
        <f aca="false">IF($Y44=0,"-",INT($Y44/60)&amp;":"&amp;TEXT(MOD($Y44,60),"00"))</f>
        <v>-</v>
      </c>
    </row>
    <row r="45" customFormat="false" ht="15" hidden="false" customHeight="true" outlineLevel="0" collapsed="false">
      <c r="A45" s="11" t="s">
        <v>2118</v>
      </c>
      <c r="B45" s="11" t="s">
        <v>781</v>
      </c>
      <c r="C45" s="11" t="s">
        <v>782</v>
      </c>
      <c r="D45" s="11" t="s">
        <v>1337</v>
      </c>
      <c r="E45" s="11" t="s">
        <v>2072</v>
      </c>
      <c r="F45" s="11" t="s">
        <v>454</v>
      </c>
      <c r="G45" s="11" t="s">
        <v>454</v>
      </c>
      <c r="H45" s="11" t="n">
        <v>12</v>
      </c>
      <c r="I45" s="11" t="n">
        <v>720</v>
      </c>
      <c r="J45" s="11" t="s">
        <v>2059</v>
      </c>
      <c r="K45" s="11" t="s">
        <v>457</v>
      </c>
      <c r="L45" s="11" t="s">
        <v>1535</v>
      </c>
      <c r="M45" s="11" t="n">
        <v>730</v>
      </c>
      <c r="N45" s="11" t="n">
        <v>60</v>
      </c>
      <c r="O45" s="11" t="n">
        <v>0</v>
      </c>
      <c r="P45" s="11" t="n">
        <v>0</v>
      </c>
      <c r="Q45" s="11" t="s">
        <v>355</v>
      </c>
      <c r="R45" s="11"/>
      <c r="S45" s="11"/>
      <c r="T45" s="11" t="s">
        <v>226</v>
      </c>
      <c r="U45" s="11" t="s">
        <v>226</v>
      </c>
      <c r="V45" s="11"/>
      <c r="W45" s="11"/>
      <c r="X45" s="11" t="n">
        <f aca="false">$M45-$O45+$P45</f>
        <v>730</v>
      </c>
      <c r="Y45" s="11" t="n">
        <f aca="false">IF($M45=0,0,IF($J45="Working",IF($Q45="All",MAX(0,$M45-$I45),0),IF($Q45="None",0,$M45)))</f>
        <v>10</v>
      </c>
      <c r="Z45" s="24" t="str">
        <f aca="false">IF($J45&lt;&gt;"Working",IF($M45&gt;0,$J45&amp;" — worked",$J45),IF($U45="Y","Present",IF($X45&lt;INDEX(08_Attendance_Rules!$C$2:$C$5,MATCH($H45,08_Attendance_Rules!$A$2:$A$5,0)),"Absent",IF($X45&lt;INDEX(08_Attendance_Rules!$B$2:$B$5,MATCH($H45,08_Attendance_Rules!$A$2:$A$5,0)),"Half Day",IF($T45="Y","Half Day","Present")))))</f>
        <v>Present</v>
      </c>
      <c r="AA45" s="11" t="str">
        <f aca="false">IF($X45=0,"-",INT($X45/60)&amp;":"&amp;TEXT(MOD($X45,60),"00"))</f>
        <v>12:10</v>
      </c>
      <c r="AB45" s="11" t="str">
        <f aca="false">IF($Y45=0,"-",INT($Y45/60)&amp;":"&amp;TEXT(MOD($Y45,60),"00"))</f>
        <v>0:10</v>
      </c>
    </row>
    <row r="46" customFormat="false" ht="15" hidden="false" customHeight="true" outlineLevel="0" collapsed="false">
      <c r="A46" s="9" t="s">
        <v>2119</v>
      </c>
      <c r="B46" s="9" t="s">
        <v>781</v>
      </c>
      <c r="C46" s="9" t="s">
        <v>782</v>
      </c>
      <c r="D46" s="9" t="s">
        <v>531</v>
      </c>
      <c r="E46" s="9" t="s">
        <v>2058</v>
      </c>
      <c r="F46" s="9" t="s">
        <v>454</v>
      </c>
      <c r="G46" s="9" t="s">
        <v>454</v>
      </c>
      <c r="H46" s="9" t="n">
        <v>12</v>
      </c>
      <c r="I46" s="9" t="n">
        <v>720</v>
      </c>
      <c r="J46" s="9" t="s">
        <v>2059</v>
      </c>
      <c r="K46" s="9" t="s">
        <v>1552</v>
      </c>
      <c r="L46" s="9" t="s">
        <v>1498</v>
      </c>
      <c r="M46" s="9" t="n">
        <v>729</v>
      </c>
      <c r="N46" s="9" t="n">
        <v>60</v>
      </c>
      <c r="O46" s="9" t="n">
        <v>0</v>
      </c>
      <c r="P46" s="9" t="n">
        <v>0</v>
      </c>
      <c r="Q46" s="9" t="s">
        <v>355</v>
      </c>
      <c r="R46" s="9"/>
      <c r="S46" s="9"/>
      <c r="T46" s="9" t="s">
        <v>226</v>
      </c>
      <c r="U46" s="9" t="s">
        <v>226</v>
      </c>
      <c r="V46" s="9"/>
      <c r="W46" s="9"/>
      <c r="X46" s="9" t="n">
        <f aca="false">$M46-$O46+$P46</f>
        <v>729</v>
      </c>
      <c r="Y46" s="9" t="n">
        <f aca="false">IF($M46=0,0,IF($J46="Working",IF($Q46="All",MAX(0,$M46-$I46),0),IF($Q46="None",0,$M46)))</f>
        <v>9</v>
      </c>
      <c r="Z46" s="23" t="str">
        <f aca="false">IF($J46&lt;&gt;"Working",IF($M46&gt;0,$J46&amp;" — worked",$J46),IF($U46="Y","Present",IF($X46&lt;INDEX(08_Attendance_Rules!$C$2:$C$5,MATCH($H46,08_Attendance_Rules!$A$2:$A$5,0)),"Absent",IF($X46&lt;INDEX(08_Attendance_Rules!$B$2:$B$5,MATCH($H46,08_Attendance_Rules!$A$2:$A$5,0)),"Half Day",IF($T46="Y","Half Day","Present")))))</f>
        <v>Present</v>
      </c>
      <c r="AA46" s="9" t="str">
        <f aca="false">IF($X46=0,"-",INT($X46/60)&amp;":"&amp;TEXT(MOD($X46,60),"00"))</f>
        <v>12:09</v>
      </c>
      <c r="AB46" s="9" t="str">
        <f aca="false">IF($Y46=0,"-",INT($Y46/60)&amp;":"&amp;TEXT(MOD($Y46,60),"00"))</f>
        <v>0:09</v>
      </c>
    </row>
    <row r="47" customFormat="false" ht="15" hidden="false" customHeight="true" outlineLevel="0" collapsed="false">
      <c r="A47" s="11" t="s">
        <v>2120</v>
      </c>
      <c r="B47" s="11" t="s">
        <v>797</v>
      </c>
      <c r="C47" s="11" t="s">
        <v>798</v>
      </c>
      <c r="D47" s="11" t="s">
        <v>1151</v>
      </c>
      <c r="E47" s="11" t="s">
        <v>2058</v>
      </c>
      <c r="F47" s="11" t="s">
        <v>454</v>
      </c>
      <c r="G47" s="11" t="s">
        <v>454</v>
      </c>
      <c r="H47" s="11" t="n">
        <v>12</v>
      </c>
      <c r="I47" s="11" t="n">
        <v>720</v>
      </c>
      <c r="J47" s="11" t="s">
        <v>2059</v>
      </c>
      <c r="K47" s="11" t="s">
        <v>1493</v>
      </c>
      <c r="L47" s="11" t="s">
        <v>1498</v>
      </c>
      <c r="M47" s="11" t="n">
        <v>731</v>
      </c>
      <c r="N47" s="11" t="n">
        <v>60</v>
      </c>
      <c r="O47" s="11" t="n">
        <v>0</v>
      </c>
      <c r="P47" s="11" t="n">
        <v>0</v>
      </c>
      <c r="Q47" s="11" t="s">
        <v>355</v>
      </c>
      <c r="R47" s="11"/>
      <c r="S47" s="11"/>
      <c r="T47" s="11" t="s">
        <v>226</v>
      </c>
      <c r="U47" s="11" t="s">
        <v>226</v>
      </c>
      <c r="V47" s="11"/>
      <c r="W47" s="11"/>
      <c r="X47" s="11" t="n">
        <f aca="false">$M47-$O47+$P47</f>
        <v>731</v>
      </c>
      <c r="Y47" s="11" t="n">
        <f aca="false">IF($M47=0,0,IF($J47="Working",IF($Q47="All",MAX(0,$M47-$I47),0),IF($Q47="None",0,$M47)))</f>
        <v>11</v>
      </c>
      <c r="Z47" s="24" t="str">
        <f aca="false">IF($J47&lt;&gt;"Working",IF($M47&gt;0,$J47&amp;" — worked",$J47),IF($U47="Y","Present",IF($X47&lt;INDEX(08_Attendance_Rules!$C$2:$C$5,MATCH($H47,08_Attendance_Rules!$A$2:$A$5,0)),"Absent",IF($X47&lt;INDEX(08_Attendance_Rules!$B$2:$B$5,MATCH($H47,08_Attendance_Rules!$A$2:$A$5,0)),"Half Day",IF($T47="Y","Half Day","Present")))))</f>
        <v>Present</v>
      </c>
      <c r="AA47" s="11" t="str">
        <f aca="false">IF($X47=0,"-",INT($X47/60)&amp;":"&amp;TEXT(MOD($X47,60),"00"))</f>
        <v>12:11</v>
      </c>
      <c r="AB47" s="11" t="str">
        <f aca="false">IF($Y47=0,"-",INT($Y47/60)&amp;":"&amp;TEXT(MOD($Y47,60),"00"))</f>
        <v>0:11</v>
      </c>
    </row>
    <row r="48" customFormat="false" ht="15" hidden="false" customHeight="true" outlineLevel="0" collapsed="false">
      <c r="A48" s="9" t="s">
        <v>2121</v>
      </c>
      <c r="B48" s="9" t="s">
        <v>797</v>
      </c>
      <c r="C48" s="9" t="s">
        <v>798</v>
      </c>
      <c r="D48" s="9" t="s">
        <v>593</v>
      </c>
      <c r="E48" s="9" t="s">
        <v>2061</v>
      </c>
      <c r="F48" s="9" t="s">
        <v>454</v>
      </c>
      <c r="G48" s="9" t="s">
        <v>454</v>
      </c>
      <c r="H48" s="9" t="n">
        <v>12</v>
      </c>
      <c r="I48" s="9" t="n">
        <v>720</v>
      </c>
      <c r="J48" s="9" t="s">
        <v>2059</v>
      </c>
      <c r="K48" s="9" t="s">
        <v>1619</v>
      </c>
      <c r="L48" s="9" t="s">
        <v>1621</v>
      </c>
      <c r="M48" s="9" t="n">
        <v>625</v>
      </c>
      <c r="N48" s="9" t="n">
        <v>60</v>
      </c>
      <c r="O48" s="9" t="n">
        <v>0</v>
      </c>
      <c r="P48" s="9" t="n">
        <v>0</v>
      </c>
      <c r="Q48" s="9" t="s">
        <v>355</v>
      </c>
      <c r="R48" s="9" t="n">
        <v>5</v>
      </c>
      <c r="S48" s="9"/>
      <c r="T48" s="9" t="s">
        <v>226</v>
      </c>
      <c r="U48" s="9" t="s">
        <v>226</v>
      </c>
      <c r="V48" s="9" t="s">
        <v>2122</v>
      </c>
      <c r="W48" s="9"/>
      <c r="X48" s="9" t="n">
        <f aca="false">$M48-$O48+$P48</f>
        <v>625</v>
      </c>
      <c r="Y48" s="9" t="n">
        <f aca="false">IF($M48=0,0,IF($J48="Working",IF($Q48="All",MAX(0,$M48-$I48),0),IF($Q48="None",0,$M48)))</f>
        <v>0</v>
      </c>
      <c r="Z48" s="23" t="str">
        <f aca="false">IF($J48&lt;&gt;"Working",IF($M48&gt;0,$J48&amp;" — worked",$J48),IF($U48="Y","Present",IF($X48&lt;INDEX(08_Attendance_Rules!$C$2:$C$5,MATCH($H48,08_Attendance_Rules!$A$2:$A$5,0)),"Absent",IF($X48&lt;INDEX(08_Attendance_Rules!$B$2:$B$5,MATCH($H48,08_Attendance_Rules!$A$2:$A$5,0)),"Half Day",IF($T48="Y","Half Day","Present")))))</f>
        <v>Half Day</v>
      </c>
      <c r="AA48" s="9" t="str">
        <f aca="false">IF($X48=0,"-",INT($X48/60)&amp;":"&amp;TEXT(MOD($X48,60),"00"))</f>
        <v>10:25</v>
      </c>
      <c r="AB48" s="9" t="str">
        <f aca="false">IF($Y48=0,"-",INT($Y48/60)&amp;":"&amp;TEXT(MOD($Y48,60),"00"))</f>
        <v>-</v>
      </c>
    </row>
    <row r="49" customFormat="false" ht="15" hidden="false" customHeight="true" outlineLevel="0" collapsed="false">
      <c r="A49" s="11" t="s">
        <v>2123</v>
      </c>
      <c r="B49" s="11" t="s">
        <v>797</v>
      </c>
      <c r="C49" s="11" t="s">
        <v>798</v>
      </c>
      <c r="D49" s="11" t="s">
        <v>1505</v>
      </c>
      <c r="E49" s="11" t="s">
        <v>2063</v>
      </c>
      <c r="F49" s="11" t="s">
        <v>454</v>
      </c>
      <c r="G49" s="11" t="s">
        <v>454</v>
      </c>
      <c r="H49" s="11" t="n">
        <v>12</v>
      </c>
      <c r="I49" s="11" t="n">
        <v>720</v>
      </c>
      <c r="J49" s="11" t="s">
        <v>2059</v>
      </c>
      <c r="K49" s="11" t="s">
        <v>1506</v>
      </c>
      <c r="L49" s="11" t="s">
        <v>1509</v>
      </c>
      <c r="M49" s="11" t="n">
        <v>730</v>
      </c>
      <c r="N49" s="11" t="n">
        <v>60</v>
      </c>
      <c r="O49" s="11" t="n">
        <v>0</v>
      </c>
      <c r="P49" s="11" t="n">
        <v>0</v>
      </c>
      <c r="Q49" s="11" t="s">
        <v>355</v>
      </c>
      <c r="R49" s="11"/>
      <c r="S49" s="11"/>
      <c r="T49" s="11" t="s">
        <v>226</v>
      </c>
      <c r="U49" s="11" t="s">
        <v>226</v>
      </c>
      <c r="V49" s="11"/>
      <c r="W49" s="11"/>
      <c r="X49" s="11" t="n">
        <f aca="false">$M49-$O49+$P49</f>
        <v>730</v>
      </c>
      <c r="Y49" s="11" t="n">
        <f aca="false">IF($M49=0,0,IF($J49="Working",IF($Q49="All",MAX(0,$M49-$I49),0),IF($Q49="None",0,$M49)))</f>
        <v>10</v>
      </c>
      <c r="Z49" s="24" t="str">
        <f aca="false">IF($J49&lt;&gt;"Working",IF($M49&gt;0,$J49&amp;" — worked",$J49),IF($U49="Y","Present",IF($X49&lt;INDEX(08_Attendance_Rules!$C$2:$C$5,MATCH($H49,08_Attendance_Rules!$A$2:$A$5,0)),"Absent",IF($X49&lt;INDEX(08_Attendance_Rules!$B$2:$B$5,MATCH($H49,08_Attendance_Rules!$A$2:$A$5,0)),"Half Day",IF($T49="Y","Half Day","Present")))))</f>
        <v>Present</v>
      </c>
      <c r="AA49" s="11" t="str">
        <f aca="false">IF($X49=0,"-",INT($X49/60)&amp;":"&amp;TEXT(MOD($X49,60),"00"))</f>
        <v>12:10</v>
      </c>
      <c r="AB49" s="11" t="str">
        <f aca="false">IF($Y49=0,"-",INT($Y49/60)&amp;":"&amp;TEXT(MOD($Y49,60),"00"))</f>
        <v>0:10</v>
      </c>
    </row>
    <row r="50" customFormat="false" ht="15" hidden="false" customHeight="true" outlineLevel="0" collapsed="false">
      <c r="A50" s="9" t="s">
        <v>2124</v>
      </c>
      <c r="B50" s="9" t="s">
        <v>797</v>
      </c>
      <c r="C50" s="9" t="s">
        <v>798</v>
      </c>
      <c r="D50" s="9" t="s">
        <v>1511</v>
      </c>
      <c r="E50" s="9" t="s">
        <v>2065</v>
      </c>
      <c r="F50" s="9" t="s">
        <v>454</v>
      </c>
      <c r="G50" s="9" t="s">
        <v>454</v>
      </c>
      <c r="H50" s="9" t="n">
        <v>12</v>
      </c>
      <c r="I50" s="9" t="n">
        <v>720</v>
      </c>
      <c r="J50" s="9" t="s">
        <v>2059</v>
      </c>
      <c r="K50" s="9" t="s">
        <v>457</v>
      </c>
      <c r="L50" s="9" t="s">
        <v>1513</v>
      </c>
      <c r="M50" s="9" t="n">
        <v>734</v>
      </c>
      <c r="N50" s="9" t="n">
        <v>60</v>
      </c>
      <c r="O50" s="9" t="n">
        <v>0</v>
      </c>
      <c r="P50" s="9" t="n">
        <v>0</v>
      </c>
      <c r="Q50" s="9" t="s">
        <v>355</v>
      </c>
      <c r="R50" s="9"/>
      <c r="S50" s="9"/>
      <c r="T50" s="9" t="s">
        <v>226</v>
      </c>
      <c r="U50" s="9" t="s">
        <v>226</v>
      </c>
      <c r="V50" s="9"/>
      <c r="W50" s="9"/>
      <c r="X50" s="9" t="n">
        <f aca="false">$M50-$O50+$P50</f>
        <v>734</v>
      </c>
      <c r="Y50" s="9" t="n">
        <f aca="false">IF($M50=0,0,IF($J50="Working",IF($Q50="All",MAX(0,$M50-$I50),0),IF($Q50="None",0,$M50)))</f>
        <v>14</v>
      </c>
      <c r="Z50" s="23" t="str">
        <f aca="false">IF($J50&lt;&gt;"Working",IF($M50&gt;0,$J50&amp;" — worked",$J50),IF($U50="Y","Present",IF($X50&lt;INDEX(08_Attendance_Rules!$C$2:$C$5,MATCH($H50,08_Attendance_Rules!$A$2:$A$5,0)),"Absent",IF($X50&lt;INDEX(08_Attendance_Rules!$B$2:$B$5,MATCH($H50,08_Attendance_Rules!$A$2:$A$5,0)),"Half Day",IF($T50="Y","Half Day","Present")))))</f>
        <v>Present</v>
      </c>
      <c r="AA50" s="9" t="str">
        <f aca="false">IF($X50=0,"-",INT($X50/60)&amp;":"&amp;TEXT(MOD($X50,60),"00"))</f>
        <v>12:14</v>
      </c>
      <c r="AB50" s="9" t="str">
        <f aca="false">IF($Y50=0,"-",INT($Y50/60)&amp;":"&amp;TEXT(MOD($Y50,60),"00"))</f>
        <v>0:14</v>
      </c>
    </row>
    <row r="51" customFormat="false" ht="15" hidden="false" customHeight="true" outlineLevel="0" collapsed="false">
      <c r="A51" s="11" t="s">
        <v>2125</v>
      </c>
      <c r="B51" s="11" t="s">
        <v>797</v>
      </c>
      <c r="C51" s="11" t="s">
        <v>798</v>
      </c>
      <c r="D51" s="11" t="s">
        <v>1515</v>
      </c>
      <c r="E51" s="11" t="s">
        <v>2067</v>
      </c>
      <c r="F51" s="11" t="s">
        <v>454</v>
      </c>
      <c r="G51" s="11" t="s">
        <v>454</v>
      </c>
      <c r="H51" s="11" t="n">
        <v>12</v>
      </c>
      <c r="I51" s="11" t="n">
        <v>720</v>
      </c>
      <c r="J51" s="11" t="s">
        <v>2059</v>
      </c>
      <c r="K51" s="11" t="s">
        <v>1516</v>
      </c>
      <c r="L51" s="11" t="s">
        <v>1518</v>
      </c>
      <c r="M51" s="11" t="n">
        <v>732</v>
      </c>
      <c r="N51" s="11" t="n">
        <v>60</v>
      </c>
      <c r="O51" s="11" t="n">
        <v>0</v>
      </c>
      <c r="P51" s="11" t="n">
        <v>0</v>
      </c>
      <c r="Q51" s="11" t="s">
        <v>355</v>
      </c>
      <c r="R51" s="11"/>
      <c r="S51" s="11"/>
      <c r="T51" s="11" t="s">
        <v>226</v>
      </c>
      <c r="U51" s="11" t="s">
        <v>226</v>
      </c>
      <c r="V51" s="11"/>
      <c r="W51" s="11"/>
      <c r="X51" s="11" t="n">
        <f aca="false">$M51-$O51+$P51</f>
        <v>732</v>
      </c>
      <c r="Y51" s="11" t="n">
        <f aca="false">IF($M51=0,0,IF($J51="Working",IF($Q51="All",MAX(0,$M51-$I51),0),IF($Q51="None",0,$M51)))</f>
        <v>12</v>
      </c>
      <c r="Z51" s="24" t="str">
        <f aca="false">IF($J51&lt;&gt;"Working",IF($M51&gt;0,$J51&amp;" — worked",$J51),IF($U51="Y","Present",IF($X51&lt;INDEX(08_Attendance_Rules!$C$2:$C$5,MATCH($H51,08_Attendance_Rules!$A$2:$A$5,0)),"Absent",IF($X51&lt;INDEX(08_Attendance_Rules!$B$2:$B$5,MATCH($H51,08_Attendance_Rules!$A$2:$A$5,0)),"Half Day",IF($T51="Y","Half Day","Present")))))</f>
        <v>Present</v>
      </c>
      <c r="AA51" s="11" t="str">
        <f aca="false">IF($X51=0,"-",INT($X51/60)&amp;":"&amp;TEXT(MOD($X51,60),"00"))</f>
        <v>12:12</v>
      </c>
      <c r="AB51" s="11" t="str">
        <f aca="false">IF($Y51=0,"-",INT($Y51/60)&amp;":"&amp;TEXT(MOD($Y51,60),"00"))</f>
        <v>0:12</v>
      </c>
    </row>
    <row r="52" customFormat="false" ht="15" hidden="false" customHeight="true" outlineLevel="0" collapsed="false">
      <c r="A52" s="9" t="s">
        <v>2126</v>
      </c>
      <c r="B52" s="9" t="s">
        <v>797</v>
      </c>
      <c r="C52" s="9" t="s">
        <v>798</v>
      </c>
      <c r="D52" s="9" t="s">
        <v>1359</v>
      </c>
      <c r="E52" s="9" t="s">
        <v>2069</v>
      </c>
      <c r="F52" s="9" t="s">
        <v>454</v>
      </c>
      <c r="G52" s="9" t="s">
        <v>454</v>
      </c>
      <c r="H52" s="9" t="n">
        <v>12</v>
      </c>
      <c r="I52" s="9" t="n">
        <v>720</v>
      </c>
      <c r="J52" s="9" t="s">
        <v>2070</v>
      </c>
      <c r="K52" s="9"/>
      <c r="L52" s="9"/>
      <c r="M52" s="9" t="n">
        <v>0</v>
      </c>
      <c r="N52" s="9" t="n">
        <v>0</v>
      </c>
      <c r="O52" s="9" t="n">
        <v>0</v>
      </c>
      <c r="P52" s="9" t="n">
        <v>0</v>
      </c>
      <c r="Q52" s="9" t="s">
        <v>355</v>
      </c>
      <c r="R52" s="9"/>
      <c r="S52" s="9"/>
      <c r="T52" s="9" t="s">
        <v>226</v>
      </c>
      <c r="U52" s="9" t="s">
        <v>226</v>
      </c>
      <c r="V52" s="9"/>
      <c r="W52" s="9"/>
      <c r="X52" s="9" t="n">
        <f aca="false">$M52-$O52+$P52</f>
        <v>0</v>
      </c>
      <c r="Y52" s="9" t="n">
        <f aca="false">IF($M52=0,0,IF($J52="Working",IF($Q52="All",MAX(0,$M52-$I52),0),IF($Q52="None",0,$M52)))</f>
        <v>0</v>
      </c>
      <c r="Z52" s="23" t="str">
        <f aca="false">IF($J52&lt;&gt;"Working",IF($M52&gt;0,$J52&amp;" — worked",$J52),IF($U52="Y","Present",IF($X52&lt;INDEX(08_Attendance_Rules!$C$2:$C$5,MATCH($H52,08_Attendance_Rules!$A$2:$A$5,0)),"Absent",IF($X52&lt;INDEX(08_Attendance_Rules!$B$2:$B$5,MATCH($H52,08_Attendance_Rules!$A$2:$A$5,0)),"Half Day",IF($T52="Y","Half Day","Present")))))</f>
        <v>Weekly Off</v>
      </c>
      <c r="AA52" s="9" t="str">
        <f aca="false">IF($X52=0,"-",INT($X52/60)&amp;":"&amp;TEXT(MOD($X52,60),"00"))</f>
        <v>-</v>
      </c>
      <c r="AB52" s="9" t="str">
        <f aca="false">IF($Y52=0,"-",INT($Y52/60)&amp;":"&amp;TEXT(MOD($Y52,60),"00"))</f>
        <v>-</v>
      </c>
    </row>
    <row r="53" customFormat="false" ht="15" hidden="false" customHeight="true" outlineLevel="0" collapsed="false">
      <c r="A53" s="11" t="s">
        <v>2127</v>
      </c>
      <c r="B53" s="11" t="s">
        <v>797</v>
      </c>
      <c r="C53" s="11" t="s">
        <v>798</v>
      </c>
      <c r="D53" s="11" t="s">
        <v>1332</v>
      </c>
      <c r="E53" s="11" t="s">
        <v>2072</v>
      </c>
      <c r="F53" s="11" t="s">
        <v>454</v>
      </c>
      <c r="G53" s="11" t="s">
        <v>454</v>
      </c>
      <c r="H53" s="11" t="n">
        <v>12</v>
      </c>
      <c r="I53" s="11" t="n">
        <v>720</v>
      </c>
      <c r="J53" s="11" t="s">
        <v>2059</v>
      </c>
      <c r="K53" s="11" t="s">
        <v>1520</v>
      </c>
      <c r="L53" s="11" t="s">
        <v>1522</v>
      </c>
      <c r="M53" s="11" t="n">
        <v>743</v>
      </c>
      <c r="N53" s="11" t="n">
        <v>60</v>
      </c>
      <c r="O53" s="11" t="n">
        <v>0</v>
      </c>
      <c r="P53" s="11" t="n">
        <v>0</v>
      </c>
      <c r="Q53" s="11" t="s">
        <v>355</v>
      </c>
      <c r="R53" s="11"/>
      <c r="S53" s="11"/>
      <c r="T53" s="11" t="s">
        <v>226</v>
      </c>
      <c r="U53" s="11" t="s">
        <v>226</v>
      </c>
      <c r="V53" s="11"/>
      <c r="W53" s="11"/>
      <c r="X53" s="11" t="n">
        <f aca="false">$M53-$O53+$P53</f>
        <v>743</v>
      </c>
      <c r="Y53" s="11" t="n">
        <f aca="false">IF($M53=0,0,IF($J53="Working",IF($Q53="All",MAX(0,$M53-$I53),0),IF($Q53="None",0,$M53)))</f>
        <v>23</v>
      </c>
      <c r="Z53" s="24" t="str">
        <f aca="false">IF($J53&lt;&gt;"Working",IF($M53&gt;0,$J53&amp;" — worked",$J53),IF($U53="Y","Present",IF($X53&lt;INDEX(08_Attendance_Rules!$C$2:$C$5,MATCH($H53,08_Attendance_Rules!$A$2:$A$5,0)),"Absent",IF($X53&lt;INDEX(08_Attendance_Rules!$B$2:$B$5,MATCH($H53,08_Attendance_Rules!$A$2:$A$5,0)),"Half Day",IF($T53="Y","Half Day","Present")))))</f>
        <v>Present</v>
      </c>
      <c r="AA53" s="11" t="str">
        <f aca="false">IF($X53=0,"-",INT($X53/60)&amp;":"&amp;TEXT(MOD($X53,60),"00"))</f>
        <v>12:23</v>
      </c>
      <c r="AB53" s="11" t="str">
        <f aca="false">IF($Y53=0,"-",INT($Y53/60)&amp;":"&amp;TEXT(MOD($Y53,60),"00"))</f>
        <v>0:23</v>
      </c>
    </row>
    <row r="54" customFormat="false" ht="15" hidden="false" customHeight="true" outlineLevel="0" collapsed="false">
      <c r="A54" s="9" t="s">
        <v>2128</v>
      </c>
      <c r="B54" s="9" t="s">
        <v>797</v>
      </c>
      <c r="C54" s="9" t="s">
        <v>798</v>
      </c>
      <c r="D54" s="9" t="s">
        <v>1524</v>
      </c>
      <c r="E54" s="9" t="s">
        <v>2058</v>
      </c>
      <c r="F54" s="9" t="s">
        <v>454</v>
      </c>
      <c r="G54" s="9" t="s">
        <v>454</v>
      </c>
      <c r="H54" s="9" t="n">
        <v>12</v>
      </c>
      <c r="I54" s="9" t="n">
        <v>720</v>
      </c>
      <c r="J54" s="9" t="s">
        <v>2059</v>
      </c>
      <c r="K54" s="9" t="s">
        <v>472</v>
      </c>
      <c r="L54" s="9" t="s">
        <v>1571</v>
      </c>
      <c r="M54" s="9" t="n">
        <v>726</v>
      </c>
      <c r="N54" s="9" t="n">
        <v>60</v>
      </c>
      <c r="O54" s="9" t="n">
        <v>0</v>
      </c>
      <c r="P54" s="9" t="n">
        <v>0</v>
      </c>
      <c r="Q54" s="9" t="s">
        <v>355</v>
      </c>
      <c r="R54" s="9"/>
      <c r="S54" s="9"/>
      <c r="T54" s="9" t="s">
        <v>226</v>
      </c>
      <c r="U54" s="9" t="s">
        <v>226</v>
      </c>
      <c r="V54" s="9"/>
      <c r="W54" s="9"/>
      <c r="X54" s="9" t="n">
        <f aca="false">$M54-$O54+$P54</f>
        <v>726</v>
      </c>
      <c r="Y54" s="9" t="n">
        <f aca="false">IF($M54=0,0,IF($J54="Working",IF($Q54="All",MAX(0,$M54-$I54),0),IF($Q54="None",0,$M54)))</f>
        <v>6</v>
      </c>
      <c r="Z54" s="23" t="str">
        <f aca="false">IF($J54&lt;&gt;"Working",IF($M54&gt;0,$J54&amp;" — worked",$J54),IF($U54="Y","Present",IF($X54&lt;INDEX(08_Attendance_Rules!$C$2:$C$5,MATCH($H54,08_Attendance_Rules!$A$2:$A$5,0)),"Absent",IF($X54&lt;INDEX(08_Attendance_Rules!$B$2:$B$5,MATCH($H54,08_Attendance_Rules!$A$2:$A$5,0)),"Half Day",IF($T54="Y","Half Day","Present")))))</f>
        <v>Present</v>
      </c>
      <c r="AA54" s="9" t="str">
        <f aca="false">IF($X54=0,"-",INT($X54/60)&amp;":"&amp;TEXT(MOD($X54,60),"00"))</f>
        <v>12:06</v>
      </c>
      <c r="AB54" s="9" t="str">
        <f aca="false">IF($Y54=0,"-",INT($Y54/60)&amp;":"&amp;TEXT(MOD($Y54,60),"00"))</f>
        <v>0:06</v>
      </c>
    </row>
    <row r="55" customFormat="false" ht="15" hidden="false" customHeight="true" outlineLevel="0" collapsed="false">
      <c r="A55" s="11" t="s">
        <v>2129</v>
      </c>
      <c r="B55" s="11" t="s">
        <v>797</v>
      </c>
      <c r="C55" s="11" t="s">
        <v>798</v>
      </c>
      <c r="D55" s="11" t="s">
        <v>1377</v>
      </c>
      <c r="E55" s="11" t="s">
        <v>2061</v>
      </c>
      <c r="F55" s="11" t="s">
        <v>454</v>
      </c>
      <c r="G55" s="11" t="s">
        <v>454</v>
      </c>
      <c r="H55" s="11" t="n">
        <v>12</v>
      </c>
      <c r="I55" s="11" t="n">
        <v>720</v>
      </c>
      <c r="J55" s="11" t="s">
        <v>2059</v>
      </c>
      <c r="K55" s="11" t="s">
        <v>1633</v>
      </c>
      <c r="L55" s="11" t="s">
        <v>1635</v>
      </c>
      <c r="M55" s="11" t="n">
        <v>305</v>
      </c>
      <c r="N55" s="11" t="n">
        <v>0</v>
      </c>
      <c r="O55" s="11" t="n">
        <v>0</v>
      </c>
      <c r="P55" s="11" t="n">
        <v>0</v>
      </c>
      <c r="Q55" s="11" t="s">
        <v>355</v>
      </c>
      <c r="R55" s="11" t="n">
        <v>10</v>
      </c>
      <c r="S55" s="11"/>
      <c r="T55" s="11" t="s">
        <v>226</v>
      </c>
      <c r="U55" s="11" t="s">
        <v>226</v>
      </c>
      <c r="V55" s="11" t="s">
        <v>2130</v>
      </c>
      <c r="W55" s="11"/>
      <c r="X55" s="11" t="n">
        <f aca="false">$M55-$O55+$P55</f>
        <v>305</v>
      </c>
      <c r="Y55" s="11" t="n">
        <f aca="false">IF($M55=0,0,IF($J55="Working",IF($Q55="All",MAX(0,$M55-$I55),0),IF($Q55="None",0,$M55)))</f>
        <v>0</v>
      </c>
      <c r="Z55" s="24" t="str">
        <f aca="false">IF($J55&lt;&gt;"Working",IF($M55&gt;0,$J55&amp;" — worked",$J55),IF($U55="Y","Present",IF($X55&lt;INDEX(08_Attendance_Rules!$C$2:$C$5,MATCH($H55,08_Attendance_Rules!$A$2:$A$5,0)),"Absent",IF($X55&lt;INDEX(08_Attendance_Rules!$B$2:$B$5,MATCH($H55,08_Attendance_Rules!$A$2:$A$5,0)),"Half Day",IF($T55="Y","Half Day","Present")))))</f>
        <v>Absent</v>
      </c>
      <c r="AA55" s="11" t="str">
        <f aca="false">IF($X55=0,"-",INT($X55/60)&amp;":"&amp;TEXT(MOD($X55,60),"00"))</f>
        <v>5:05</v>
      </c>
      <c r="AB55" s="11" t="str">
        <f aca="false">IF($Y55=0,"-",INT($Y55/60)&amp;":"&amp;TEXT(MOD($Y55,60),"00"))</f>
        <v>-</v>
      </c>
    </row>
    <row r="56" customFormat="false" ht="15" hidden="false" customHeight="true" outlineLevel="0" collapsed="false">
      <c r="A56" s="9" t="s">
        <v>2131</v>
      </c>
      <c r="B56" s="9" t="s">
        <v>797</v>
      </c>
      <c r="C56" s="9" t="s">
        <v>798</v>
      </c>
      <c r="D56" s="9" t="s">
        <v>1355</v>
      </c>
      <c r="E56" s="9" t="s">
        <v>2063</v>
      </c>
      <c r="F56" s="9" t="s">
        <v>454</v>
      </c>
      <c r="G56" s="9" t="s">
        <v>454</v>
      </c>
      <c r="H56" s="9" t="n">
        <v>12</v>
      </c>
      <c r="I56" s="9" t="n">
        <v>720</v>
      </c>
      <c r="J56" s="9" t="s">
        <v>2059</v>
      </c>
      <c r="K56" s="9" t="s">
        <v>1537</v>
      </c>
      <c r="L56" s="9" t="s">
        <v>1539</v>
      </c>
      <c r="M56" s="9" t="n">
        <v>731</v>
      </c>
      <c r="N56" s="9" t="n">
        <v>60</v>
      </c>
      <c r="O56" s="9" t="n">
        <v>0</v>
      </c>
      <c r="P56" s="9" t="n">
        <v>0</v>
      </c>
      <c r="Q56" s="9" t="s">
        <v>355</v>
      </c>
      <c r="R56" s="9" t="n">
        <v>1</v>
      </c>
      <c r="S56" s="9"/>
      <c r="T56" s="9" t="s">
        <v>226</v>
      </c>
      <c r="U56" s="9" t="s">
        <v>226</v>
      </c>
      <c r="V56" s="9"/>
      <c r="W56" s="9"/>
      <c r="X56" s="9" t="n">
        <f aca="false">$M56-$O56+$P56</f>
        <v>731</v>
      </c>
      <c r="Y56" s="9" t="n">
        <f aca="false">IF($M56=0,0,IF($J56="Working",IF($Q56="All",MAX(0,$M56-$I56),0),IF($Q56="None",0,$M56)))</f>
        <v>11</v>
      </c>
      <c r="Z56" s="23" t="str">
        <f aca="false">IF($J56&lt;&gt;"Working",IF($M56&gt;0,$J56&amp;" — worked",$J56),IF($U56="Y","Present",IF($X56&lt;INDEX(08_Attendance_Rules!$C$2:$C$5,MATCH($H56,08_Attendance_Rules!$A$2:$A$5,0)),"Absent",IF($X56&lt;INDEX(08_Attendance_Rules!$B$2:$B$5,MATCH($H56,08_Attendance_Rules!$A$2:$A$5,0)),"Half Day",IF($T56="Y","Half Day","Present")))))</f>
        <v>Present</v>
      </c>
      <c r="AA56" s="9" t="str">
        <f aca="false">IF($X56=0,"-",INT($X56/60)&amp;":"&amp;TEXT(MOD($X56,60),"00"))</f>
        <v>12:11</v>
      </c>
      <c r="AB56" s="9" t="str">
        <f aca="false">IF($Y56=0,"-",INT($Y56/60)&amp;":"&amp;TEXT(MOD($Y56,60),"00"))</f>
        <v>0:11</v>
      </c>
    </row>
    <row r="57" customFormat="false" ht="15" hidden="false" customHeight="true" outlineLevel="0" collapsed="false">
      <c r="A57" s="11" t="s">
        <v>2132</v>
      </c>
      <c r="B57" s="11" t="s">
        <v>797</v>
      </c>
      <c r="C57" s="11" t="s">
        <v>798</v>
      </c>
      <c r="D57" s="11" t="s">
        <v>1459</v>
      </c>
      <c r="E57" s="11" t="s">
        <v>2065</v>
      </c>
      <c r="F57" s="11" t="s">
        <v>454</v>
      </c>
      <c r="G57" s="11" t="s">
        <v>454</v>
      </c>
      <c r="H57" s="11" t="n">
        <v>12</v>
      </c>
      <c r="I57" s="11" t="n">
        <v>720</v>
      </c>
      <c r="J57" s="11" t="s">
        <v>2059</v>
      </c>
      <c r="K57" s="11" t="s">
        <v>1541</v>
      </c>
      <c r="L57" s="11" t="s">
        <v>1543</v>
      </c>
      <c r="M57" s="11" t="n">
        <v>732</v>
      </c>
      <c r="N57" s="11" t="n">
        <v>60</v>
      </c>
      <c r="O57" s="11" t="n">
        <v>0</v>
      </c>
      <c r="P57" s="11" t="n">
        <v>0</v>
      </c>
      <c r="Q57" s="11" t="s">
        <v>355</v>
      </c>
      <c r="R57" s="11"/>
      <c r="S57" s="11"/>
      <c r="T57" s="11" t="s">
        <v>226</v>
      </c>
      <c r="U57" s="11" t="s">
        <v>226</v>
      </c>
      <c r="V57" s="11"/>
      <c r="W57" s="11"/>
      <c r="X57" s="11" t="n">
        <f aca="false">$M57-$O57+$P57</f>
        <v>732</v>
      </c>
      <c r="Y57" s="11" t="n">
        <f aca="false">IF($M57=0,0,IF($J57="Working",IF($Q57="All",MAX(0,$M57-$I57),0),IF($Q57="None",0,$M57)))</f>
        <v>12</v>
      </c>
      <c r="Z57" s="24" t="str">
        <f aca="false">IF($J57&lt;&gt;"Working",IF($M57&gt;0,$J57&amp;" — worked",$J57),IF($U57="Y","Present",IF($X57&lt;INDEX(08_Attendance_Rules!$C$2:$C$5,MATCH($H57,08_Attendance_Rules!$A$2:$A$5,0)),"Absent",IF($X57&lt;INDEX(08_Attendance_Rules!$B$2:$B$5,MATCH($H57,08_Attendance_Rules!$A$2:$A$5,0)),"Half Day",IF($T57="Y","Half Day","Present")))))</f>
        <v>Present</v>
      </c>
      <c r="AA57" s="11" t="str">
        <f aca="false">IF($X57=0,"-",INT($X57/60)&amp;":"&amp;TEXT(MOD($X57,60),"00"))</f>
        <v>12:12</v>
      </c>
      <c r="AB57" s="11" t="str">
        <f aca="false">IF($Y57=0,"-",INT($Y57/60)&amp;":"&amp;TEXT(MOD($Y57,60),"00"))</f>
        <v>0:12</v>
      </c>
    </row>
    <row r="58" customFormat="false" ht="15" hidden="false" customHeight="true" outlineLevel="0" collapsed="false">
      <c r="A58" s="9" t="s">
        <v>2133</v>
      </c>
      <c r="B58" s="9" t="s">
        <v>797</v>
      </c>
      <c r="C58" s="9" t="s">
        <v>798</v>
      </c>
      <c r="D58" s="9" t="s">
        <v>1545</v>
      </c>
      <c r="E58" s="9" t="s">
        <v>2067</v>
      </c>
      <c r="F58" s="9" t="s">
        <v>454</v>
      </c>
      <c r="G58" s="9" t="s">
        <v>454</v>
      </c>
      <c r="H58" s="9" t="n">
        <v>12</v>
      </c>
      <c r="I58" s="9" t="n">
        <v>720</v>
      </c>
      <c r="J58" s="9" t="s">
        <v>2059</v>
      </c>
      <c r="K58" s="9" t="s">
        <v>1546</v>
      </c>
      <c r="L58" s="9" t="s">
        <v>1548</v>
      </c>
      <c r="M58" s="9" t="n">
        <v>737</v>
      </c>
      <c r="N58" s="9" t="n">
        <v>60</v>
      </c>
      <c r="O58" s="9" t="n">
        <v>0</v>
      </c>
      <c r="P58" s="9" t="n">
        <v>0</v>
      </c>
      <c r="Q58" s="9" t="s">
        <v>355</v>
      </c>
      <c r="R58" s="9" t="n">
        <v>2</v>
      </c>
      <c r="S58" s="9"/>
      <c r="T58" s="9" t="s">
        <v>226</v>
      </c>
      <c r="U58" s="9" t="s">
        <v>226</v>
      </c>
      <c r="V58" s="9"/>
      <c r="W58" s="9"/>
      <c r="X58" s="9" t="n">
        <f aca="false">$M58-$O58+$P58</f>
        <v>737</v>
      </c>
      <c r="Y58" s="9" t="n">
        <f aca="false">IF($M58=0,0,IF($J58="Working",IF($Q58="All",MAX(0,$M58-$I58),0),IF($Q58="None",0,$M58)))</f>
        <v>17</v>
      </c>
      <c r="Z58" s="23" t="str">
        <f aca="false">IF($J58&lt;&gt;"Working",IF($M58&gt;0,$J58&amp;" — worked",$J58),IF($U58="Y","Present",IF($X58&lt;INDEX(08_Attendance_Rules!$C$2:$C$5,MATCH($H58,08_Attendance_Rules!$A$2:$A$5,0)),"Absent",IF($X58&lt;INDEX(08_Attendance_Rules!$B$2:$B$5,MATCH($H58,08_Attendance_Rules!$A$2:$A$5,0)),"Half Day",IF($T58="Y","Half Day","Present")))))</f>
        <v>Present</v>
      </c>
      <c r="AA58" s="9" t="str">
        <f aca="false">IF($X58=0,"-",INT($X58/60)&amp;":"&amp;TEXT(MOD($X58,60),"00"))</f>
        <v>12:17</v>
      </c>
      <c r="AB58" s="9" t="str">
        <f aca="false">IF($Y58=0,"-",INT($Y58/60)&amp;":"&amp;TEXT(MOD($Y58,60),"00"))</f>
        <v>0:17</v>
      </c>
    </row>
    <row r="59" customFormat="false" ht="15" hidden="false" customHeight="true" outlineLevel="0" collapsed="false">
      <c r="A59" s="11" t="s">
        <v>2134</v>
      </c>
      <c r="B59" s="11" t="s">
        <v>797</v>
      </c>
      <c r="C59" s="11" t="s">
        <v>798</v>
      </c>
      <c r="D59" s="11" t="s">
        <v>1409</v>
      </c>
      <c r="E59" s="11" t="s">
        <v>2069</v>
      </c>
      <c r="F59" s="11" t="s">
        <v>454</v>
      </c>
      <c r="G59" s="11" t="s">
        <v>454</v>
      </c>
      <c r="H59" s="11" t="n">
        <v>12</v>
      </c>
      <c r="I59" s="11" t="n">
        <v>720</v>
      </c>
      <c r="J59" s="11" t="s">
        <v>2070</v>
      </c>
      <c r="K59" s="11"/>
      <c r="L59" s="11"/>
      <c r="M59" s="11" t="n">
        <v>0</v>
      </c>
      <c r="N59" s="11" t="n">
        <v>0</v>
      </c>
      <c r="O59" s="11" t="n">
        <v>0</v>
      </c>
      <c r="P59" s="11" t="n">
        <v>0</v>
      </c>
      <c r="Q59" s="11" t="s">
        <v>355</v>
      </c>
      <c r="R59" s="11"/>
      <c r="S59" s="11"/>
      <c r="T59" s="11" t="s">
        <v>226</v>
      </c>
      <c r="U59" s="11" t="s">
        <v>226</v>
      </c>
      <c r="V59" s="11"/>
      <c r="W59" s="11"/>
      <c r="X59" s="11" t="n">
        <f aca="false">$M59-$O59+$P59</f>
        <v>0</v>
      </c>
      <c r="Y59" s="11" t="n">
        <f aca="false">IF($M59=0,0,IF($J59="Working",IF($Q59="All",MAX(0,$M59-$I59),0),IF($Q59="None",0,$M59)))</f>
        <v>0</v>
      </c>
      <c r="Z59" s="24" t="str">
        <f aca="false">IF($J59&lt;&gt;"Working",IF($M59&gt;0,$J59&amp;" — worked",$J59),IF($U59="Y","Present",IF($X59&lt;INDEX(08_Attendance_Rules!$C$2:$C$5,MATCH($H59,08_Attendance_Rules!$A$2:$A$5,0)),"Absent",IF($X59&lt;INDEX(08_Attendance_Rules!$B$2:$B$5,MATCH($H59,08_Attendance_Rules!$A$2:$A$5,0)),"Half Day",IF($T59="Y","Half Day","Present")))))</f>
        <v>Weekly Off</v>
      </c>
      <c r="AA59" s="11" t="str">
        <f aca="false">IF($X59=0,"-",INT($X59/60)&amp;":"&amp;TEXT(MOD($X59,60),"00"))</f>
        <v>-</v>
      </c>
      <c r="AB59" s="11" t="str">
        <f aca="false">IF($Y59=0,"-",INT($Y59/60)&amp;":"&amp;TEXT(MOD($Y59,60),"00"))</f>
        <v>-</v>
      </c>
    </row>
    <row r="60" customFormat="false" ht="15" hidden="false" customHeight="true" outlineLevel="0" collapsed="false">
      <c r="A60" s="9" t="s">
        <v>2135</v>
      </c>
      <c r="B60" s="9" t="s">
        <v>797</v>
      </c>
      <c r="C60" s="9" t="s">
        <v>798</v>
      </c>
      <c r="D60" s="9" t="s">
        <v>1337</v>
      </c>
      <c r="E60" s="9" t="s">
        <v>2072</v>
      </c>
      <c r="F60" s="9" t="s">
        <v>454</v>
      </c>
      <c r="G60" s="9" t="s">
        <v>454</v>
      </c>
      <c r="H60" s="9" t="n">
        <v>12</v>
      </c>
      <c r="I60" s="9" t="n">
        <v>720</v>
      </c>
      <c r="J60" s="9" t="s">
        <v>2059</v>
      </c>
      <c r="K60" s="9" t="s">
        <v>457</v>
      </c>
      <c r="L60" s="9" t="s">
        <v>1535</v>
      </c>
      <c r="M60" s="9" t="n">
        <v>730</v>
      </c>
      <c r="N60" s="9" t="n">
        <v>60</v>
      </c>
      <c r="O60" s="9" t="n">
        <v>0</v>
      </c>
      <c r="P60" s="9" t="n">
        <v>0</v>
      </c>
      <c r="Q60" s="9" t="s">
        <v>355</v>
      </c>
      <c r="R60" s="9"/>
      <c r="S60" s="9"/>
      <c r="T60" s="9" t="s">
        <v>226</v>
      </c>
      <c r="U60" s="9" t="s">
        <v>226</v>
      </c>
      <c r="V60" s="9"/>
      <c r="W60" s="9"/>
      <c r="X60" s="9" t="n">
        <f aca="false">$M60-$O60+$P60</f>
        <v>730</v>
      </c>
      <c r="Y60" s="9" t="n">
        <f aca="false">IF($M60=0,0,IF($J60="Working",IF($Q60="All",MAX(0,$M60-$I60),0),IF($Q60="None",0,$M60)))</f>
        <v>10</v>
      </c>
      <c r="Z60" s="23" t="str">
        <f aca="false">IF($J60&lt;&gt;"Working",IF($M60&gt;0,$J60&amp;" — worked",$J60),IF($U60="Y","Present",IF($X60&lt;INDEX(08_Attendance_Rules!$C$2:$C$5,MATCH($H60,08_Attendance_Rules!$A$2:$A$5,0)),"Absent",IF($X60&lt;INDEX(08_Attendance_Rules!$B$2:$B$5,MATCH($H60,08_Attendance_Rules!$A$2:$A$5,0)),"Half Day",IF($T60="Y","Half Day","Present")))))</f>
        <v>Present</v>
      </c>
      <c r="AA60" s="9" t="str">
        <f aca="false">IF($X60=0,"-",INT($X60/60)&amp;":"&amp;TEXT(MOD($X60,60),"00"))</f>
        <v>12:10</v>
      </c>
      <c r="AB60" s="9" t="str">
        <f aca="false">IF($Y60=0,"-",INT($Y60/60)&amp;":"&amp;TEXT(MOD($Y60,60),"00"))</f>
        <v>0:10</v>
      </c>
    </row>
    <row r="61" customFormat="false" ht="15" hidden="false" customHeight="true" outlineLevel="0" collapsed="false">
      <c r="A61" s="11" t="s">
        <v>2136</v>
      </c>
      <c r="B61" s="11" t="s">
        <v>797</v>
      </c>
      <c r="C61" s="11" t="s">
        <v>798</v>
      </c>
      <c r="D61" s="11" t="s">
        <v>531</v>
      </c>
      <c r="E61" s="11" t="s">
        <v>2058</v>
      </c>
      <c r="F61" s="11" t="s">
        <v>454</v>
      </c>
      <c r="G61" s="11" t="s">
        <v>454</v>
      </c>
      <c r="H61" s="11" t="n">
        <v>12</v>
      </c>
      <c r="I61" s="11" t="n">
        <v>720</v>
      </c>
      <c r="J61" s="11" t="s">
        <v>2059</v>
      </c>
      <c r="K61" s="11" t="s">
        <v>1552</v>
      </c>
      <c r="L61" s="11" t="s">
        <v>1498</v>
      </c>
      <c r="M61" s="11" t="n">
        <v>729</v>
      </c>
      <c r="N61" s="11" t="n">
        <v>60</v>
      </c>
      <c r="O61" s="11" t="n">
        <v>0</v>
      </c>
      <c r="P61" s="11" t="n">
        <v>0</v>
      </c>
      <c r="Q61" s="11" t="s">
        <v>355</v>
      </c>
      <c r="R61" s="11"/>
      <c r="S61" s="11"/>
      <c r="T61" s="11" t="s">
        <v>226</v>
      </c>
      <c r="U61" s="11" t="s">
        <v>226</v>
      </c>
      <c r="V61" s="11"/>
      <c r="W61" s="11"/>
      <c r="X61" s="11" t="n">
        <f aca="false">$M61-$O61+$P61</f>
        <v>729</v>
      </c>
      <c r="Y61" s="11" t="n">
        <f aca="false">IF($M61=0,0,IF($J61="Working",IF($Q61="All",MAX(0,$M61-$I61),0),IF($Q61="None",0,$M61)))</f>
        <v>9</v>
      </c>
      <c r="Z61" s="24" t="str">
        <f aca="false">IF($J61&lt;&gt;"Working",IF($M61&gt;0,$J61&amp;" — worked",$J61),IF($U61="Y","Present",IF($X61&lt;INDEX(08_Attendance_Rules!$C$2:$C$5,MATCH($H61,08_Attendance_Rules!$A$2:$A$5,0)),"Absent",IF($X61&lt;INDEX(08_Attendance_Rules!$B$2:$B$5,MATCH($H61,08_Attendance_Rules!$A$2:$A$5,0)),"Half Day",IF($T61="Y","Half Day","Present")))))</f>
        <v>Present</v>
      </c>
      <c r="AA61" s="11" t="str">
        <f aca="false">IF($X61=0,"-",INT($X61/60)&amp;":"&amp;TEXT(MOD($X61,60),"00"))</f>
        <v>12:09</v>
      </c>
      <c r="AB61" s="11" t="str">
        <f aca="false">IF($Y61=0,"-",INT($Y61/60)&amp;":"&amp;TEXT(MOD($Y61,60),"00"))</f>
        <v>0:09</v>
      </c>
    </row>
    <row r="62" customFormat="false" ht="15" hidden="false" customHeight="true" outlineLevel="0" collapsed="false">
      <c r="A62" s="9" t="s">
        <v>2137</v>
      </c>
      <c r="B62" s="9" t="s">
        <v>583</v>
      </c>
      <c r="C62" s="9" t="s">
        <v>805</v>
      </c>
      <c r="D62" s="9" t="s">
        <v>1151</v>
      </c>
      <c r="E62" s="9" t="s">
        <v>2058</v>
      </c>
      <c r="F62" s="9" t="s">
        <v>454</v>
      </c>
      <c r="G62" s="9" t="s">
        <v>454</v>
      </c>
      <c r="H62" s="9" t="n">
        <v>12</v>
      </c>
      <c r="I62" s="9" t="n">
        <v>720</v>
      </c>
      <c r="J62" s="9" t="s">
        <v>2059</v>
      </c>
      <c r="K62" s="9" t="s">
        <v>1493</v>
      </c>
      <c r="L62" s="9" t="s">
        <v>1498</v>
      </c>
      <c r="M62" s="9" t="n">
        <v>731</v>
      </c>
      <c r="N62" s="9" t="n">
        <v>60</v>
      </c>
      <c r="O62" s="9" t="n">
        <v>0</v>
      </c>
      <c r="P62" s="9" t="n">
        <v>0</v>
      </c>
      <c r="Q62" s="9" t="s">
        <v>355</v>
      </c>
      <c r="R62" s="9"/>
      <c r="S62" s="9"/>
      <c r="T62" s="9" t="s">
        <v>226</v>
      </c>
      <c r="U62" s="9" t="s">
        <v>226</v>
      </c>
      <c r="V62" s="9"/>
      <c r="W62" s="9"/>
      <c r="X62" s="9" t="n">
        <f aca="false">$M62-$O62+$P62</f>
        <v>731</v>
      </c>
      <c r="Y62" s="9" t="n">
        <f aca="false">IF($M62=0,0,IF($J62="Working",IF($Q62="All",MAX(0,$M62-$I62),0),IF($Q62="None",0,$M62)))</f>
        <v>11</v>
      </c>
      <c r="Z62" s="23" t="str">
        <f aca="false">IF($J62&lt;&gt;"Working",IF($M62&gt;0,$J62&amp;" — worked",$J62),IF($U62="Y","Present",IF($X62&lt;INDEX(08_Attendance_Rules!$C$2:$C$5,MATCH($H62,08_Attendance_Rules!$A$2:$A$5,0)),"Absent",IF($X62&lt;INDEX(08_Attendance_Rules!$B$2:$B$5,MATCH($H62,08_Attendance_Rules!$A$2:$A$5,0)),"Half Day",IF($T62="Y","Half Day","Present")))))</f>
        <v>Present</v>
      </c>
      <c r="AA62" s="9" t="str">
        <f aca="false">IF($X62=0,"-",INT($X62/60)&amp;":"&amp;TEXT(MOD($X62,60),"00"))</f>
        <v>12:11</v>
      </c>
      <c r="AB62" s="9" t="str">
        <f aca="false">IF($Y62=0,"-",INT($Y62/60)&amp;":"&amp;TEXT(MOD($Y62,60),"00"))</f>
        <v>0:11</v>
      </c>
    </row>
    <row r="63" customFormat="false" ht="15" hidden="false" customHeight="true" outlineLevel="0" collapsed="false">
      <c r="A63" s="11" t="s">
        <v>2138</v>
      </c>
      <c r="B63" s="11" t="s">
        <v>583</v>
      </c>
      <c r="C63" s="11" t="s">
        <v>805</v>
      </c>
      <c r="D63" s="11" t="s">
        <v>593</v>
      </c>
      <c r="E63" s="11" t="s">
        <v>2061</v>
      </c>
      <c r="F63" s="11" t="s">
        <v>454</v>
      </c>
      <c r="G63" s="11" t="s">
        <v>454</v>
      </c>
      <c r="H63" s="11" t="n">
        <v>12</v>
      </c>
      <c r="I63" s="11" t="n">
        <v>720</v>
      </c>
      <c r="J63" s="11" t="s">
        <v>2059</v>
      </c>
      <c r="K63" s="11" t="s">
        <v>1500</v>
      </c>
      <c r="L63" s="11" t="s">
        <v>1503</v>
      </c>
      <c r="M63" s="11" t="n">
        <v>733</v>
      </c>
      <c r="N63" s="11" t="n">
        <v>60</v>
      </c>
      <c r="O63" s="11" t="n">
        <v>0</v>
      </c>
      <c r="P63" s="11" t="n">
        <v>0</v>
      </c>
      <c r="Q63" s="11" t="s">
        <v>355</v>
      </c>
      <c r="R63" s="11"/>
      <c r="S63" s="11"/>
      <c r="T63" s="11" t="s">
        <v>226</v>
      </c>
      <c r="U63" s="11" t="s">
        <v>226</v>
      </c>
      <c r="V63" s="11"/>
      <c r="W63" s="11"/>
      <c r="X63" s="11" t="n">
        <f aca="false">$M63-$O63+$P63</f>
        <v>733</v>
      </c>
      <c r="Y63" s="11" t="n">
        <f aca="false">IF($M63=0,0,IF($J63="Working",IF($Q63="All",MAX(0,$M63-$I63),0),IF($Q63="None",0,$M63)))</f>
        <v>13</v>
      </c>
      <c r="Z63" s="24" t="str">
        <f aca="false">IF($J63&lt;&gt;"Working",IF($M63&gt;0,$J63&amp;" — worked",$J63),IF($U63="Y","Present",IF($X63&lt;INDEX(08_Attendance_Rules!$C$2:$C$5,MATCH($H63,08_Attendance_Rules!$A$2:$A$5,0)),"Absent",IF($X63&lt;INDEX(08_Attendance_Rules!$B$2:$B$5,MATCH($H63,08_Attendance_Rules!$A$2:$A$5,0)),"Half Day",IF($T63="Y","Half Day","Present")))))</f>
        <v>Present</v>
      </c>
      <c r="AA63" s="11" t="str">
        <f aca="false">IF($X63=0,"-",INT($X63/60)&amp;":"&amp;TEXT(MOD($X63,60),"00"))</f>
        <v>12:13</v>
      </c>
      <c r="AB63" s="11" t="str">
        <f aca="false">IF($Y63=0,"-",INT($Y63/60)&amp;":"&amp;TEXT(MOD($Y63,60),"00"))</f>
        <v>0:13</v>
      </c>
    </row>
    <row r="64" customFormat="false" ht="15" hidden="false" customHeight="true" outlineLevel="0" collapsed="false">
      <c r="A64" s="9" t="s">
        <v>2139</v>
      </c>
      <c r="B64" s="9" t="s">
        <v>583</v>
      </c>
      <c r="C64" s="9" t="s">
        <v>805</v>
      </c>
      <c r="D64" s="9" t="s">
        <v>1505</v>
      </c>
      <c r="E64" s="9" t="s">
        <v>2063</v>
      </c>
      <c r="F64" s="9" t="s">
        <v>454</v>
      </c>
      <c r="G64" s="9" t="s">
        <v>454</v>
      </c>
      <c r="H64" s="9" t="n">
        <v>12</v>
      </c>
      <c r="I64" s="9" t="n">
        <v>720</v>
      </c>
      <c r="J64" s="9" t="s">
        <v>2059</v>
      </c>
      <c r="K64" s="9" t="s">
        <v>1506</v>
      </c>
      <c r="L64" s="9" t="s">
        <v>1509</v>
      </c>
      <c r="M64" s="9" t="n">
        <v>730</v>
      </c>
      <c r="N64" s="9" t="n">
        <v>60</v>
      </c>
      <c r="O64" s="9" t="n">
        <v>0</v>
      </c>
      <c r="P64" s="9" t="n">
        <v>0</v>
      </c>
      <c r="Q64" s="9" t="s">
        <v>355</v>
      </c>
      <c r="R64" s="9"/>
      <c r="S64" s="9"/>
      <c r="T64" s="9" t="s">
        <v>226</v>
      </c>
      <c r="U64" s="9" t="s">
        <v>226</v>
      </c>
      <c r="V64" s="9"/>
      <c r="W64" s="9"/>
      <c r="X64" s="9" t="n">
        <f aca="false">$M64-$O64+$P64</f>
        <v>730</v>
      </c>
      <c r="Y64" s="9" t="n">
        <f aca="false">IF($M64=0,0,IF($J64="Working",IF($Q64="All",MAX(0,$M64-$I64),0),IF($Q64="None",0,$M64)))</f>
        <v>10</v>
      </c>
      <c r="Z64" s="23" t="str">
        <f aca="false">IF($J64&lt;&gt;"Working",IF($M64&gt;0,$J64&amp;" — worked",$J64),IF($U64="Y","Present",IF($X64&lt;INDEX(08_Attendance_Rules!$C$2:$C$5,MATCH($H64,08_Attendance_Rules!$A$2:$A$5,0)),"Absent",IF($X64&lt;INDEX(08_Attendance_Rules!$B$2:$B$5,MATCH($H64,08_Attendance_Rules!$A$2:$A$5,0)),"Half Day",IF($T64="Y","Half Day","Present")))))</f>
        <v>Present</v>
      </c>
      <c r="AA64" s="9" t="str">
        <f aca="false">IF($X64=0,"-",INT($X64/60)&amp;":"&amp;TEXT(MOD($X64,60),"00"))</f>
        <v>12:10</v>
      </c>
      <c r="AB64" s="9" t="str">
        <f aca="false">IF($Y64=0,"-",INT($Y64/60)&amp;":"&amp;TEXT(MOD($Y64,60),"00"))</f>
        <v>0:10</v>
      </c>
    </row>
    <row r="65" customFormat="false" ht="15" hidden="false" customHeight="true" outlineLevel="0" collapsed="false">
      <c r="A65" s="11" t="s">
        <v>2140</v>
      </c>
      <c r="B65" s="11" t="s">
        <v>583</v>
      </c>
      <c r="C65" s="11" t="s">
        <v>805</v>
      </c>
      <c r="D65" s="11" t="s">
        <v>1511</v>
      </c>
      <c r="E65" s="11" t="s">
        <v>2065</v>
      </c>
      <c r="F65" s="11" t="s">
        <v>454</v>
      </c>
      <c r="G65" s="11" t="s">
        <v>454</v>
      </c>
      <c r="H65" s="11" t="n">
        <v>12</v>
      </c>
      <c r="I65" s="11" t="n">
        <v>720</v>
      </c>
      <c r="J65" s="11" t="s">
        <v>2059</v>
      </c>
      <c r="K65" s="11" t="s">
        <v>1546</v>
      </c>
      <c r="L65" s="11" t="s">
        <v>1543</v>
      </c>
      <c r="M65" s="11" t="n">
        <v>722</v>
      </c>
      <c r="N65" s="11" t="n">
        <v>0</v>
      </c>
      <c r="O65" s="11" t="n">
        <v>120</v>
      </c>
      <c r="P65" s="11" t="n">
        <v>120</v>
      </c>
      <c r="Q65" s="11" t="s">
        <v>355</v>
      </c>
      <c r="R65" s="11" t="n">
        <v>2</v>
      </c>
      <c r="S65" s="11"/>
      <c r="T65" s="11" t="s">
        <v>226</v>
      </c>
      <c r="U65" s="11" t="s">
        <v>226</v>
      </c>
      <c r="V65" s="11" t="s">
        <v>2141</v>
      </c>
      <c r="W65" s="11"/>
      <c r="X65" s="11" t="n">
        <f aca="false">$M65-$O65+$P65</f>
        <v>722</v>
      </c>
      <c r="Y65" s="11" t="n">
        <f aca="false">IF($M65=0,0,IF($J65="Working",IF($Q65="All",MAX(0,$M65-$I65),0),IF($Q65="None",0,$M65)))</f>
        <v>2</v>
      </c>
      <c r="Z65" s="24" t="str">
        <f aca="false">IF($J65&lt;&gt;"Working",IF($M65&gt;0,$J65&amp;" — worked",$J65),IF($U65="Y","Present",IF($X65&lt;INDEX(08_Attendance_Rules!$C$2:$C$5,MATCH($H65,08_Attendance_Rules!$A$2:$A$5,0)),"Absent",IF($X65&lt;INDEX(08_Attendance_Rules!$B$2:$B$5,MATCH($H65,08_Attendance_Rules!$A$2:$A$5,0)),"Half Day",IF($T65="Y","Half Day","Present")))))</f>
        <v>Present</v>
      </c>
      <c r="AA65" s="11" t="str">
        <f aca="false">IF($X65=0,"-",INT($X65/60)&amp;":"&amp;TEXT(MOD($X65,60),"00"))</f>
        <v>12:02</v>
      </c>
      <c r="AB65" s="11" t="str">
        <f aca="false">IF($Y65=0,"-",INT($Y65/60)&amp;":"&amp;TEXT(MOD($Y65,60),"00"))</f>
        <v>0:02</v>
      </c>
    </row>
    <row r="66" customFormat="false" ht="15" hidden="false" customHeight="true" outlineLevel="0" collapsed="false">
      <c r="A66" s="9" t="s">
        <v>2142</v>
      </c>
      <c r="B66" s="9" t="s">
        <v>583</v>
      </c>
      <c r="C66" s="9" t="s">
        <v>805</v>
      </c>
      <c r="D66" s="9" t="s">
        <v>1515</v>
      </c>
      <c r="E66" s="9" t="s">
        <v>2067</v>
      </c>
      <c r="F66" s="9" t="s">
        <v>454</v>
      </c>
      <c r="G66" s="9" t="s">
        <v>454</v>
      </c>
      <c r="H66" s="9" t="n">
        <v>12</v>
      </c>
      <c r="I66" s="9" t="n">
        <v>720</v>
      </c>
      <c r="J66" s="9" t="s">
        <v>2059</v>
      </c>
      <c r="K66" s="9" t="s">
        <v>1516</v>
      </c>
      <c r="L66" s="9" t="s">
        <v>1518</v>
      </c>
      <c r="M66" s="9" t="n">
        <v>732</v>
      </c>
      <c r="N66" s="9" t="n">
        <v>60</v>
      </c>
      <c r="O66" s="9" t="n">
        <v>0</v>
      </c>
      <c r="P66" s="9" t="n">
        <v>0</v>
      </c>
      <c r="Q66" s="9" t="s">
        <v>355</v>
      </c>
      <c r="R66" s="9"/>
      <c r="S66" s="9"/>
      <c r="T66" s="9" t="s">
        <v>226</v>
      </c>
      <c r="U66" s="9" t="s">
        <v>226</v>
      </c>
      <c r="V66" s="9"/>
      <c r="W66" s="9"/>
      <c r="X66" s="9" t="n">
        <f aca="false">$M66-$O66+$P66</f>
        <v>732</v>
      </c>
      <c r="Y66" s="9" t="n">
        <f aca="false">IF($M66=0,0,IF($J66="Working",IF($Q66="All",MAX(0,$M66-$I66),0),IF($Q66="None",0,$M66)))</f>
        <v>12</v>
      </c>
      <c r="Z66" s="23" t="str">
        <f aca="false">IF($J66&lt;&gt;"Working",IF($M66&gt;0,$J66&amp;" — worked",$J66),IF($U66="Y","Present",IF($X66&lt;INDEX(08_Attendance_Rules!$C$2:$C$5,MATCH($H66,08_Attendance_Rules!$A$2:$A$5,0)),"Absent",IF($X66&lt;INDEX(08_Attendance_Rules!$B$2:$B$5,MATCH($H66,08_Attendance_Rules!$A$2:$A$5,0)),"Half Day",IF($T66="Y","Half Day","Present")))))</f>
        <v>Present</v>
      </c>
      <c r="AA66" s="9" t="str">
        <f aca="false">IF($X66=0,"-",INT($X66/60)&amp;":"&amp;TEXT(MOD($X66,60),"00"))</f>
        <v>12:12</v>
      </c>
      <c r="AB66" s="9" t="str">
        <f aca="false">IF($Y66=0,"-",INT($Y66/60)&amp;":"&amp;TEXT(MOD($Y66,60),"00"))</f>
        <v>0:12</v>
      </c>
    </row>
    <row r="67" customFormat="false" ht="15" hidden="false" customHeight="true" outlineLevel="0" collapsed="false">
      <c r="A67" s="11" t="s">
        <v>2143</v>
      </c>
      <c r="B67" s="11" t="s">
        <v>583</v>
      </c>
      <c r="C67" s="11" t="s">
        <v>805</v>
      </c>
      <c r="D67" s="11" t="s">
        <v>1359</v>
      </c>
      <c r="E67" s="11" t="s">
        <v>2069</v>
      </c>
      <c r="F67" s="11" t="s">
        <v>454</v>
      </c>
      <c r="G67" s="11" t="s">
        <v>454</v>
      </c>
      <c r="H67" s="11" t="n">
        <v>12</v>
      </c>
      <c r="I67" s="11" t="n">
        <v>720</v>
      </c>
      <c r="J67" s="11" t="s">
        <v>2070</v>
      </c>
      <c r="K67" s="11"/>
      <c r="L67" s="11"/>
      <c r="M67" s="11" t="n">
        <v>0</v>
      </c>
      <c r="N67" s="11" t="n">
        <v>0</v>
      </c>
      <c r="O67" s="11" t="n">
        <v>0</v>
      </c>
      <c r="P67" s="11" t="n">
        <v>0</v>
      </c>
      <c r="Q67" s="11" t="s">
        <v>355</v>
      </c>
      <c r="R67" s="11"/>
      <c r="S67" s="11"/>
      <c r="T67" s="11" t="s">
        <v>226</v>
      </c>
      <c r="U67" s="11" t="s">
        <v>226</v>
      </c>
      <c r="V67" s="11"/>
      <c r="W67" s="11"/>
      <c r="X67" s="11" t="n">
        <f aca="false">$M67-$O67+$P67</f>
        <v>0</v>
      </c>
      <c r="Y67" s="11" t="n">
        <f aca="false">IF($M67=0,0,IF($J67="Working",IF($Q67="All",MAX(0,$M67-$I67),0),IF($Q67="None",0,$M67)))</f>
        <v>0</v>
      </c>
      <c r="Z67" s="24" t="str">
        <f aca="false">IF($J67&lt;&gt;"Working",IF($M67&gt;0,$J67&amp;" — worked",$J67),IF($U67="Y","Present",IF($X67&lt;INDEX(08_Attendance_Rules!$C$2:$C$5,MATCH($H67,08_Attendance_Rules!$A$2:$A$5,0)),"Absent",IF($X67&lt;INDEX(08_Attendance_Rules!$B$2:$B$5,MATCH($H67,08_Attendance_Rules!$A$2:$A$5,0)),"Half Day",IF($T67="Y","Half Day","Present")))))</f>
        <v>Weekly Off</v>
      </c>
      <c r="AA67" s="11" t="str">
        <f aca="false">IF($X67=0,"-",INT($X67/60)&amp;":"&amp;TEXT(MOD($X67,60),"00"))</f>
        <v>-</v>
      </c>
      <c r="AB67" s="11" t="str">
        <f aca="false">IF($Y67=0,"-",INT($Y67/60)&amp;":"&amp;TEXT(MOD($Y67,60),"00"))</f>
        <v>-</v>
      </c>
    </row>
    <row r="68" customFormat="false" ht="15" hidden="false" customHeight="true" outlineLevel="0" collapsed="false">
      <c r="A68" s="9" t="s">
        <v>2144</v>
      </c>
      <c r="B68" s="9" t="s">
        <v>583</v>
      </c>
      <c r="C68" s="9" t="s">
        <v>805</v>
      </c>
      <c r="D68" s="9" t="s">
        <v>1332</v>
      </c>
      <c r="E68" s="9" t="s">
        <v>2072</v>
      </c>
      <c r="F68" s="9" t="s">
        <v>454</v>
      </c>
      <c r="G68" s="9" t="s">
        <v>454</v>
      </c>
      <c r="H68" s="9" t="n">
        <v>12</v>
      </c>
      <c r="I68" s="9" t="n">
        <v>720</v>
      </c>
      <c r="J68" s="9" t="s">
        <v>2059</v>
      </c>
      <c r="K68" s="9" t="s">
        <v>1520</v>
      </c>
      <c r="L68" s="9" t="s">
        <v>1522</v>
      </c>
      <c r="M68" s="9" t="n">
        <v>743</v>
      </c>
      <c r="N68" s="9" t="n">
        <v>60</v>
      </c>
      <c r="O68" s="9" t="n">
        <v>0</v>
      </c>
      <c r="P68" s="9" t="n">
        <v>0</v>
      </c>
      <c r="Q68" s="9" t="s">
        <v>355</v>
      </c>
      <c r="R68" s="9"/>
      <c r="S68" s="9"/>
      <c r="T68" s="9" t="s">
        <v>226</v>
      </c>
      <c r="U68" s="9" t="s">
        <v>226</v>
      </c>
      <c r="V68" s="9"/>
      <c r="W68" s="9"/>
      <c r="X68" s="9" t="n">
        <f aca="false">$M68-$O68+$P68</f>
        <v>743</v>
      </c>
      <c r="Y68" s="9" t="n">
        <f aca="false">IF($M68=0,0,IF($J68="Working",IF($Q68="All",MAX(0,$M68-$I68),0),IF($Q68="None",0,$M68)))</f>
        <v>23</v>
      </c>
      <c r="Z68" s="23" t="str">
        <f aca="false">IF($J68&lt;&gt;"Working",IF($M68&gt;0,$J68&amp;" — worked",$J68),IF($U68="Y","Present",IF($X68&lt;INDEX(08_Attendance_Rules!$C$2:$C$5,MATCH($H68,08_Attendance_Rules!$A$2:$A$5,0)),"Absent",IF($X68&lt;INDEX(08_Attendance_Rules!$B$2:$B$5,MATCH($H68,08_Attendance_Rules!$A$2:$A$5,0)),"Half Day",IF($T68="Y","Half Day","Present")))))</f>
        <v>Present</v>
      </c>
      <c r="AA68" s="9" t="str">
        <f aca="false">IF($X68=0,"-",INT($X68/60)&amp;":"&amp;TEXT(MOD($X68,60),"00"))</f>
        <v>12:23</v>
      </c>
      <c r="AB68" s="9" t="str">
        <f aca="false">IF($Y68=0,"-",INT($Y68/60)&amp;":"&amp;TEXT(MOD($Y68,60),"00"))</f>
        <v>0:23</v>
      </c>
    </row>
    <row r="69" customFormat="false" ht="15" hidden="false" customHeight="true" outlineLevel="0" collapsed="false">
      <c r="A69" s="11" t="s">
        <v>2145</v>
      </c>
      <c r="B69" s="11" t="s">
        <v>583</v>
      </c>
      <c r="C69" s="11" t="s">
        <v>805</v>
      </c>
      <c r="D69" s="11" t="s">
        <v>1524</v>
      </c>
      <c r="E69" s="11" t="s">
        <v>2058</v>
      </c>
      <c r="F69" s="11" t="s">
        <v>454</v>
      </c>
      <c r="G69" s="11" t="s">
        <v>454</v>
      </c>
      <c r="H69" s="11" t="n">
        <v>12</v>
      </c>
      <c r="I69" s="11" t="n">
        <v>720</v>
      </c>
      <c r="J69" s="11" t="s">
        <v>2059</v>
      </c>
      <c r="K69" s="11" t="s">
        <v>472</v>
      </c>
      <c r="L69" s="11" t="s">
        <v>1571</v>
      </c>
      <c r="M69" s="11" t="n">
        <v>726</v>
      </c>
      <c r="N69" s="11" t="n">
        <v>60</v>
      </c>
      <c r="O69" s="11" t="n">
        <v>0</v>
      </c>
      <c r="P69" s="11" t="n">
        <v>0</v>
      </c>
      <c r="Q69" s="11" t="s">
        <v>355</v>
      </c>
      <c r="R69" s="11"/>
      <c r="S69" s="11"/>
      <c r="T69" s="11" t="s">
        <v>226</v>
      </c>
      <c r="U69" s="11" t="s">
        <v>226</v>
      </c>
      <c r="V69" s="11"/>
      <c r="W69" s="11"/>
      <c r="X69" s="11" t="n">
        <f aca="false">$M69-$O69+$P69</f>
        <v>726</v>
      </c>
      <c r="Y69" s="11" t="n">
        <f aca="false">IF($M69=0,0,IF($J69="Working",IF($Q69="All",MAX(0,$M69-$I69),0),IF($Q69="None",0,$M69)))</f>
        <v>6</v>
      </c>
      <c r="Z69" s="24" t="str">
        <f aca="false">IF($J69&lt;&gt;"Working",IF($M69&gt;0,$J69&amp;" — worked",$J69),IF($U69="Y","Present",IF($X69&lt;INDEX(08_Attendance_Rules!$C$2:$C$5,MATCH($H69,08_Attendance_Rules!$A$2:$A$5,0)),"Absent",IF($X69&lt;INDEX(08_Attendance_Rules!$B$2:$B$5,MATCH($H69,08_Attendance_Rules!$A$2:$A$5,0)),"Half Day",IF($T69="Y","Half Day","Present")))))</f>
        <v>Present</v>
      </c>
      <c r="AA69" s="11" t="str">
        <f aca="false">IF($X69=0,"-",INT($X69/60)&amp;":"&amp;TEXT(MOD($X69,60),"00"))</f>
        <v>12:06</v>
      </c>
      <c r="AB69" s="11" t="str">
        <f aca="false">IF($Y69=0,"-",INT($Y69/60)&amp;":"&amp;TEXT(MOD($Y69,60),"00"))</f>
        <v>0:06</v>
      </c>
    </row>
    <row r="70" customFormat="false" ht="15" hidden="false" customHeight="true" outlineLevel="0" collapsed="false">
      <c r="A70" s="9" t="s">
        <v>2146</v>
      </c>
      <c r="B70" s="9" t="s">
        <v>583</v>
      </c>
      <c r="C70" s="9" t="s">
        <v>805</v>
      </c>
      <c r="D70" s="9" t="s">
        <v>1377</v>
      </c>
      <c r="E70" s="9" t="s">
        <v>2061</v>
      </c>
      <c r="F70" s="9" t="s">
        <v>454</v>
      </c>
      <c r="G70" s="9" t="s">
        <v>454</v>
      </c>
      <c r="H70" s="9" t="n">
        <v>12</v>
      </c>
      <c r="I70" s="9" t="n">
        <v>720</v>
      </c>
      <c r="J70" s="9" t="s">
        <v>2059</v>
      </c>
      <c r="K70" s="9" t="s">
        <v>1552</v>
      </c>
      <c r="L70" s="9" t="s">
        <v>1574</v>
      </c>
      <c r="M70" s="9" t="n">
        <v>732</v>
      </c>
      <c r="N70" s="9" t="n">
        <v>60</v>
      </c>
      <c r="O70" s="9" t="n">
        <v>0</v>
      </c>
      <c r="P70" s="9" t="n">
        <v>0</v>
      </c>
      <c r="Q70" s="9" t="s">
        <v>355</v>
      </c>
      <c r="R70" s="9"/>
      <c r="S70" s="9"/>
      <c r="T70" s="9" t="s">
        <v>226</v>
      </c>
      <c r="U70" s="9" t="s">
        <v>226</v>
      </c>
      <c r="V70" s="9"/>
      <c r="W70" s="9"/>
      <c r="X70" s="9" t="n">
        <f aca="false">$M70-$O70+$P70</f>
        <v>732</v>
      </c>
      <c r="Y70" s="9" t="n">
        <f aca="false">IF($M70=0,0,IF($J70="Working",IF($Q70="All",MAX(0,$M70-$I70),0),IF($Q70="None",0,$M70)))</f>
        <v>12</v>
      </c>
      <c r="Z70" s="23" t="str">
        <f aca="false">IF($J70&lt;&gt;"Working",IF($M70&gt;0,$J70&amp;" — worked",$J70),IF($U70="Y","Present",IF($X70&lt;INDEX(08_Attendance_Rules!$C$2:$C$5,MATCH($H70,08_Attendance_Rules!$A$2:$A$5,0)),"Absent",IF($X70&lt;INDEX(08_Attendance_Rules!$B$2:$B$5,MATCH($H70,08_Attendance_Rules!$A$2:$A$5,0)),"Half Day",IF($T70="Y","Half Day","Present")))))</f>
        <v>Present</v>
      </c>
      <c r="AA70" s="9" t="str">
        <f aca="false">IF($X70=0,"-",INT($X70/60)&amp;":"&amp;TEXT(MOD($X70,60),"00"))</f>
        <v>12:12</v>
      </c>
      <c r="AB70" s="9" t="str">
        <f aca="false">IF($Y70=0,"-",INT($Y70/60)&amp;":"&amp;TEXT(MOD($Y70,60),"00"))</f>
        <v>0:12</v>
      </c>
    </row>
    <row r="71" customFormat="false" ht="15" hidden="false" customHeight="true" outlineLevel="0" collapsed="false">
      <c r="A71" s="11" t="s">
        <v>2147</v>
      </c>
      <c r="B71" s="11" t="s">
        <v>583</v>
      </c>
      <c r="C71" s="11" t="s">
        <v>805</v>
      </c>
      <c r="D71" s="11" t="s">
        <v>1355</v>
      </c>
      <c r="E71" s="11" t="s">
        <v>2063</v>
      </c>
      <c r="F71" s="11" t="s">
        <v>454</v>
      </c>
      <c r="G71" s="11" t="s">
        <v>454</v>
      </c>
      <c r="H71" s="11" t="n">
        <v>12</v>
      </c>
      <c r="I71" s="11" t="n">
        <v>720</v>
      </c>
      <c r="J71" s="11" t="s">
        <v>2059</v>
      </c>
      <c r="K71" s="11" t="s">
        <v>1537</v>
      </c>
      <c r="L71" s="11" t="s">
        <v>1539</v>
      </c>
      <c r="M71" s="11" t="n">
        <v>731</v>
      </c>
      <c r="N71" s="11" t="n">
        <v>60</v>
      </c>
      <c r="O71" s="11" t="n">
        <v>0</v>
      </c>
      <c r="P71" s="11" t="n">
        <v>0</v>
      </c>
      <c r="Q71" s="11" t="s">
        <v>355</v>
      </c>
      <c r="R71" s="11" t="n">
        <v>1</v>
      </c>
      <c r="S71" s="11"/>
      <c r="T71" s="11" t="s">
        <v>226</v>
      </c>
      <c r="U71" s="11" t="s">
        <v>226</v>
      </c>
      <c r="V71" s="11"/>
      <c r="W71" s="11"/>
      <c r="X71" s="11" t="n">
        <f aca="false">$M71-$O71+$P71</f>
        <v>731</v>
      </c>
      <c r="Y71" s="11" t="n">
        <f aca="false">IF($M71=0,0,IF($J71="Working",IF($Q71="All",MAX(0,$M71-$I71),0),IF($Q71="None",0,$M71)))</f>
        <v>11</v>
      </c>
      <c r="Z71" s="24" t="str">
        <f aca="false">IF($J71&lt;&gt;"Working",IF($M71&gt;0,$J71&amp;" — worked",$J71),IF($U71="Y","Present",IF($X71&lt;INDEX(08_Attendance_Rules!$C$2:$C$5,MATCH($H71,08_Attendance_Rules!$A$2:$A$5,0)),"Absent",IF($X71&lt;INDEX(08_Attendance_Rules!$B$2:$B$5,MATCH($H71,08_Attendance_Rules!$A$2:$A$5,0)),"Half Day",IF($T71="Y","Half Day","Present")))))</f>
        <v>Present</v>
      </c>
      <c r="AA71" s="11" t="str">
        <f aca="false">IF($X71=0,"-",INT($X71/60)&amp;":"&amp;TEXT(MOD($X71,60),"00"))</f>
        <v>12:11</v>
      </c>
      <c r="AB71" s="11" t="str">
        <f aca="false">IF($Y71=0,"-",INT($Y71/60)&amp;":"&amp;TEXT(MOD($Y71,60),"00"))</f>
        <v>0:11</v>
      </c>
    </row>
    <row r="72" customFormat="false" ht="15" hidden="false" customHeight="true" outlineLevel="0" collapsed="false">
      <c r="A72" s="9" t="s">
        <v>2148</v>
      </c>
      <c r="B72" s="9" t="s">
        <v>583</v>
      </c>
      <c r="C72" s="9" t="s">
        <v>805</v>
      </c>
      <c r="D72" s="9" t="s">
        <v>1459</v>
      </c>
      <c r="E72" s="9" t="s">
        <v>2065</v>
      </c>
      <c r="F72" s="9" t="s">
        <v>454</v>
      </c>
      <c r="G72" s="9" t="s">
        <v>454</v>
      </c>
      <c r="H72" s="9" t="n">
        <v>12</v>
      </c>
      <c r="I72" s="9" t="n">
        <v>720</v>
      </c>
      <c r="J72" s="9" t="s">
        <v>2059</v>
      </c>
      <c r="K72" s="9" t="s">
        <v>1669</v>
      </c>
      <c r="L72" s="9" t="s">
        <v>1518</v>
      </c>
      <c r="M72" s="9" t="n">
        <v>722</v>
      </c>
      <c r="N72" s="9" t="n">
        <v>0</v>
      </c>
      <c r="O72" s="9" t="n">
        <v>120</v>
      </c>
      <c r="P72" s="9" t="n">
        <v>120</v>
      </c>
      <c r="Q72" s="9" t="s">
        <v>355</v>
      </c>
      <c r="R72" s="9" t="n">
        <v>6</v>
      </c>
      <c r="S72" s="9"/>
      <c r="T72" s="9" t="s">
        <v>226</v>
      </c>
      <c r="U72" s="9" t="s">
        <v>226</v>
      </c>
      <c r="V72" s="9" t="s">
        <v>2149</v>
      </c>
      <c r="W72" s="9"/>
      <c r="X72" s="9" t="n">
        <f aca="false">$M72-$O72+$P72</f>
        <v>722</v>
      </c>
      <c r="Y72" s="9" t="n">
        <f aca="false">IF($M72=0,0,IF($J72="Working",IF($Q72="All",MAX(0,$M72-$I72),0),IF($Q72="None",0,$M72)))</f>
        <v>2</v>
      </c>
      <c r="Z72" s="23" t="str">
        <f aca="false">IF($J72&lt;&gt;"Working",IF($M72&gt;0,$J72&amp;" — worked",$J72),IF($U72="Y","Present",IF($X72&lt;INDEX(08_Attendance_Rules!$C$2:$C$5,MATCH($H72,08_Attendance_Rules!$A$2:$A$5,0)),"Absent",IF($X72&lt;INDEX(08_Attendance_Rules!$B$2:$B$5,MATCH($H72,08_Attendance_Rules!$A$2:$A$5,0)),"Half Day",IF($T72="Y","Half Day","Present")))))</f>
        <v>Present</v>
      </c>
      <c r="AA72" s="9" t="str">
        <f aca="false">IF($X72=0,"-",INT($X72/60)&amp;":"&amp;TEXT(MOD($X72,60),"00"))</f>
        <v>12:02</v>
      </c>
      <c r="AB72" s="9" t="str">
        <f aca="false">IF($Y72=0,"-",INT($Y72/60)&amp;":"&amp;TEXT(MOD($Y72,60),"00"))</f>
        <v>0:02</v>
      </c>
    </row>
    <row r="73" customFormat="false" ht="15" hidden="false" customHeight="true" outlineLevel="0" collapsed="false">
      <c r="A73" s="11" t="s">
        <v>2150</v>
      </c>
      <c r="B73" s="11" t="s">
        <v>583</v>
      </c>
      <c r="C73" s="11" t="s">
        <v>805</v>
      </c>
      <c r="D73" s="11" t="s">
        <v>1545</v>
      </c>
      <c r="E73" s="11" t="s">
        <v>2067</v>
      </c>
      <c r="F73" s="11" t="s">
        <v>454</v>
      </c>
      <c r="G73" s="11" t="s">
        <v>454</v>
      </c>
      <c r="H73" s="11" t="n">
        <v>12</v>
      </c>
      <c r="I73" s="11" t="n">
        <v>720</v>
      </c>
      <c r="J73" s="11" t="s">
        <v>2059</v>
      </c>
      <c r="K73" s="11" t="s">
        <v>1546</v>
      </c>
      <c r="L73" s="11" t="s">
        <v>1548</v>
      </c>
      <c r="M73" s="11" t="n">
        <v>737</v>
      </c>
      <c r="N73" s="11" t="n">
        <v>60</v>
      </c>
      <c r="O73" s="11" t="n">
        <v>0</v>
      </c>
      <c r="P73" s="11" t="n">
        <v>0</v>
      </c>
      <c r="Q73" s="11" t="s">
        <v>355</v>
      </c>
      <c r="R73" s="11" t="n">
        <v>2</v>
      </c>
      <c r="S73" s="11"/>
      <c r="T73" s="11" t="s">
        <v>226</v>
      </c>
      <c r="U73" s="11" t="s">
        <v>226</v>
      </c>
      <c r="V73" s="11"/>
      <c r="W73" s="11"/>
      <c r="X73" s="11" t="n">
        <f aca="false">$M73-$O73+$P73</f>
        <v>737</v>
      </c>
      <c r="Y73" s="11" t="n">
        <f aca="false">IF($M73=0,0,IF($J73="Working",IF($Q73="All",MAX(0,$M73-$I73),0),IF($Q73="None",0,$M73)))</f>
        <v>17</v>
      </c>
      <c r="Z73" s="24" t="str">
        <f aca="false">IF($J73&lt;&gt;"Working",IF($M73&gt;0,$J73&amp;" — worked",$J73),IF($U73="Y","Present",IF($X73&lt;INDEX(08_Attendance_Rules!$C$2:$C$5,MATCH($H73,08_Attendance_Rules!$A$2:$A$5,0)),"Absent",IF($X73&lt;INDEX(08_Attendance_Rules!$B$2:$B$5,MATCH($H73,08_Attendance_Rules!$A$2:$A$5,0)),"Half Day",IF($T73="Y","Half Day","Present")))))</f>
        <v>Present</v>
      </c>
      <c r="AA73" s="11" t="str">
        <f aca="false">IF($X73=0,"-",INT($X73/60)&amp;":"&amp;TEXT(MOD($X73,60),"00"))</f>
        <v>12:17</v>
      </c>
      <c r="AB73" s="11" t="str">
        <f aca="false">IF($Y73=0,"-",INT($Y73/60)&amp;":"&amp;TEXT(MOD($Y73,60),"00"))</f>
        <v>0:17</v>
      </c>
    </row>
    <row r="74" customFormat="false" ht="15" hidden="false" customHeight="true" outlineLevel="0" collapsed="false">
      <c r="A74" s="9" t="s">
        <v>2151</v>
      </c>
      <c r="B74" s="9" t="s">
        <v>583</v>
      </c>
      <c r="C74" s="9" t="s">
        <v>805</v>
      </c>
      <c r="D74" s="9" t="s">
        <v>1409</v>
      </c>
      <c r="E74" s="9" t="s">
        <v>2069</v>
      </c>
      <c r="F74" s="9" t="s">
        <v>454</v>
      </c>
      <c r="G74" s="9" t="s">
        <v>454</v>
      </c>
      <c r="H74" s="9" t="n">
        <v>12</v>
      </c>
      <c r="I74" s="9" t="n">
        <v>720</v>
      </c>
      <c r="J74" s="9" t="s">
        <v>2070</v>
      </c>
      <c r="K74" s="9"/>
      <c r="L74" s="9"/>
      <c r="M74" s="9" t="n">
        <v>0</v>
      </c>
      <c r="N74" s="9" t="n">
        <v>0</v>
      </c>
      <c r="O74" s="9" t="n">
        <v>0</v>
      </c>
      <c r="P74" s="9" t="n">
        <v>0</v>
      </c>
      <c r="Q74" s="9" t="s">
        <v>355</v>
      </c>
      <c r="R74" s="9"/>
      <c r="S74" s="9"/>
      <c r="T74" s="9" t="s">
        <v>226</v>
      </c>
      <c r="U74" s="9" t="s">
        <v>226</v>
      </c>
      <c r="V74" s="9"/>
      <c r="W74" s="9"/>
      <c r="X74" s="9" t="n">
        <f aca="false">$M74-$O74+$P74</f>
        <v>0</v>
      </c>
      <c r="Y74" s="9" t="n">
        <f aca="false">IF($M74=0,0,IF($J74="Working",IF($Q74="All",MAX(0,$M74-$I74),0),IF($Q74="None",0,$M74)))</f>
        <v>0</v>
      </c>
      <c r="Z74" s="23" t="str">
        <f aca="false">IF($J74&lt;&gt;"Working",IF($M74&gt;0,$J74&amp;" — worked",$J74),IF($U74="Y","Present",IF($X74&lt;INDEX(08_Attendance_Rules!$C$2:$C$5,MATCH($H74,08_Attendance_Rules!$A$2:$A$5,0)),"Absent",IF($X74&lt;INDEX(08_Attendance_Rules!$B$2:$B$5,MATCH($H74,08_Attendance_Rules!$A$2:$A$5,0)),"Half Day",IF($T74="Y","Half Day","Present")))))</f>
        <v>Weekly Off</v>
      </c>
      <c r="AA74" s="9" t="str">
        <f aca="false">IF($X74=0,"-",INT($X74/60)&amp;":"&amp;TEXT(MOD($X74,60),"00"))</f>
        <v>-</v>
      </c>
      <c r="AB74" s="9" t="str">
        <f aca="false">IF($Y74=0,"-",INT($Y74/60)&amp;":"&amp;TEXT(MOD($Y74,60),"00"))</f>
        <v>-</v>
      </c>
    </row>
    <row r="75" customFormat="false" ht="15" hidden="false" customHeight="true" outlineLevel="0" collapsed="false">
      <c r="A75" s="11" t="s">
        <v>2152</v>
      </c>
      <c r="B75" s="11" t="s">
        <v>583</v>
      </c>
      <c r="C75" s="11" t="s">
        <v>805</v>
      </c>
      <c r="D75" s="11" t="s">
        <v>1337</v>
      </c>
      <c r="E75" s="11" t="s">
        <v>2072</v>
      </c>
      <c r="F75" s="11" t="s">
        <v>454</v>
      </c>
      <c r="G75" s="11" t="s">
        <v>454</v>
      </c>
      <c r="H75" s="11" t="n">
        <v>12</v>
      </c>
      <c r="I75" s="11" t="n">
        <v>720</v>
      </c>
      <c r="J75" s="11" t="s">
        <v>2059</v>
      </c>
      <c r="K75" s="11" t="s">
        <v>457</v>
      </c>
      <c r="L75" s="11" t="s">
        <v>1535</v>
      </c>
      <c r="M75" s="11" t="n">
        <v>730</v>
      </c>
      <c r="N75" s="11" t="n">
        <v>60</v>
      </c>
      <c r="O75" s="11" t="n">
        <v>0</v>
      </c>
      <c r="P75" s="11" t="n">
        <v>0</v>
      </c>
      <c r="Q75" s="11" t="s">
        <v>355</v>
      </c>
      <c r="R75" s="11"/>
      <c r="S75" s="11"/>
      <c r="T75" s="11" t="s">
        <v>226</v>
      </c>
      <c r="U75" s="11" t="s">
        <v>226</v>
      </c>
      <c r="V75" s="11"/>
      <c r="W75" s="11"/>
      <c r="X75" s="11" t="n">
        <f aca="false">$M75-$O75+$P75</f>
        <v>730</v>
      </c>
      <c r="Y75" s="11" t="n">
        <f aca="false">IF($M75=0,0,IF($J75="Working",IF($Q75="All",MAX(0,$M75-$I75),0),IF($Q75="None",0,$M75)))</f>
        <v>10</v>
      </c>
      <c r="Z75" s="24" t="str">
        <f aca="false">IF($J75&lt;&gt;"Working",IF($M75&gt;0,$J75&amp;" — worked",$J75),IF($U75="Y","Present",IF($X75&lt;INDEX(08_Attendance_Rules!$C$2:$C$5,MATCH($H75,08_Attendance_Rules!$A$2:$A$5,0)),"Absent",IF($X75&lt;INDEX(08_Attendance_Rules!$B$2:$B$5,MATCH($H75,08_Attendance_Rules!$A$2:$A$5,0)),"Half Day",IF($T75="Y","Half Day","Present")))))</f>
        <v>Present</v>
      </c>
      <c r="AA75" s="11" t="str">
        <f aca="false">IF($X75=0,"-",INT($X75/60)&amp;":"&amp;TEXT(MOD($X75,60),"00"))</f>
        <v>12:10</v>
      </c>
      <c r="AB75" s="11" t="str">
        <f aca="false">IF($Y75=0,"-",INT($Y75/60)&amp;":"&amp;TEXT(MOD($Y75,60),"00"))</f>
        <v>0:10</v>
      </c>
    </row>
    <row r="76" customFormat="false" ht="15" hidden="false" customHeight="true" outlineLevel="0" collapsed="false">
      <c r="A76" s="9" t="s">
        <v>2153</v>
      </c>
      <c r="B76" s="9" t="s">
        <v>583</v>
      </c>
      <c r="C76" s="9" t="s">
        <v>805</v>
      </c>
      <c r="D76" s="9" t="s">
        <v>531</v>
      </c>
      <c r="E76" s="9" t="s">
        <v>2058</v>
      </c>
      <c r="F76" s="9" t="s">
        <v>454</v>
      </c>
      <c r="G76" s="9" t="s">
        <v>454</v>
      </c>
      <c r="H76" s="9" t="n">
        <v>12</v>
      </c>
      <c r="I76" s="9" t="n">
        <v>720</v>
      </c>
      <c r="J76" s="9" t="s">
        <v>2059</v>
      </c>
      <c r="K76" s="9" t="s">
        <v>1552</v>
      </c>
      <c r="L76" s="9" t="s">
        <v>1498</v>
      </c>
      <c r="M76" s="9" t="n">
        <v>729</v>
      </c>
      <c r="N76" s="9" t="n">
        <v>60</v>
      </c>
      <c r="O76" s="9" t="n">
        <v>0</v>
      </c>
      <c r="P76" s="9" t="n">
        <v>0</v>
      </c>
      <c r="Q76" s="9" t="s">
        <v>355</v>
      </c>
      <c r="R76" s="9"/>
      <c r="S76" s="9"/>
      <c r="T76" s="9" t="s">
        <v>226</v>
      </c>
      <c r="U76" s="9" t="s">
        <v>226</v>
      </c>
      <c r="V76" s="9"/>
      <c r="W76" s="9"/>
      <c r="X76" s="9" t="n">
        <f aca="false">$M76-$O76+$P76</f>
        <v>729</v>
      </c>
      <c r="Y76" s="9" t="n">
        <f aca="false">IF($M76=0,0,IF($J76="Working",IF($Q76="All",MAX(0,$M76-$I76),0),IF($Q76="None",0,$M76)))</f>
        <v>9</v>
      </c>
      <c r="Z76" s="23" t="str">
        <f aca="false">IF($J76&lt;&gt;"Working",IF($M76&gt;0,$J76&amp;" — worked",$J76),IF($U76="Y","Present",IF($X76&lt;INDEX(08_Attendance_Rules!$C$2:$C$5,MATCH($H76,08_Attendance_Rules!$A$2:$A$5,0)),"Absent",IF($X76&lt;INDEX(08_Attendance_Rules!$B$2:$B$5,MATCH($H76,08_Attendance_Rules!$A$2:$A$5,0)),"Half Day",IF($T76="Y","Half Day","Present")))))</f>
        <v>Present</v>
      </c>
      <c r="AA76" s="9" t="str">
        <f aca="false">IF($X76=0,"-",INT($X76/60)&amp;":"&amp;TEXT(MOD($X76,60),"00"))</f>
        <v>12:09</v>
      </c>
      <c r="AB76" s="9" t="str">
        <f aca="false">IF($Y76=0,"-",INT($Y76/60)&amp;":"&amp;TEXT(MOD($Y76,60),"00"))</f>
        <v>0:09</v>
      </c>
    </row>
    <row r="77" customFormat="false" ht="15" hidden="false" customHeight="true" outlineLevel="0" collapsed="false">
      <c r="A77" s="11" t="s">
        <v>2154</v>
      </c>
      <c r="B77" s="11" t="s">
        <v>586</v>
      </c>
      <c r="C77" s="11" t="s">
        <v>826</v>
      </c>
      <c r="D77" s="11" t="s">
        <v>1151</v>
      </c>
      <c r="E77" s="11" t="s">
        <v>2058</v>
      </c>
      <c r="F77" s="11" t="s">
        <v>462</v>
      </c>
      <c r="G77" s="11" t="s">
        <v>462</v>
      </c>
      <c r="H77" s="11" t="n">
        <v>12</v>
      </c>
      <c r="I77" s="11" t="n">
        <v>720</v>
      </c>
      <c r="J77" s="11" t="s">
        <v>2059</v>
      </c>
      <c r="K77" s="11" t="s">
        <v>1681</v>
      </c>
      <c r="L77" s="11" t="s">
        <v>1669</v>
      </c>
      <c r="M77" s="11" t="n">
        <v>731</v>
      </c>
      <c r="N77" s="11" t="n">
        <v>60</v>
      </c>
      <c r="O77" s="11" t="n">
        <v>0</v>
      </c>
      <c r="P77" s="11" t="n">
        <v>0</v>
      </c>
      <c r="Q77" s="11" t="s">
        <v>355</v>
      </c>
      <c r="R77" s="11"/>
      <c r="S77" s="11"/>
      <c r="T77" s="11" t="s">
        <v>226</v>
      </c>
      <c r="U77" s="11" t="s">
        <v>226</v>
      </c>
      <c r="V77" s="11"/>
      <c r="W77" s="11"/>
      <c r="X77" s="11" t="n">
        <f aca="false">$M77-$O77+$P77</f>
        <v>731</v>
      </c>
      <c r="Y77" s="11" t="n">
        <f aca="false">IF($M77=0,0,IF($J77="Working",IF($Q77="All",MAX(0,$M77-$I77),0),IF($Q77="None",0,$M77)))</f>
        <v>11</v>
      </c>
      <c r="Z77" s="24" t="str">
        <f aca="false">IF($J77&lt;&gt;"Working",IF($M77&gt;0,$J77&amp;" — worked",$J77),IF($U77="Y","Present",IF($X77&lt;INDEX(08_Attendance_Rules!$C$2:$C$5,MATCH($H77,08_Attendance_Rules!$A$2:$A$5,0)),"Absent",IF($X77&lt;INDEX(08_Attendance_Rules!$B$2:$B$5,MATCH($H77,08_Attendance_Rules!$A$2:$A$5,0)),"Half Day",IF($T77="Y","Half Day","Present")))))</f>
        <v>Present</v>
      </c>
      <c r="AA77" s="11" t="str">
        <f aca="false">IF($X77=0,"-",INT($X77/60)&amp;":"&amp;TEXT(MOD($X77,60),"00"))</f>
        <v>12:11</v>
      </c>
      <c r="AB77" s="11" t="str">
        <f aca="false">IF($Y77=0,"-",INT($Y77/60)&amp;":"&amp;TEXT(MOD($Y77,60),"00"))</f>
        <v>0:11</v>
      </c>
    </row>
    <row r="78" customFormat="false" ht="15" hidden="false" customHeight="true" outlineLevel="0" collapsed="false">
      <c r="A78" s="9" t="s">
        <v>2155</v>
      </c>
      <c r="B78" s="9" t="s">
        <v>586</v>
      </c>
      <c r="C78" s="9" t="s">
        <v>826</v>
      </c>
      <c r="D78" s="9" t="s">
        <v>593</v>
      </c>
      <c r="E78" s="9" t="s">
        <v>2061</v>
      </c>
      <c r="F78" s="9" t="s">
        <v>462</v>
      </c>
      <c r="G78" s="9" t="s">
        <v>462</v>
      </c>
      <c r="H78" s="9" t="n">
        <v>12</v>
      </c>
      <c r="I78" s="9" t="n">
        <v>720</v>
      </c>
      <c r="J78" s="9" t="s">
        <v>2059</v>
      </c>
      <c r="K78" s="9" t="s">
        <v>1607</v>
      </c>
      <c r="L78" s="9" t="s">
        <v>1685</v>
      </c>
      <c r="M78" s="9" t="n">
        <v>733</v>
      </c>
      <c r="N78" s="9" t="n">
        <v>60</v>
      </c>
      <c r="O78" s="9" t="n">
        <v>0</v>
      </c>
      <c r="P78" s="9" t="n">
        <v>0</v>
      </c>
      <c r="Q78" s="9" t="s">
        <v>355</v>
      </c>
      <c r="R78" s="9"/>
      <c r="S78" s="9"/>
      <c r="T78" s="9" t="s">
        <v>226</v>
      </c>
      <c r="U78" s="9" t="s">
        <v>226</v>
      </c>
      <c r="V78" s="9"/>
      <c r="W78" s="9"/>
      <c r="X78" s="9" t="n">
        <f aca="false">$M78-$O78+$P78</f>
        <v>733</v>
      </c>
      <c r="Y78" s="9" t="n">
        <f aca="false">IF($M78=0,0,IF($J78="Working",IF($Q78="All",MAX(0,$M78-$I78),0),IF($Q78="None",0,$M78)))</f>
        <v>13</v>
      </c>
      <c r="Z78" s="23" t="str">
        <f aca="false">IF($J78&lt;&gt;"Working",IF($M78&gt;0,$J78&amp;" — worked",$J78),IF($U78="Y","Present",IF($X78&lt;INDEX(08_Attendance_Rules!$C$2:$C$5,MATCH($H78,08_Attendance_Rules!$A$2:$A$5,0)),"Absent",IF($X78&lt;INDEX(08_Attendance_Rules!$B$2:$B$5,MATCH($H78,08_Attendance_Rules!$A$2:$A$5,0)),"Half Day",IF($T78="Y","Half Day","Present")))))</f>
        <v>Present</v>
      </c>
      <c r="AA78" s="9" t="str">
        <f aca="false">IF($X78=0,"-",INT($X78/60)&amp;":"&amp;TEXT(MOD($X78,60),"00"))</f>
        <v>12:13</v>
      </c>
      <c r="AB78" s="9" t="str">
        <f aca="false">IF($Y78=0,"-",INT($Y78/60)&amp;":"&amp;TEXT(MOD($Y78,60),"00"))</f>
        <v>0:13</v>
      </c>
    </row>
    <row r="79" customFormat="false" ht="15" hidden="false" customHeight="true" outlineLevel="0" collapsed="false">
      <c r="A79" s="11" t="s">
        <v>2156</v>
      </c>
      <c r="B79" s="11" t="s">
        <v>586</v>
      </c>
      <c r="C79" s="11" t="s">
        <v>826</v>
      </c>
      <c r="D79" s="11" t="s">
        <v>1505</v>
      </c>
      <c r="E79" s="11" t="s">
        <v>2063</v>
      </c>
      <c r="F79" s="11" t="s">
        <v>462</v>
      </c>
      <c r="G79" s="11" t="s">
        <v>462</v>
      </c>
      <c r="H79" s="11" t="n">
        <v>12</v>
      </c>
      <c r="I79" s="11" t="n">
        <v>720</v>
      </c>
      <c r="J79" s="11" t="s">
        <v>2059</v>
      </c>
      <c r="K79" s="11" t="s">
        <v>1687</v>
      </c>
      <c r="L79" s="11" t="s">
        <v>1689</v>
      </c>
      <c r="M79" s="11" t="n">
        <v>730</v>
      </c>
      <c r="N79" s="11" t="n">
        <v>60</v>
      </c>
      <c r="O79" s="11" t="n">
        <v>0</v>
      </c>
      <c r="P79" s="11" t="n">
        <v>0</v>
      </c>
      <c r="Q79" s="11" t="s">
        <v>355</v>
      </c>
      <c r="R79" s="11"/>
      <c r="S79" s="11"/>
      <c r="T79" s="11" t="s">
        <v>226</v>
      </c>
      <c r="U79" s="11" t="s">
        <v>226</v>
      </c>
      <c r="V79" s="11"/>
      <c r="W79" s="11"/>
      <c r="X79" s="11" t="n">
        <f aca="false">$M79-$O79+$P79</f>
        <v>730</v>
      </c>
      <c r="Y79" s="11" t="n">
        <f aca="false">IF($M79=0,0,IF($J79="Working",IF($Q79="All",MAX(0,$M79-$I79),0),IF($Q79="None",0,$M79)))</f>
        <v>10</v>
      </c>
      <c r="Z79" s="24" t="str">
        <f aca="false">IF($J79&lt;&gt;"Working",IF($M79&gt;0,$J79&amp;" — worked",$J79),IF($U79="Y","Present",IF($X79&lt;INDEX(08_Attendance_Rules!$C$2:$C$5,MATCH($H79,08_Attendance_Rules!$A$2:$A$5,0)),"Absent",IF($X79&lt;INDEX(08_Attendance_Rules!$B$2:$B$5,MATCH($H79,08_Attendance_Rules!$A$2:$A$5,0)),"Half Day",IF($T79="Y","Half Day","Present")))))</f>
        <v>Present</v>
      </c>
      <c r="AA79" s="11" t="str">
        <f aca="false">IF($X79=0,"-",INT($X79/60)&amp;":"&amp;TEXT(MOD($X79,60),"00"))</f>
        <v>12:10</v>
      </c>
      <c r="AB79" s="11" t="str">
        <f aca="false">IF($Y79=0,"-",INT($Y79/60)&amp;":"&amp;TEXT(MOD($Y79,60),"00"))</f>
        <v>0:10</v>
      </c>
    </row>
    <row r="80" customFormat="false" ht="15" hidden="false" customHeight="true" outlineLevel="0" collapsed="false">
      <c r="A80" s="9" t="s">
        <v>2157</v>
      </c>
      <c r="B80" s="9" t="s">
        <v>586</v>
      </c>
      <c r="C80" s="9" t="s">
        <v>826</v>
      </c>
      <c r="D80" s="9" t="s">
        <v>1511</v>
      </c>
      <c r="E80" s="9" t="s">
        <v>2065</v>
      </c>
      <c r="F80" s="9" t="s">
        <v>462</v>
      </c>
      <c r="G80" s="9" t="s">
        <v>462</v>
      </c>
      <c r="H80" s="9" t="n">
        <v>12</v>
      </c>
      <c r="I80" s="9" t="n">
        <v>720</v>
      </c>
      <c r="J80" s="9" t="s">
        <v>2059</v>
      </c>
      <c r="K80" s="9" t="s">
        <v>458</v>
      </c>
      <c r="L80" s="9" t="s">
        <v>1692</v>
      </c>
      <c r="M80" s="9" t="n">
        <v>734</v>
      </c>
      <c r="N80" s="9" t="n">
        <v>60</v>
      </c>
      <c r="O80" s="9" t="n">
        <v>0</v>
      </c>
      <c r="P80" s="9" t="n">
        <v>0</v>
      </c>
      <c r="Q80" s="9" t="s">
        <v>355</v>
      </c>
      <c r="R80" s="9"/>
      <c r="S80" s="9"/>
      <c r="T80" s="9" t="s">
        <v>226</v>
      </c>
      <c r="U80" s="9" t="s">
        <v>226</v>
      </c>
      <c r="V80" s="9"/>
      <c r="W80" s="9"/>
      <c r="X80" s="9" t="n">
        <f aca="false">$M80-$O80+$P80</f>
        <v>734</v>
      </c>
      <c r="Y80" s="9" t="n">
        <f aca="false">IF($M80=0,0,IF($J80="Working",IF($Q80="All",MAX(0,$M80-$I80),0),IF($Q80="None",0,$M80)))</f>
        <v>14</v>
      </c>
      <c r="Z80" s="23" t="str">
        <f aca="false">IF($J80&lt;&gt;"Working",IF($M80&gt;0,$J80&amp;" — worked",$J80),IF($U80="Y","Present",IF($X80&lt;INDEX(08_Attendance_Rules!$C$2:$C$5,MATCH($H80,08_Attendance_Rules!$A$2:$A$5,0)),"Absent",IF($X80&lt;INDEX(08_Attendance_Rules!$B$2:$B$5,MATCH($H80,08_Attendance_Rules!$A$2:$A$5,0)),"Half Day",IF($T80="Y","Half Day","Present")))))</f>
        <v>Present</v>
      </c>
      <c r="AA80" s="9" t="str">
        <f aca="false">IF($X80=0,"-",INT($X80/60)&amp;":"&amp;TEXT(MOD($X80,60),"00"))</f>
        <v>12:14</v>
      </c>
      <c r="AB80" s="9" t="str">
        <f aca="false">IF($Y80=0,"-",INT($Y80/60)&amp;":"&amp;TEXT(MOD($Y80,60),"00"))</f>
        <v>0:14</v>
      </c>
    </row>
    <row r="81" customFormat="false" ht="15" hidden="false" customHeight="true" outlineLevel="0" collapsed="false">
      <c r="A81" s="11" t="s">
        <v>2158</v>
      </c>
      <c r="B81" s="11" t="s">
        <v>586</v>
      </c>
      <c r="C81" s="11" t="s">
        <v>826</v>
      </c>
      <c r="D81" s="11" t="s">
        <v>1515</v>
      </c>
      <c r="E81" s="11" t="s">
        <v>2067</v>
      </c>
      <c r="F81" s="11" t="s">
        <v>462</v>
      </c>
      <c r="G81" s="11" t="s">
        <v>462</v>
      </c>
      <c r="H81" s="11" t="n">
        <v>12</v>
      </c>
      <c r="I81" s="11" t="n">
        <v>720</v>
      </c>
      <c r="J81" s="11" t="s">
        <v>2059</v>
      </c>
      <c r="K81" s="11" t="s">
        <v>1694</v>
      </c>
      <c r="L81" s="11" t="s">
        <v>1696</v>
      </c>
      <c r="M81" s="11" t="n">
        <v>732</v>
      </c>
      <c r="N81" s="11" t="n">
        <v>60</v>
      </c>
      <c r="O81" s="11" t="n">
        <v>0</v>
      </c>
      <c r="P81" s="11" t="n">
        <v>0</v>
      </c>
      <c r="Q81" s="11" t="s">
        <v>355</v>
      </c>
      <c r="R81" s="11"/>
      <c r="S81" s="11"/>
      <c r="T81" s="11" t="s">
        <v>226</v>
      </c>
      <c r="U81" s="11" t="s">
        <v>226</v>
      </c>
      <c r="V81" s="11"/>
      <c r="W81" s="11"/>
      <c r="X81" s="11" t="n">
        <f aca="false">$M81-$O81+$P81</f>
        <v>732</v>
      </c>
      <c r="Y81" s="11" t="n">
        <f aca="false">IF($M81=0,0,IF($J81="Working",IF($Q81="All",MAX(0,$M81-$I81),0),IF($Q81="None",0,$M81)))</f>
        <v>12</v>
      </c>
      <c r="Z81" s="24" t="str">
        <f aca="false">IF($J81&lt;&gt;"Working",IF($M81&gt;0,$J81&amp;" — worked",$J81),IF($U81="Y","Present",IF($X81&lt;INDEX(08_Attendance_Rules!$C$2:$C$5,MATCH($H81,08_Attendance_Rules!$A$2:$A$5,0)),"Absent",IF($X81&lt;INDEX(08_Attendance_Rules!$B$2:$B$5,MATCH($H81,08_Attendance_Rules!$A$2:$A$5,0)),"Half Day",IF($T81="Y","Half Day","Present")))))</f>
        <v>Present</v>
      </c>
      <c r="AA81" s="11" t="str">
        <f aca="false">IF($X81=0,"-",INT($X81/60)&amp;":"&amp;TEXT(MOD($X81,60),"00"))</f>
        <v>12:12</v>
      </c>
      <c r="AB81" s="11" t="str">
        <f aca="false">IF($Y81=0,"-",INT($Y81/60)&amp;":"&amp;TEXT(MOD($Y81,60),"00"))</f>
        <v>0:12</v>
      </c>
    </row>
    <row r="82" customFormat="false" ht="15" hidden="false" customHeight="true" outlineLevel="0" collapsed="false">
      <c r="A82" s="9" t="s">
        <v>2159</v>
      </c>
      <c r="B82" s="9" t="s">
        <v>586</v>
      </c>
      <c r="C82" s="9" t="s">
        <v>826</v>
      </c>
      <c r="D82" s="9" t="s">
        <v>1359</v>
      </c>
      <c r="E82" s="9" t="s">
        <v>2069</v>
      </c>
      <c r="F82" s="9" t="s">
        <v>462</v>
      </c>
      <c r="G82" s="9" t="s">
        <v>462</v>
      </c>
      <c r="H82" s="9" t="n">
        <v>12</v>
      </c>
      <c r="I82" s="9" t="n">
        <v>720</v>
      </c>
      <c r="J82" s="9" t="s">
        <v>2070</v>
      </c>
      <c r="K82" s="9"/>
      <c r="L82" s="9"/>
      <c r="M82" s="9" t="n">
        <v>0</v>
      </c>
      <c r="N82" s="9" t="n">
        <v>0</v>
      </c>
      <c r="O82" s="9" t="n">
        <v>0</v>
      </c>
      <c r="P82" s="9" t="n">
        <v>0</v>
      </c>
      <c r="Q82" s="9" t="s">
        <v>355</v>
      </c>
      <c r="R82" s="9"/>
      <c r="S82" s="9"/>
      <c r="T82" s="9" t="s">
        <v>226</v>
      </c>
      <c r="U82" s="9" t="s">
        <v>226</v>
      </c>
      <c r="V82" s="9"/>
      <c r="W82" s="9"/>
      <c r="X82" s="9" t="n">
        <f aca="false">$M82-$O82+$P82</f>
        <v>0</v>
      </c>
      <c r="Y82" s="9" t="n">
        <f aca="false">IF($M82=0,0,IF($J82="Working",IF($Q82="All",MAX(0,$M82-$I82),0),IF($Q82="None",0,$M82)))</f>
        <v>0</v>
      </c>
      <c r="Z82" s="23" t="str">
        <f aca="false">IF($J82&lt;&gt;"Working",IF($M82&gt;0,$J82&amp;" — worked",$J82),IF($U82="Y","Present",IF($X82&lt;INDEX(08_Attendance_Rules!$C$2:$C$5,MATCH($H82,08_Attendance_Rules!$A$2:$A$5,0)),"Absent",IF($X82&lt;INDEX(08_Attendance_Rules!$B$2:$B$5,MATCH($H82,08_Attendance_Rules!$A$2:$A$5,0)),"Half Day",IF($T82="Y","Half Day","Present")))))</f>
        <v>Weekly Off</v>
      </c>
      <c r="AA82" s="9" t="str">
        <f aca="false">IF($X82=0,"-",INT($X82/60)&amp;":"&amp;TEXT(MOD($X82,60),"00"))</f>
        <v>-</v>
      </c>
      <c r="AB82" s="9" t="str">
        <f aca="false">IF($Y82=0,"-",INT($Y82/60)&amp;":"&amp;TEXT(MOD($Y82,60),"00"))</f>
        <v>-</v>
      </c>
    </row>
    <row r="83" customFormat="false" ht="15" hidden="false" customHeight="true" outlineLevel="0" collapsed="false">
      <c r="A83" s="11" t="s">
        <v>2160</v>
      </c>
      <c r="B83" s="11" t="s">
        <v>586</v>
      </c>
      <c r="C83" s="11" t="s">
        <v>826</v>
      </c>
      <c r="D83" s="11" t="s">
        <v>1332</v>
      </c>
      <c r="E83" s="11" t="s">
        <v>2072</v>
      </c>
      <c r="F83" s="11" t="s">
        <v>462</v>
      </c>
      <c r="G83" s="11" t="s">
        <v>462</v>
      </c>
      <c r="H83" s="11" t="n">
        <v>12</v>
      </c>
      <c r="I83" s="11" t="n">
        <v>720</v>
      </c>
      <c r="J83" s="11" t="s">
        <v>2059</v>
      </c>
      <c r="K83" s="11" t="s">
        <v>1698</v>
      </c>
      <c r="L83" s="11" t="s">
        <v>1700</v>
      </c>
      <c r="M83" s="11" t="n">
        <v>743</v>
      </c>
      <c r="N83" s="11" t="n">
        <v>60</v>
      </c>
      <c r="O83" s="11" t="n">
        <v>0</v>
      </c>
      <c r="P83" s="11" t="n">
        <v>0</v>
      </c>
      <c r="Q83" s="11" t="s">
        <v>355</v>
      </c>
      <c r="R83" s="11"/>
      <c r="S83" s="11"/>
      <c r="T83" s="11" t="s">
        <v>226</v>
      </c>
      <c r="U83" s="11" t="s">
        <v>226</v>
      </c>
      <c r="V83" s="11"/>
      <c r="W83" s="11"/>
      <c r="X83" s="11" t="n">
        <f aca="false">$M83-$O83+$P83</f>
        <v>743</v>
      </c>
      <c r="Y83" s="11" t="n">
        <f aca="false">IF($M83=0,0,IF($J83="Working",IF($Q83="All",MAX(0,$M83-$I83),0),IF($Q83="None",0,$M83)))</f>
        <v>23</v>
      </c>
      <c r="Z83" s="24" t="str">
        <f aca="false">IF($J83&lt;&gt;"Working",IF($M83&gt;0,$J83&amp;" — worked",$J83),IF($U83="Y","Present",IF($X83&lt;INDEX(08_Attendance_Rules!$C$2:$C$5,MATCH($H83,08_Attendance_Rules!$A$2:$A$5,0)),"Absent",IF($X83&lt;INDEX(08_Attendance_Rules!$B$2:$B$5,MATCH($H83,08_Attendance_Rules!$A$2:$A$5,0)),"Half Day",IF($T83="Y","Half Day","Present")))))</f>
        <v>Present</v>
      </c>
      <c r="AA83" s="11" t="str">
        <f aca="false">IF($X83=0,"-",INT($X83/60)&amp;":"&amp;TEXT(MOD($X83,60),"00"))</f>
        <v>12:23</v>
      </c>
      <c r="AB83" s="11" t="str">
        <f aca="false">IF($Y83=0,"-",INT($Y83/60)&amp;":"&amp;TEXT(MOD($Y83,60),"00"))</f>
        <v>0:23</v>
      </c>
    </row>
    <row r="84" customFormat="false" ht="15" hidden="false" customHeight="true" outlineLevel="0" collapsed="false">
      <c r="A84" s="9" t="s">
        <v>2161</v>
      </c>
      <c r="B84" s="9" t="s">
        <v>586</v>
      </c>
      <c r="C84" s="9" t="s">
        <v>826</v>
      </c>
      <c r="D84" s="9" t="s">
        <v>1524</v>
      </c>
      <c r="E84" s="9" t="s">
        <v>2058</v>
      </c>
      <c r="F84" s="9" t="s">
        <v>462</v>
      </c>
      <c r="G84" s="9" t="s">
        <v>462</v>
      </c>
      <c r="H84" s="9" t="n">
        <v>12</v>
      </c>
      <c r="I84" s="9" t="n">
        <v>720</v>
      </c>
      <c r="J84" s="9" t="s">
        <v>2059</v>
      </c>
      <c r="K84" s="9" t="s">
        <v>1702</v>
      </c>
      <c r="L84" s="9" t="s">
        <v>1619</v>
      </c>
      <c r="M84" s="9" t="n">
        <v>726</v>
      </c>
      <c r="N84" s="9" t="n">
        <v>60</v>
      </c>
      <c r="O84" s="9" t="n">
        <v>0</v>
      </c>
      <c r="P84" s="9" t="n">
        <v>0</v>
      </c>
      <c r="Q84" s="9" t="s">
        <v>355</v>
      </c>
      <c r="R84" s="9"/>
      <c r="S84" s="9"/>
      <c r="T84" s="9" t="s">
        <v>226</v>
      </c>
      <c r="U84" s="9" t="s">
        <v>226</v>
      </c>
      <c r="V84" s="9"/>
      <c r="W84" s="9"/>
      <c r="X84" s="9" t="n">
        <f aca="false">$M84-$O84+$P84</f>
        <v>726</v>
      </c>
      <c r="Y84" s="9" t="n">
        <f aca="false">IF($M84=0,0,IF($J84="Working",IF($Q84="All",MAX(0,$M84-$I84),0),IF($Q84="None",0,$M84)))</f>
        <v>6</v>
      </c>
      <c r="Z84" s="23" t="str">
        <f aca="false">IF($J84&lt;&gt;"Working",IF($M84&gt;0,$J84&amp;" — worked",$J84),IF($U84="Y","Present",IF($X84&lt;INDEX(08_Attendance_Rules!$C$2:$C$5,MATCH($H84,08_Attendance_Rules!$A$2:$A$5,0)),"Absent",IF($X84&lt;INDEX(08_Attendance_Rules!$B$2:$B$5,MATCH($H84,08_Attendance_Rules!$A$2:$A$5,0)),"Half Day",IF($T84="Y","Half Day","Present")))))</f>
        <v>Present</v>
      </c>
      <c r="AA84" s="9" t="str">
        <f aca="false">IF($X84=0,"-",INT($X84/60)&amp;":"&amp;TEXT(MOD($X84,60),"00"))</f>
        <v>12:06</v>
      </c>
      <c r="AB84" s="9" t="str">
        <f aca="false">IF($Y84=0,"-",INT($Y84/60)&amp;":"&amp;TEXT(MOD($Y84,60),"00"))</f>
        <v>0:06</v>
      </c>
    </row>
    <row r="85" customFormat="false" ht="15" hidden="false" customHeight="true" outlineLevel="0" collapsed="false">
      <c r="A85" s="11" t="s">
        <v>2162</v>
      </c>
      <c r="B85" s="11" t="s">
        <v>586</v>
      </c>
      <c r="C85" s="11" t="s">
        <v>826</v>
      </c>
      <c r="D85" s="11" t="s">
        <v>1377</v>
      </c>
      <c r="E85" s="11" t="s">
        <v>2061</v>
      </c>
      <c r="F85" s="11" t="s">
        <v>462</v>
      </c>
      <c r="G85" s="11" t="s">
        <v>462</v>
      </c>
      <c r="H85" s="11" t="n">
        <v>12</v>
      </c>
      <c r="I85" s="11" t="n">
        <v>720</v>
      </c>
      <c r="J85" s="11" t="s">
        <v>2059</v>
      </c>
      <c r="K85" s="11" t="s">
        <v>1705</v>
      </c>
      <c r="L85" s="11" t="s">
        <v>1707</v>
      </c>
      <c r="M85" s="11" t="n">
        <v>732</v>
      </c>
      <c r="N85" s="11" t="n">
        <v>60</v>
      </c>
      <c r="O85" s="11" t="n">
        <v>0</v>
      </c>
      <c r="P85" s="11" t="n">
        <v>0</v>
      </c>
      <c r="Q85" s="11" t="s">
        <v>355</v>
      </c>
      <c r="R85" s="11"/>
      <c r="S85" s="11"/>
      <c r="T85" s="11" t="s">
        <v>226</v>
      </c>
      <c r="U85" s="11" t="s">
        <v>226</v>
      </c>
      <c r="V85" s="11"/>
      <c r="W85" s="11"/>
      <c r="X85" s="11" t="n">
        <f aca="false">$M85-$O85+$P85</f>
        <v>732</v>
      </c>
      <c r="Y85" s="11" t="n">
        <f aca="false">IF($M85=0,0,IF($J85="Working",IF($Q85="All",MAX(0,$M85-$I85),0),IF($Q85="None",0,$M85)))</f>
        <v>12</v>
      </c>
      <c r="Z85" s="24" t="str">
        <f aca="false">IF($J85&lt;&gt;"Working",IF($M85&gt;0,$J85&amp;" — worked",$J85),IF($U85="Y","Present",IF($X85&lt;INDEX(08_Attendance_Rules!$C$2:$C$5,MATCH($H85,08_Attendance_Rules!$A$2:$A$5,0)),"Absent",IF($X85&lt;INDEX(08_Attendance_Rules!$B$2:$B$5,MATCH($H85,08_Attendance_Rules!$A$2:$A$5,0)),"Half Day",IF($T85="Y","Half Day","Present")))))</f>
        <v>Present</v>
      </c>
      <c r="AA85" s="11" t="str">
        <f aca="false">IF($X85=0,"-",INT($X85/60)&amp;":"&amp;TEXT(MOD($X85,60),"00"))</f>
        <v>12:12</v>
      </c>
      <c r="AB85" s="11" t="str">
        <f aca="false">IF($Y85=0,"-",INT($Y85/60)&amp;":"&amp;TEXT(MOD($Y85,60),"00"))</f>
        <v>0:12</v>
      </c>
    </row>
    <row r="86" customFormat="false" ht="15" hidden="false" customHeight="true" outlineLevel="0" collapsed="false">
      <c r="A86" s="9" t="s">
        <v>2163</v>
      </c>
      <c r="B86" s="9" t="s">
        <v>586</v>
      </c>
      <c r="C86" s="9" t="s">
        <v>826</v>
      </c>
      <c r="D86" s="9" t="s">
        <v>1355</v>
      </c>
      <c r="E86" s="9" t="s">
        <v>2063</v>
      </c>
      <c r="F86" s="9" t="s">
        <v>462</v>
      </c>
      <c r="G86" s="9" t="s">
        <v>462</v>
      </c>
      <c r="H86" s="9" t="n">
        <v>12</v>
      </c>
      <c r="I86" s="9" t="n">
        <v>720</v>
      </c>
      <c r="J86" s="9" t="s">
        <v>2059</v>
      </c>
      <c r="K86" s="9" t="s">
        <v>1709</v>
      </c>
      <c r="L86" s="9" t="s">
        <v>1711</v>
      </c>
      <c r="M86" s="9" t="n">
        <v>731</v>
      </c>
      <c r="N86" s="9" t="n">
        <v>60</v>
      </c>
      <c r="O86" s="9" t="n">
        <v>0</v>
      </c>
      <c r="P86" s="9" t="n">
        <v>0</v>
      </c>
      <c r="Q86" s="9" t="s">
        <v>355</v>
      </c>
      <c r="R86" s="9" t="n">
        <v>1</v>
      </c>
      <c r="S86" s="9"/>
      <c r="T86" s="9" t="s">
        <v>226</v>
      </c>
      <c r="U86" s="9" t="s">
        <v>226</v>
      </c>
      <c r="V86" s="9"/>
      <c r="W86" s="9"/>
      <c r="X86" s="9" t="n">
        <f aca="false">$M86-$O86+$P86</f>
        <v>731</v>
      </c>
      <c r="Y86" s="9" t="n">
        <f aca="false">IF($M86=0,0,IF($J86="Working",IF($Q86="All",MAX(0,$M86-$I86),0),IF($Q86="None",0,$M86)))</f>
        <v>11</v>
      </c>
      <c r="Z86" s="23" t="str">
        <f aca="false">IF($J86&lt;&gt;"Working",IF($M86&gt;0,$J86&amp;" — worked",$J86),IF($U86="Y","Present",IF($X86&lt;INDEX(08_Attendance_Rules!$C$2:$C$5,MATCH($H86,08_Attendance_Rules!$A$2:$A$5,0)),"Absent",IF($X86&lt;INDEX(08_Attendance_Rules!$B$2:$B$5,MATCH($H86,08_Attendance_Rules!$A$2:$A$5,0)),"Half Day",IF($T86="Y","Half Day","Present")))))</f>
        <v>Present</v>
      </c>
      <c r="AA86" s="9" t="str">
        <f aca="false">IF($X86=0,"-",INT($X86/60)&amp;":"&amp;TEXT(MOD($X86,60),"00"))</f>
        <v>12:11</v>
      </c>
      <c r="AB86" s="9" t="str">
        <f aca="false">IF($Y86=0,"-",INT($Y86/60)&amp;":"&amp;TEXT(MOD($Y86,60),"00"))</f>
        <v>0:11</v>
      </c>
    </row>
    <row r="87" customFormat="false" ht="15" hidden="false" customHeight="true" outlineLevel="0" collapsed="false">
      <c r="A87" s="11" t="s">
        <v>2164</v>
      </c>
      <c r="B87" s="11" t="s">
        <v>586</v>
      </c>
      <c r="C87" s="11" t="s">
        <v>826</v>
      </c>
      <c r="D87" s="11" t="s">
        <v>1459</v>
      </c>
      <c r="E87" s="11" t="s">
        <v>2065</v>
      </c>
      <c r="F87" s="11" t="s">
        <v>462</v>
      </c>
      <c r="G87" s="11" t="s">
        <v>462</v>
      </c>
      <c r="H87" s="11" t="n">
        <v>12</v>
      </c>
      <c r="I87" s="11" t="n">
        <v>720</v>
      </c>
      <c r="J87" s="11" t="s">
        <v>2059</v>
      </c>
      <c r="K87" s="11" t="s">
        <v>1713</v>
      </c>
      <c r="L87" s="11" t="s">
        <v>1715</v>
      </c>
      <c r="M87" s="11" t="n">
        <v>732</v>
      </c>
      <c r="N87" s="11" t="n">
        <v>60</v>
      </c>
      <c r="O87" s="11" t="n">
        <v>0</v>
      </c>
      <c r="P87" s="11" t="n">
        <v>0</v>
      </c>
      <c r="Q87" s="11" t="s">
        <v>355</v>
      </c>
      <c r="R87" s="11"/>
      <c r="S87" s="11"/>
      <c r="T87" s="11" t="s">
        <v>226</v>
      </c>
      <c r="U87" s="11" t="s">
        <v>226</v>
      </c>
      <c r="V87" s="11"/>
      <c r="W87" s="11"/>
      <c r="X87" s="11" t="n">
        <f aca="false">$M87-$O87+$P87</f>
        <v>732</v>
      </c>
      <c r="Y87" s="11" t="n">
        <f aca="false">IF($M87=0,0,IF($J87="Working",IF($Q87="All",MAX(0,$M87-$I87),0),IF($Q87="None",0,$M87)))</f>
        <v>12</v>
      </c>
      <c r="Z87" s="24" t="str">
        <f aca="false">IF($J87&lt;&gt;"Working",IF($M87&gt;0,$J87&amp;" — worked",$J87),IF($U87="Y","Present",IF($X87&lt;INDEX(08_Attendance_Rules!$C$2:$C$5,MATCH($H87,08_Attendance_Rules!$A$2:$A$5,0)),"Absent",IF($X87&lt;INDEX(08_Attendance_Rules!$B$2:$B$5,MATCH($H87,08_Attendance_Rules!$A$2:$A$5,0)),"Half Day",IF($T87="Y","Half Day","Present")))))</f>
        <v>Present</v>
      </c>
      <c r="AA87" s="11" t="str">
        <f aca="false">IF($X87=0,"-",INT($X87/60)&amp;":"&amp;TEXT(MOD($X87,60),"00"))</f>
        <v>12:12</v>
      </c>
      <c r="AB87" s="11" t="str">
        <f aca="false">IF($Y87=0,"-",INT($Y87/60)&amp;":"&amp;TEXT(MOD($Y87,60),"00"))</f>
        <v>0:12</v>
      </c>
    </row>
    <row r="88" customFormat="false" ht="15" hidden="false" customHeight="true" outlineLevel="0" collapsed="false">
      <c r="A88" s="9" t="s">
        <v>2165</v>
      </c>
      <c r="B88" s="9" t="s">
        <v>586</v>
      </c>
      <c r="C88" s="9" t="s">
        <v>826</v>
      </c>
      <c r="D88" s="9" t="s">
        <v>1545</v>
      </c>
      <c r="E88" s="9" t="s">
        <v>2067</v>
      </c>
      <c r="F88" s="9" t="s">
        <v>462</v>
      </c>
      <c r="G88" s="9" t="s">
        <v>462</v>
      </c>
      <c r="H88" s="9" t="n">
        <v>12</v>
      </c>
      <c r="I88" s="9" t="n">
        <v>720</v>
      </c>
      <c r="J88" s="9" t="s">
        <v>2059</v>
      </c>
      <c r="K88" s="9" t="s">
        <v>1717</v>
      </c>
      <c r="L88" s="9" t="s">
        <v>1567</v>
      </c>
      <c r="M88" s="9" t="n">
        <v>737</v>
      </c>
      <c r="N88" s="9" t="n">
        <v>60</v>
      </c>
      <c r="O88" s="9" t="n">
        <v>0</v>
      </c>
      <c r="P88" s="9" t="n">
        <v>0</v>
      </c>
      <c r="Q88" s="9" t="s">
        <v>355</v>
      </c>
      <c r="R88" s="9" t="n">
        <v>2</v>
      </c>
      <c r="S88" s="9"/>
      <c r="T88" s="9" t="s">
        <v>226</v>
      </c>
      <c r="U88" s="9" t="s">
        <v>226</v>
      </c>
      <c r="V88" s="9"/>
      <c r="W88" s="9"/>
      <c r="X88" s="9" t="n">
        <f aca="false">$M88-$O88+$P88</f>
        <v>737</v>
      </c>
      <c r="Y88" s="9" t="n">
        <f aca="false">IF($M88=0,0,IF($J88="Working",IF($Q88="All",MAX(0,$M88-$I88),0),IF($Q88="None",0,$M88)))</f>
        <v>17</v>
      </c>
      <c r="Z88" s="23" t="str">
        <f aca="false">IF($J88&lt;&gt;"Working",IF($M88&gt;0,$J88&amp;" — worked",$J88),IF($U88="Y","Present",IF($X88&lt;INDEX(08_Attendance_Rules!$C$2:$C$5,MATCH($H88,08_Attendance_Rules!$A$2:$A$5,0)),"Absent",IF($X88&lt;INDEX(08_Attendance_Rules!$B$2:$B$5,MATCH($H88,08_Attendance_Rules!$A$2:$A$5,0)),"Half Day",IF($T88="Y","Half Day","Present")))))</f>
        <v>Present</v>
      </c>
      <c r="AA88" s="9" t="str">
        <f aca="false">IF($X88=0,"-",INT($X88/60)&amp;":"&amp;TEXT(MOD($X88,60),"00"))</f>
        <v>12:17</v>
      </c>
      <c r="AB88" s="9" t="str">
        <f aca="false">IF($Y88=0,"-",INT($Y88/60)&amp;":"&amp;TEXT(MOD($Y88,60),"00"))</f>
        <v>0:17</v>
      </c>
    </row>
    <row r="89" customFormat="false" ht="15" hidden="false" customHeight="true" outlineLevel="0" collapsed="false">
      <c r="A89" s="11" t="s">
        <v>2166</v>
      </c>
      <c r="B89" s="11" t="s">
        <v>586</v>
      </c>
      <c r="C89" s="11" t="s">
        <v>826</v>
      </c>
      <c r="D89" s="11" t="s">
        <v>1409</v>
      </c>
      <c r="E89" s="11" t="s">
        <v>2069</v>
      </c>
      <c r="F89" s="11" t="s">
        <v>462</v>
      </c>
      <c r="G89" s="11" t="s">
        <v>462</v>
      </c>
      <c r="H89" s="11" t="n">
        <v>12</v>
      </c>
      <c r="I89" s="11" t="n">
        <v>720</v>
      </c>
      <c r="J89" s="11" t="s">
        <v>2070</v>
      </c>
      <c r="K89" s="11"/>
      <c r="L89" s="11"/>
      <c r="M89" s="11" t="n">
        <v>0</v>
      </c>
      <c r="N89" s="11" t="n">
        <v>0</v>
      </c>
      <c r="O89" s="11" t="n">
        <v>0</v>
      </c>
      <c r="P89" s="11" t="n">
        <v>0</v>
      </c>
      <c r="Q89" s="11" t="s">
        <v>355</v>
      </c>
      <c r="R89" s="11"/>
      <c r="S89" s="11"/>
      <c r="T89" s="11" t="s">
        <v>226</v>
      </c>
      <c r="U89" s="11" t="s">
        <v>226</v>
      </c>
      <c r="V89" s="11"/>
      <c r="W89" s="11"/>
      <c r="X89" s="11" t="n">
        <f aca="false">$M89-$O89+$P89</f>
        <v>0</v>
      </c>
      <c r="Y89" s="11" t="n">
        <f aca="false">IF($M89=0,0,IF($J89="Working",IF($Q89="All",MAX(0,$M89-$I89),0),IF($Q89="None",0,$M89)))</f>
        <v>0</v>
      </c>
      <c r="Z89" s="24" t="str">
        <f aca="false">IF($J89&lt;&gt;"Working",IF($M89&gt;0,$J89&amp;" — worked",$J89),IF($U89="Y","Present",IF($X89&lt;INDEX(08_Attendance_Rules!$C$2:$C$5,MATCH($H89,08_Attendance_Rules!$A$2:$A$5,0)),"Absent",IF($X89&lt;INDEX(08_Attendance_Rules!$B$2:$B$5,MATCH($H89,08_Attendance_Rules!$A$2:$A$5,0)),"Half Day",IF($T89="Y","Half Day","Present")))))</f>
        <v>Weekly Off</v>
      </c>
      <c r="AA89" s="11" t="str">
        <f aca="false">IF($X89=0,"-",INT($X89/60)&amp;":"&amp;TEXT(MOD($X89,60),"00"))</f>
        <v>-</v>
      </c>
      <c r="AB89" s="11" t="str">
        <f aca="false">IF($Y89=0,"-",INT($Y89/60)&amp;":"&amp;TEXT(MOD($Y89,60),"00"))</f>
        <v>-</v>
      </c>
    </row>
    <row r="90" customFormat="false" ht="15" hidden="false" customHeight="true" outlineLevel="0" collapsed="false">
      <c r="A90" s="9" t="s">
        <v>2167</v>
      </c>
      <c r="B90" s="9" t="s">
        <v>586</v>
      </c>
      <c r="C90" s="9" t="s">
        <v>826</v>
      </c>
      <c r="D90" s="9" t="s">
        <v>1337</v>
      </c>
      <c r="E90" s="9" t="s">
        <v>2072</v>
      </c>
      <c r="F90" s="9" t="s">
        <v>462</v>
      </c>
      <c r="G90" s="9" t="s">
        <v>462</v>
      </c>
      <c r="H90" s="9" t="n">
        <v>12</v>
      </c>
      <c r="I90" s="9" t="n">
        <v>720</v>
      </c>
      <c r="J90" s="9" t="s">
        <v>2059</v>
      </c>
      <c r="K90" s="9" t="s">
        <v>458</v>
      </c>
      <c r="L90" s="9" t="s">
        <v>1633</v>
      </c>
      <c r="M90" s="9" t="n">
        <v>730</v>
      </c>
      <c r="N90" s="9" t="n">
        <v>60</v>
      </c>
      <c r="O90" s="9" t="n">
        <v>0</v>
      </c>
      <c r="P90" s="9" t="n">
        <v>0</v>
      </c>
      <c r="Q90" s="9" t="s">
        <v>355</v>
      </c>
      <c r="R90" s="9"/>
      <c r="S90" s="9"/>
      <c r="T90" s="9" t="s">
        <v>226</v>
      </c>
      <c r="U90" s="9" t="s">
        <v>226</v>
      </c>
      <c r="V90" s="9"/>
      <c r="W90" s="9"/>
      <c r="X90" s="9" t="n">
        <f aca="false">$M90-$O90+$P90</f>
        <v>730</v>
      </c>
      <c r="Y90" s="9" t="n">
        <f aca="false">IF($M90=0,0,IF($J90="Working",IF($Q90="All",MAX(0,$M90-$I90),0),IF($Q90="None",0,$M90)))</f>
        <v>10</v>
      </c>
      <c r="Z90" s="23" t="str">
        <f aca="false">IF($J90&lt;&gt;"Working",IF($M90&gt;0,$J90&amp;" — worked",$J90),IF($U90="Y","Present",IF($X90&lt;INDEX(08_Attendance_Rules!$C$2:$C$5,MATCH($H90,08_Attendance_Rules!$A$2:$A$5,0)),"Absent",IF($X90&lt;INDEX(08_Attendance_Rules!$B$2:$B$5,MATCH($H90,08_Attendance_Rules!$A$2:$A$5,0)),"Half Day",IF($T90="Y","Half Day","Present")))))</f>
        <v>Present</v>
      </c>
      <c r="AA90" s="9" t="str">
        <f aca="false">IF($X90=0,"-",INT($X90/60)&amp;":"&amp;TEXT(MOD($X90,60),"00"))</f>
        <v>12:10</v>
      </c>
      <c r="AB90" s="9" t="str">
        <f aca="false">IF($Y90=0,"-",INT($Y90/60)&amp;":"&amp;TEXT(MOD($Y90,60),"00"))</f>
        <v>0:10</v>
      </c>
    </row>
    <row r="91" customFormat="false" ht="15" hidden="false" customHeight="true" outlineLevel="0" collapsed="false">
      <c r="A91" s="11" t="s">
        <v>2168</v>
      </c>
      <c r="B91" s="11" t="s">
        <v>586</v>
      </c>
      <c r="C91" s="11" t="s">
        <v>826</v>
      </c>
      <c r="D91" s="11" t="s">
        <v>531</v>
      </c>
      <c r="E91" s="11" t="s">
        <v>2058</v>
      </c>
      <c r="F91" s="11" t="s">
        <v>462</v>
      </c>
      <c r="G91" s="11" t="s">
        <v>462</v>
      </c>
      <c r="H91" s="11" t="n">
        <v>12</v>
      </c>
      <c r="I91" s="11" t="n">
        <v>720</v>
      </c>
      <c r="J91" s="11" t="s">
        <v>2059</v>
      </c>
      <c r="K91" s="11" t="s">
        <v>1705</v>
      </c>
      <c r="L91" s="11" t="s">
        <v>1669</v>
      </c>
      <c r="M91" s="11" t="n">
        <v>729</v>
      </c>
      <c r="N91" s="11" t="n">
        <v>60</v>
      </c>
      <c r="O91" s="11" t="n">
        <v>0</v>
      </c>
      <c r="P91" s="11" t="n">
        <v>0</v>
      </c>
      <c r="Q91" s="11" t="s">
        <v>355</v>
      </c>
      <c r="R91" s="11"/>
      <c r="S91" s="11"/>
      <c r="T91" s="11" t="s">
        <v>226</v>
      </c>
      <c r="U91" s="11" t="s">
        <v>226</v>
      </c>
      <c r="V91" s="11"/>
      <c r="W91" s="11"/>
      <c r="X91" s="11" t="n">
        <f aca="false">$M91-$O91+$P91</f>
        <v>729</v>
      </c>
      <c r="Y91" s="11" t="n">
        <f aca="false">IF($M91=0,0,IF($J91="Working",IF($Q91="All",MAX(0,$M91-$I91),0),IF($Q91="None",0,$M91)))</f>
        <v>9</v>
      </c>
      <c r="Z91" s="24" t="str">
        <f aca="false">IF($J91&lt;&gt;"Working",IF($M91&gt;0,$J91&amp;" — worked",$J91),IF($U91="Y","Present",IF($X91&lt;INDEX(08_Attendance_Rules!$C$2:$C$5,MATCH($H91,08_Attendance_Rules!$A$2:$A$5,0)),"Absent",IF($X91&lt;INDEX(08_Attendance_Rules!$B$2:$B$5,MATCH($H91,08_Attendance_Rules!$A$2:$A$5,0)),"Half Day",IF($T91="Y","Half Day","Present")))))</f>
        <v>Present</v>
      </c>
      <c r="AA91" s="11" t="str">
        <f aca="false">IF($X91=0,"-",INT($X91/60)&amp;":"&amp;TEXT(MOD($X91,60),"00"))</f>
        <v>12:09</v>
      </c>
      <c r="AB91" s="11" t="str">
        <f aca="false">IF($Y91=0,"-",INT($Y91/60)&amp;":"&amp;TEXT(MOD($Y91,60),"00"))</f>
        <v>0:09</v>
      </c>
    </row>
    <row r="92" customFormat="false" ht="15" hidden="false" customHeight="true" outlineLevel="0" collapsed="false">
      <c r="A92" s="9" t="s">
        <v>2169</v>
      </c>
      <c r="B92" s="9" t="s">
        <v>840</v>
      </c>
      <c r="C92" s="9" t="s">
        <v>841</v>
      </c>
      <c r="D92" s="9" t="s">
        <v>1151</v>
      </c>
      <c r="E92" s="9" t="s">
        <v>2058</v>
      </c>
      <c r="F92" s="9" t="s">
        <v>454</v>
      </c>
      <c r="G92" s="9" t="s">
        <v>454</v>
      </c>
      <c r="H92" s="9" t="n">
        <v>12</v>
      </c>
      <c r="I92" s="9" t="n">
        <v>720</v>
      </c>
      <c r="J92" s="9" t="s">
        <v>2059</v>
      </c>
      <c r="K92" s="9" t="s">
        <v>1493</v>
      </c>
      <c r="L92" s="9" t="s">
        <v>1498</v>
      </c>
      <c r="M92" s="9" t="n">
        <v>731</v>
      </c>
      <c r="N92" s="9" t="n">
        <v>60</v>
      </c>
      <c r="O92" s="9" t="n">
        <v>0</v>
      </c>
      <c r="P92" s="9" t="n">
        <v>0</v>
      </c>
      <c r="Q92" s="9" t="s">
        <v>355</v>
      </c>
      <c r="R92" s="9"/>
      <c r="S92" s="9"/>
      <c r="T92" s="9" t="s">
        <v>226</v>
      </c>
      <c r="U92" s="9" t="s">
        <v>226</v>
      </c>
      <c r="V92" s="9"/>
      <c r="W92" s="9"/>
      <c r="X92" s="9" t="n">
        <f aca="false">$M92-$O92+$P92</f>
        <v>731</v>
      </c>
      <c r="Y92" s="9" t="n">
        <f aca="false">IF($M92=0,0,IF($J92="Working",IF($Q92="All",MAX(0,$M92-$I92),0),IF($Q92="None",0,$M92)))</f>
        <v>11</v>
      </c>
      <c r="Z92" s="23" t="str">
        <f aca="false">IF($J92&lt;&gt;"Working",IF($M92&gt;0,$J92&amp;" — worked",$J92),IF($U92="Y","Present",IF($X92&lt;INDEX(08_Attendance_Rules!$C$2:$C$5,MATCH($H92,08_Attendance_Rules!$A$2:$A$5,0)),"Absent",IF($X92&lt;INDEX(08_Attendance_Rules!$B$2:$B$5,MATCH($H92,08_Attendance_Rules!$A$2:$A$5,0)),"Half Day",IF($T92="Y","Half Day","Present")))))</f>
        <v>Present</v>
      </c>
      <c r="AA92" s="9" t="str">
        <f aca="false">IF($X92=0,"-",INT($X92/60)&amp;":"&amp;TEXT(MOD($X92,60),"00"))</f>
        <v>12:11</v>
      </c>
      <c r="AB92" s="9" t="str">
        <f aca="false">IF($Y92=0,"-",INT($Y92/60)&amp;":"&amp;TEXT(MOD($Y92,60),"00"))</f>
        <v>0:11</v>
      </c>
    </row>
    <row r="93" customFormat="false" ht="15" hidden="false" customHeight="true" outlineLevel="0" collapsed="false">
      <c r="A93" s="11" t="s">
        <v>2170</v>
      </c>
      <c r="B93" s="11" t="s">
        <v>840</v>
      </c>
      <c r="C93" s="11" t="s">
        <v>841</v>
      </c>
      <c r="D93" s="11" t="s">
        <v>593</v>
      </c>
      <c r="E93" s="11" t="s">
        <v>2061</v>
      </c>
      <c r="F93" s="11" t="s">
        <v>454</v>
      </c>
      <c r="G93" s="11" t="s">
        <v>454</v>
      </c>
      <c r="H93" s="11" t="n">
        <v>12</v>
      </c>
      <c r="I93" s="11" t="n">
        <v>720</v>
      </c>
      <c r="J93" s="11" t="s">
        <v>2059</v>
      </c>
      <c r="K93" s="11" t="s">
        <v>1500</v>
      </c>
      <c r="L93" s="11" t="s">
        <v>1503</v>
      </c>
      <c r="M93" s="11" t="n">
        <v>733</v>
      </c>
      <c r="N93" s="11" t="n">
        <v>60</v>
      </c>
      <c r="O93" s="11" t="n">
        <v>0</v>
      </c>
      <c r="P93" s="11" t="n">
        <v>0</v>
      </c>
      <c r="Q93" s="11" t="s">
        <v>355</v>
      </c>
      <c r="R93" s="11"/>
      <c r="S93" s="11"/>
      <c r="T93" s="11" t="s">
        <v>226</v>
      </c>
      <c r="U93" s="11" t="s">
        <v>226</v>
      </c>
      <c r="V93" s="11"/>
      <c r="W93" s="11"/>
      <c r="X93" s="11" t="n">
        <f aca="false">$M93-$O93+$P93</f>
        <v>733</v>
      </c>
      <c r="Y93" s="11" t="n">
        <f aca="false">IF($M93=0,0,IF($J93="Working",IF($Q93="All",MAX(0,$M93-$I93),0),IF($Q93="None",0,$M93)))</f>
        <v>13</v>
      </c>
      <c r="Z93" s="24" t="str">
        <f aca="false">IF($J93&lt;&gt;"Working",IF($M93&gt;0,$J93&amp;" — worked",$J93),IF($U93="Y","Present",IF($X93&lt;INDEX(08_Attendance_Rules!$C$2:$C$5,MATCH($H93,08_Attendance_Rules!$A$2:$A$5,0)),"Absent",IF($X93&lt;INDEX(08_Attendance_Rules!$B$2:$B$5,MATCH($H93,08_Attendance_Rules!$A$2:$A$5,0)),"Half Day",IF($T93="Y","Half Day","Present")))))</f>
        <v>Present</v>
      </c>
      <c r="AA93" s="11" t="str">
        <f aca="false">IF($X93=0,"-",INT($X93/60)&amp;":"&amp;TEXT(MOD($X93,60),"00"))</f>
        <v>12:13</v>
      </c>
      <c r="AB93" s="11" t="str">
        <f aca="false">IF($Y93=0,"-",INT($Y93/60)&amp;":"&amp;TEXT(MOD($Y93,60),"00"))</f>
        <v>0:13</v>
      </c>
    </row>
    <row r="94" customFormat="false" ht="15" hidden="false" customHeight="true" outlineLevel="0" collapsed="false">
      <c r="A94" s="9" t="s">
        <v>2171</v>
      </c>
      <c r="B94" s="9" t="s">
        <v>840</v>
      </c>
      <c r="C94" s="9" t="s">
        <v>841</v>
      </c>
      <c r="D94" s="9" t="s">
        <v>1505</v>
      </c>
      <c r="E94" s="9" t="s">
        <v>2063</v>
      </c>
      <c r="F94" s="9" t="s">
        <v>454</v>
      </c>
      <c r="G94" s="9" t="s">
        <v>454</v>
      </c>
      <c r="H94" s="9" t="n">
        <v>12</v>
      </c>
      <c r="I94" s="9" t="n">
        <v>720</v>
      </c>
      <c r="J94" s="9" t="s">
        <v>2059</v>
      </c>
      <c r="K94" s="9" t="s">
        <v>1506</v>
      </c>
      <c r="L94" s="9" t="s">
        <v>1509</v>
      </c>
      <c r="M94" s="9" t="n">
        <v>730</v>
      </c>
      <c r="N94" s="9" t="n">
        <v>60</v>
      </c>
      <c r="O94" s="9" t="n">
        <v>0</v>
      </c>
      <c r="P94" s="9" t="n">
        <v>0</v>
      </c>
      <c r="Q94" s="9" t="s">
        <v>355</v>
      </c>
      <c r="R94" s="9"/>
      <c r="S94" s="9"/>
      <c r="T94" s="9" t="s">
        <v>226</v>
      </c>
      <c r="U94" s="9" t="s">
        <v>226</v>
      </c>
      <c r="V94" s="9"/>
      <c r="W94" s="9"/>
      <c r="X94" s="9" t="n">
        <f aca="false">$M94-$O94+$P94</f>
        <v>730</v>
      </c>
      <c r="Y94" s="9" t="n">
        <f aca="false">IF($M94=0,0,IF($J94="Working",IF($Q94="All",MAX(0,$M94-$I94),0),IF($Q94="None",0,$M94)))</f>
        <v>10</v>
      </c>
      <c r="Z94" s="23" t="str">
        <f aca="false">IF($J94&lt;&gt;"Working",IF($M94&gt;0,$J94&amp;" — worked",$J94),IF($U94="Y","Present",IF($X94&lt;INDEX(08_Attendance_Rules!$C$2:$C$5,MATCH($H94,08_Attendance_Rules!$A$2:$A$5,0)),"Absent",IF($X94&lt;INDEX(08_Attendance_Rules!$B$2:$B$5,MATCH($H94,08_Attendance_Rules!$A$2:$A$5,0)),"Half Day",IF($T94="Y","Half Day","Present")))))</f>
        <v>Present</v>
      </c>
      <c r="AA94" s="9" t="str">
        <f aca="false">IF($X94=0,"-",INT($X94/60)&amp;":"&amp;TEXT(MOD($X94,60),"00"))</f>
        <v>12:10</v>
      </c>
      <c r="AB94" s="9" t="str">
        <f aca="false">IF($Y94=0,"-",INT($Y94/60)&amp;":"&amp;TEXT(MOD($Y94,60),"00"))</f>
        <v>0:10</v>
      </c>
    </row>
    <row r="95" customFormat="false" ht="15" hidden="false" customHeight="true" outlineLevel="0" collapsed="false">
      <c r="A95" s="11" t="s">
        <v>2172</v>
      </c>
      <c r="B95" s="11" t="s">
        <v>840</v>
      </c>
      <c r="C95" s="11" t="s">
        <v>841</v>
      </c>
      <c r="D95" s="11" t="s">
        <v>1511</v>
      </c>
      <c r="E95" s="11" t="s">
        <v>2065</v>
      </c>
      <c r="F95" s="11" t="s">
        <v>454</v>
      </c>
      <c r="G95" s="11" t="s">
        <v>454</v>
      </c>
      <c r="H95" s="11" t="n">
        <v>12</v>
      </c>
      <c r="I95" s="11" t="n">
        <v>720</v>
      </c>
      <c r="J95" s="11" t="s">
        <v>2059</v>
      </c>
      <c r="K95" s="11" t="s">
        <v>457</v>
      </c>
      <c r="L95" s="11" t="s">
        <v>1513</v>
      </c>
      <c r="M95" s="11" t="n">
        <v>734</v>
      </c>
      <c r="N95" s="11" t="n">
        <v>60</v>
      </c>
      <c r="O95" s="11" t="n">
        <v>0</v>
      </c>
      <c r="P95" s="11" t="n">
        <v>0</v>
      </c>
      <c r="Q95" s="11" t="s">
        <v>355</v>
      </c>
      <c r="R95" s="11"/>
      <c r="S95" s="11"/>
      <c r="T95" s="11" t="s">
        <v>226</v>
      </c>
      <c r="U95" s="11" t="s">
        <v>226</v>
      </c>
      <c r="V95" s="11"/>
      <c r="W95" s="11"/>
      <c r="X95" s="11" t="n">
        <f aca="false">$M95-$O95+$P95</f>
        <v>734</v>
      </c>
      <c r="Y95" s="11" t="n">
        <f aca="false">IF($M95=0,0,IF($J95="Working",IF($Q95="All",MAX(0,$M95-$I95),0),IF($Q95="None",0,$M95)))</f>
        <v>14</v>
      </c>
      <c r="Z95" s="24" t="str">
        <f aca="false">IF($J95&lt;&gt;"Working",IF($M95&gt;0,$J95&amp;" — worked",$J95),IF($U95="Y","Present",IF($X95&lt;INDEX(08_Attendance_Rules!$C$2:$C$5,MATCH($H95,08_Attendance_Rules!$A$2:$A$5,0)),"Absent",IF($X95&lt;INDEX(08_Attendance_Rules!$B$2:$B$5,MATCH($H95,08_Attendance_Rules!$A$2:$A$5,0)),"Half Day",IF($T95="Y","Half Day","Present")))))</f>
        <v>Present</v>
      </c>
      <c r="AA95" s="11" t="str">
        <f aca="false">IF($X95=0,"-",INT($X95/60)&amp;":"&amp;TEXT(MOD($X95,60),"00"))</f>
        <v>12:14</v>
      </c>
      <c r="AB95" s="11" t="str">
        <f aca="false">IF($Y95=0,"-",INT($Y95/60)&amp;":"&amp;TEXT(MOD($Y95,60),"00"))</f>
        <v>0:14</v>
      </c>
    </row>
    <row r="96" customFormat="false" ht="15" hidden="false" customHeight="true" outlineLevel="0" collapsed="false">
      <c r="A96" s="9" t="s">
        <v>2173</v>
      </c>
      <c r="B96" s="9" t="s">
        <v>840</v>
      </c>
      <c r="C96" s="9" t="s">
        <v>841</v>
      </c>
      <c r="D96" s="9" t="s">
        <v>1515</v>
      </c>
      <c r="E96" s="9" t="s">
        <v>2067</v>
      </c>
      <c r="F96" s="9" t="s">
        <v>454</v>
      </c>
      <c r="G96" s="9" t="s">
        <v>454</v>
      </c>
      <c r="H96" s="9" t="n">
        <v>12</v>
      </c>
      <c r="I96" s="9" t="n">
        <v>720</v>
      </c>
      <c r="J96" s="9" t="s">
        <v>2059</v>
      </c>
      <c r="K96" s="9" t="s">
        <v>1516</v>
      </c>
      <c r="L96" s="9" t="s">
        <v>1518</v>
      </c>
      <c r="M96" s="9" t="n">
        <v>732</v>
      </c>
      <c r="N96" s="9" t="n">
        <v>60</v>
      </c>
      <c r="O96" s="9" t="n">
        <v>0</v>
      </c>
      <c r="P96" s="9" t="n">
        <v>0</v>
      </c>
      <c r="Q96" s="9" t="s">
        <v>355</v>
      </c>
      <c r="R96" s="9"/>
      <c r="S96" s="9"/>
      <c r="T96" s="9" t="s">
        <v>226</v>
      </c>
      <c r="U96" s="9" t="s">
        <v>226</v>
      </c>
      <c r="V96" s="9"/>
      <c r="W96" s="9"/>
      <c r="X96" s="9" t="n">
        <f aca="false">$M96-$O96+$P96</f>
        <v>732</v>
      </c>
      <c r="Y96" s="9" t="n">
        <f aca="false">IF($M96=0,0,IF($J96="Working",IF($Q96="All",MAX(0,$M96-$I96),0),IF($Q96="None",0,$M96)))</f>
        <v>12</v>
      </c>
      <c r="Z96" s="23" t="str">
        <f aca="false">IF($J96&lt;&gt;"Working",IF($M96&gt;0,$J96&amp;" — worked",$J96),IF($U96="Y","Present",IF($X96&lt;INDEX(08_Attendance_Rules!$C$2:$C$5,MATCH($H96,08_Attendance_Rules!$A$2:$A$5,0)),"Absent",IF($X96&lt;INDEX(08_Attendance_Rules!$B$2:$B$5,MATCH($H96,08_Attendance_Rules!$A$2:$A$5,0)),"Half Day",IF($T96="Y","Half Day","Present")))))</f>
        <v>Present</v>
      </c>
      <c r="AA96" s="9" t="str">
        <f aca="false">IF($X96=0,"-",INT($X96/60)&amp;":"&amp;TEXT(MOD($X96,60),"00"))</f>
        <v>12:12</v>
      </c>
      <c r="AB96" s="9" t="str">
        <f aca="false">IF($Y96=0,"-",INT($Y96/60)&amp;":"&amp;TEXT(MOD($Y96,60),"00"))</f>
        <v>0:12</v>
      </c>
    </row>
    <row r="97" customFormat="false" ht="21.75" hidden="false" customHeight="true" outlineLevel="0" collapsed="false">
      <c r="A97" s="11" t="s">
        <v>2174</v>
      </c>
      <c r="B97" s="11" t="s">
        <v>840</v>
      </c>
      <c r="C97" s="11" t="s">
        <v>841</v>
      </c>
      <c r="D97" s="11" t="s">
        <v>1359</v>
      </c>
      <c r="E97" s="11" t="s">
        <v>2069</v>
      </c>
      <c r="F97" s="11" t="s">
        <v>454</v>
      </c>
      <c r="G97" s="11" t="s">
        <v>454</v>
      </c>
      <c r="H97" s="11" t="n">
        <v>12</v>
      </c>
      <c r="I97" s="11" t="n">
        <v>720</v>
      </c>
      <c r="J97" s="11" t="s">
        <v>2070</v>
      </c>
      <c r="K97" s="11" t="s">
        <v>1715</v>
      </c>
      <c r="L97" s="11" t="s">
        <v>1539</v>
      </c>
      <c r="M97" s="11" t="n">
        <v>728</v>
      </c>
      <c r="N97" s="11" t="n">
        <v>60</v>
      </c>
      <c r="O97" s="11" t="n">
        <v>0</v>
      </c>
      <c r="P97" s="11" t="n">
        <v>0</v>
      </c>
      <c r="Q97" s="11" t="s">
        <v>355</v>
      </c>
      <c r="R97" s="11"/>
      <c r="S97" s="11"/>
      <c r="T97" s="11" t="s">
        <v>226</v>
      </c>
      <c r="U97" s="11" t="s">
        <v>226</v>
      </c>
      <c r="V97" s="11" t="s">
        <v>2175</v>
      </c>
      <c r="W97" s="11"/>
      <c r="X97" s="11" t="n">
        <f aca="false">$M97-$O97+$P97</f>
        <v>728</v>
      </c>
      <c r="Y97" s="11" t="n">
        <f aca="false">IF($M97=0,0,IF($J97="Working",IF($Q97="All",MAX(0,$M97-$I97),0),IF($Q97="None",0,$M97)))</f>
        <v>728</v>
      </c>
      <c r="Z97" s="24" t="str">
        <f aca="false">IF($J97&lt;&gt;"Working",IF($M97&gt;0,$J97&amp;" — worked",$J97),IF($U97="Y","Present",IF($X97&lt;INDEX(08_Attendance_Rules!$C$2:$C$5,MATCH($H97,08_Attendance_Rules!$A$2:$A$5,0)),"Absent",IF($X97&lt;INDEX(08_Attendance_Rules!$B$2:$B$5,MATCH($H97,08_Attendance_Rules!$A$2:$A$5,0)),"Half Day",IF($T97="Y","Half Day","Present")))))</f>
        <v>Weekly Off — worked</v>
      </c>
      <c r="AA97" s="11" t="str">
        <f aca="false">IF($X97=0,"-",INT($X97/60)&amp;":"&amp;TEXT(MOD($X97,60),"00"))</f>
        <v>12:08</v>
      </c>
      <c r="AB97" s="11" t="str">
        <f aca="false">IF($Y97=0,"-",INT($Y97/60)&amp;":"&amp;TEXT(MOD($Y97,60),"00"))</f>
        <v>12:08</v>
      </c>
    </row>
    <row r="98" customFormat="false" ht="15" hidden="false" customHeight="true" outlineLevel="0" collapsed="false">
      <c r="A98" s="9" t="s">
        <v>2176</v>
      </c>
      <c r="B98" s="9" t="s">
        <v>840</v>
      </c>
      <c r="C98" s="9" t="s">
        <v>841</v>
      </c>
      <c r="D98" s="9" t="s">
        <v>1332</v>
      </c>
      <c r="E98" s="9" t="s">
        <v>2072</v>
      </c>
      <c r="F98" s="9" t="s">
        <v>454</v>
      </c>
      <c r="G98" s="9" t="s">
        <v>454</v>
      </c>
      <c r="H98" s="9" t="n">
        <v>12</v>
      </c>
      <c r="I98" s="9" t="n">
        <v>720</v>
      </c>
      <c r="J98" s="9" t="s">
        <v>2059</v>
      </c>
      <c r="K98" s="9" t="s">
        <v>1520</v>
      </c>
      <c r="L98" s="9" t="s">
        <v>1522</v>
      </c>
      <c r="M98" s="9" t="n">
        <v>743</v>
      </c>
      <c r="N98" s="9" t="n">
        <v>60</v>
      </c>
      <c r="O98" s="9" t="n">
        <v>0</v>
      </c>
      <c r="P98" s="9" t="n">
        <v>0</v>
      </c>
      <c r="Q98" s="9" t="s">
        <v>355</v>
      </c>
      <c r="R98" s="9"/>
      <c r="S98" s="9"/>
      <c r="T98" s="9" t="s">
        <v>226</v>
      </c>
      <c r="U98" s="9" t="s">
        <v>226</v>
      </c>
      <c r="V98" s="9"/>
      <c r="W98" s="9"/>
      <c r="X98" s="9" t="n">
        <f aca="false">$M98-$O98+$P98</f>
        <v>743</v>
      </c>
      <c r="Y98" s="9" t="n">
        <f aca="false">IF($M98=0,0,IF($J98="Working",IF($Q98="All",MAX(0,$M98-$I98),0),IF($Q98="None",0,$M98)))</f>
        <v>23</v>
      </c>
      <c r="Z98" s="23" t="str">
        <f aca="false">IF($J98&lt;&gt;"Working",IF($M98&gt;0,$J98&amp;" — worked",$J98),IF($U98="Y","Present",IF($X98&lt;INDEX(08_Attendance_Rules!$C$2:$C$5,MATCH($H98,08_Attendance_Rules!$A$2:$A$5,0)),"Absent",IF($X98&lt;INDEX(08_Attendance_Rules!$B$2:$B$5,MATCH($H98,08_Attendance_Rules!$A$2:$A$5,0)),"Half Day",IF($T98="Y","Half Day","Present")))))</f>
        <v>Present</v>
      </c>
      <c r="AA98" s="9" t="str">
        <f aca="false">IF($X98=0,"-",INT($X98/60)&amp;":"&amp;TEXT(MOD($X98,60),"00"))</f>
        <v>12:23</v>
      </c>
      <c r="AB98" s="9" t="str">
        <f aca="false">IF($Y98=0,"-",INT($Y98/60)&amp;":"&amp;TEXT(MOD($Y98,60),"00"))</f>
        <v>0:23</v>
      </c>
    </row>
    <row r="99" customFormat="false" ht="15" hidden="false" customHeight="true" outlineLevel="0" collapsed="false">
      <c r="A99" s="11" t="s">
        <v>2177</v>
      </c>
      <c r="B99" s="11" t="s">
        <v>840</v>
      </c>
      <c r="C99" s="11" t="s">
        <v>841</v>
      </c>
      <c r="D99" s="11" t="s">
        <v>1524</v>
      </c>
      <c r="E99" s="11" t="s">
        <v>2058</v>
      </c>
      <c r="F99" s="11" t="s">
        <v>454</v>
      </c>
      <c r="G99" s="11" t="s">
        <v>454</v>
      </c>
      <c r="H99" s="11" t="n">
        <v>12</v>
      </c>
      <c r="I99" s="11" t="n">
        <v>720</v>
      </c>
      <c r="J99" s="11" t="s">
        <v>2059</v>
      </c>
      <c r="K99" s="11" t="s">
        <v>472</v>
      </c>
      <c r="L99" s="11" t="s">
        <v>1571</v>
      </c>
      <c r="M99" s="11" t="n">
        <v>726</v>
      </c>
      <c r="N99" s="11" t="n">
        <v>60</v>
      </c>
      <c r="O99" s="11" t="n">
        <v>0</v>
      </c>
      <c r="P99" s="11" t="n">
        <v>0</v>
      </c>
      <c r="Q99" s="11" t="s">
        <v>355</v>
      </c>
      <c r="R99" s="11"/>
      <c r="S99" s="11"/>
      <c r="T99" s="11" t="s">
        <v>226</v>
      </c>
      <c r="U99" s="11" t="s">
        <v>226</v>
      </c>
      <c r="V99" s="11"/>
      <c r="W99" s="11"/>
      <c r="X99" s="11" t="n">
        <f aca="false">$M99-$O99+$P99</f>
        <v>726</v>
      </c>
      <c r="Y99" s="11" t="n">
        <f aca="false">IF($M99=0,0,IF($J99="Working",IF($Q99="All",MAX(0,$M99-$I99),0),IF($Q99="None",0,$M99)))</f>
        <v>6</v>
      </c>
      <c r="Z99" s="24" t="str">
        <f aca="false">IF($J99&lt;&gt;"Working",IF($M99&gt;0,$J99&amp;" — worked",$J99),IF($U99="Y","Present",IF($X99&lt;INDEX(08_Attendance_Rules!$C$2:$C$5,MATCH($H99,08_Attendance_Rules!$A$2:$A$5,0)),"Absent",IF($X99&lt;INDEX(08_Attendance_Rules!$B$2:$B$5,MATCH($H99,08_Attendance_Rules!$A$2:$A$5,0)),"Half Day",IF($T99="Y","Half Day","Present")))))</f>
        <v>Present</v>
      </c>
      <c r="AA99" s="11" t="str">
        <f aca="false">IF($X99=0,"-",INT($X99/60)&amp;":"&amp;TEXT(MOD($X99,60),"00"))</f>
        <v>12:06</v>
      </c>
      <c r="AB99" s="11" t="str">
        <f aca="false">IF($Y99=0,"-",INT($Y99/60)&amp;":"&amp;TEXT(MOD($Y99,60),"00"))</f>
        <v>0:06</v>
      </c>
    </row>
    <row r="100" customFormat="false" ht="15" hidden="false" customHeight="true" outlineLevel="0" collapsed="false">
      <c r="A100" s="9" t="s">
        <v>2178</v>
      </c>
      <c r="B100" s="9" t="s">
        <v>840</v>
      </c>
      <c r="C100" s="9" t="s">
        <v>841</v>
      </c>
      <c r="D100" s="9" t="s">
        <v>1377</v>
      </c>
      <c r="E100" s="9" t="s">
        <v>2061</v>
      </c>
      <c r="F100" s="9" t="s">
        <v>454</v>
      </c>
      <c r="G100" s="9" t="s">
        <v>454</v>
      </c>
      <c r="H100" s="9" t="n">
        <v>12</v>
      </c>
      <c r="I100" s="9" t="n">
        <v>720</v>
      </c>
      <c r="J100" s="9" t="s">
        <v>2059</v>
      </c>
      <c r="K100" s="9" t="s">
        <v>1552</v>
      </c>
      <c r="L100" s="9" t="s">
        <v>1574</v>
      </c>
      <c r="M100" s="9" t="n">
        <v>732</v>
      </c>
      <c r="N100" s="9" t="n">
        <v>60</v>
      </c>
      <c r="O100" s="9" t="n">
        <v>0</v>
      </c>
      <c r="P100" s="9" t="n">
        <v>0</v>
      </c>
      <c r="Q100" s="9" t="s">
        <v>355</v>
      </c>
      <c r="R100" s="9"/>
      <c r="S100" s="9"/>
      <c r="T100" s="9" t="s">
        <v>226</v>
      </c>
      <c r="U100" s="9" t="s">
        <v>226</v>
      </c>
      <c r="V100" s="9"/>
      <c r="W100" s="9"/>
      <c r="X100" s="9" t="n">
        <f aca="false">$M100-$O100+$P100</f>
        <v>732</v>
      </c>
      <c r="Y100" s="9" t="n">
        <f aca="false">IF($M100=0,0,IF($J100="Working",IF($Q100="All",MAX(0,$M100-$I100),0),IF($Q100="None",0,$M100)))</f>
        <v>12</v>
      </c>
      <c r="Z100" s="23" t="str">
        <f aca="false">IF($J100&lt;&gt;"Working",IF($M100&gt;0,$J100&amp;" — worked",$J100),IF($U100="Y","Present",IF($X100&lt;INDEX(08_Attendance_Rules!$C$2:$C$5,MATCH($H100,08_Attendance_Rules!$A$2:$A$5,0)),"Absent",IF($X100&lt;INDEX(08_Attendance_Rules!$B$2:$B$5,MATCH($H100,08_Attendance_Rules!$A$2:$A$5,0)),"Half Day",IF($T100="Y","Half Day","Present")))))</f>
        <v>Present</v>
      </c>
      <c r="AA100" s="9" t="str">
        <f aca="false">IF($X100=0,"-",INT($X100/60)&amp;":"&amp;TEXT(MOD($X100,60),"00"))</f>
        <v>12:12</v>
      </c>
      <c r="AB100" s="9" t="str">
        <f aca="false">IF($Y100=0,"-",INT($Y100/60)&amp;":"&amp;TEXT(MOD($Y100,60),"00"))</f>
        <v>0:12</v>
      </c>
    </row>
    <row r="101" customFormat="false" ht="15" hidden="false" customHeight="true" outlineLevel="0" collapsed="false">
      <c r="A101" s="11" t="s">
        <v>2179</v>
      </c>
      <c r="B101" s="11" t="s">
        <v>840</v>
      </c>
      <c r="C101" s="11" t="s">
        <v>841</v>
      </c>
      <c r="D101" s="11" t="s">
        <v>1355</v>
      </c>
      <c r="E101" s="11" t="s">
        <v>2063</v>
      </c>
      <c r="F101" s="11" t="s">
        <v>454</v>
      </c>
      <c r="G101" s="11" t="s">
        <v>454</v>
      </c>
      <c r="H101" s="11" t="n">
        <v>12</v>
      </c>
      <c r="I101" s="11" t="n">
        <v>720</v>
      </c>
      <c r="J101" s="11" t="s">
        <v>2059</v>
      </c>
      <c r="K101" s="11" t="s">
        <v>1537</v>
      </c>
      <c r="L101" s="11" t="s">
        <v>1539</v>
      </c>
      <c r="M101" s="11" t="n">
        <v>731</v>
      </c>
      <c r="N101" s="11" t="n">
        <v>60</v>
      </c>
      <c r="O101" s="11" t="n">
        <v>0</v>
      </c>
      <c r="P101" s="11" t="n">
        <v>0</v>
      </c>
      <c r="Q101" s="11" t="s">
        <v>355</v>
      </c>
      <c r="R101" s="11" t="n">
        <v>1</v>
      </c>
      <c r="S101" s="11"/>
      <c r="T101" s="11" t="s">
        <v>226</v>
      </c>
      <c r="U101" s="11" t="s">
        <v>226</v>
      </c>
      <c r="V101" s="11"/>
      <c r="W101" s="11"/>
      <c r="X101" s="11" t="n">
        <f aca="false">$M101-$O101+$P101</f>
        <v>731</v>
      </c>
      <c r="Y101" s="11" t="n">
        <f aca="false">IF($M101=0,0,IF($J101="Working",IF($Q101="All",MAX(0,$M101-$I101),0),IF($Q101="None",0,$M101)))</f>
        <v>11</v>
      </c>
      <c r="Z101" s="24" t="str">
        <f aca="false">IF($J101&lt;&gt;"Working",IF($M101&gt;0,$J101&amp;" — worked",$J101),IF($U101="Y","Present",IF($X101&lt;INDEX(08_Attendance_Rules!$C$2:$C$5,MATCH($H101,08_Attendance_Rules!$A$2:$A$5,0)),"Absent",IF($X101&lt;INDEX(08_Attendance_Rules!$B$2:$B$5,MATCH($H101,08_Attendance_Rules!$A$2:$A$5,0)),"Half Day",IF($T101="Y","Half Day","Present")))))</f>
        <v>Present</v>
      </c>
      <c r="AA101" s="11" t="str">
        <f aca="false">IF($X101=0,"-",INT($X101/60)&amp;":"&amp;TEXT(MOD($X101,60),"00"))</f>
        <v>12:11</v>
      </c>
      <c r="AB101" s="11" t="str">
        <f aca="false">IF($Y101=0,"-",INT($Y101/60)&amp;":"&amp;TEXT(MOD($Y101,60),"00"))</f>
        <v>0:11</v>
      </c>
    </row>
    <row r="102" customFormat="false" ht="15" hidden="false" customHeight="true" outlineLevel="0" collapsed="false">
      <c r="A102" s="9" t="s">
        <v>2180</v>
      </c>
      <c r="B102" s="9" t="s">
        <v>840</v>
      </c>
      <c r="C102" s="9" t="s">
        <v>841</v>
      </c>
      <c r="D102" s="9" t="s">
        <v>1459</v>
      </c>
      <c r="E102" s="9" t="s">
        <v>2065</v>
      </c>
      <c r="F102" s="9" t="s">
        <v>454</v>
      </c>
      <c r="G102" s="9" t="s">
        <v>454</v>
      </c>
      <c r="H102" s="9" t="n">
        <v>12</v>
      </c>
      <c r="I102" s="9" t="n">
        <v>720</v>
      </c>
      <c r="J102" s="9" t="s">
        <v>2059</v>
      </c>
      <c r="K102" s="9" t="s">
        <v>1541</v>
      </c>
      <c r="L102" s="9" t="s">
        <v>1543</v>
      </c>
      <c r="M102" s="9" t="n">
        <v>732</v>
      </c>
      <c r="N102" s="9" t="n">
        <v>60</v>
      </c>
      <c r="O102" s="9" t="n">
        <v>0</v>
      </c>
      <c r="P102" s="9" t="n">
        <v>0</v>
      </c>
      <c r="Q102" s="9" t="s">
        <v>355</v>
      </c>
      <c r="R102" s="9"/>
      <c r="S102" s="9"/>
      <c r="T102" s="9" t="s">
        <v>226</v>
      </c>
      <c r="U102" s="9" t="s">
        <v>226</v>
      </c>
      <c r="V102" s="9"/>
      <c r="W102" s="9"/>
      <c r="X102" s="9" t="n">
        <f aca="false">$M102-$O102+$P102</f>
        <v>732</v>
      </c>
      <c r="Y102" s="9" t="n">
        <f aca="false">IF($M102=0,0,IF($J102="Working",IF($Q102="All",MAX(0,$M102-$I102),0),IF($Q102="None",0,$M102)))</f>
        <v>12</v>
      </c>
      <c r="Z102" s="23" t="str">
        <f aca="false">IF($J102&lt;&gt;"Working",IF($M102&gt;0,$J102&amp;" — worked",$J102),IF($U102="Y","Present",IF($X102&lt;INDEX(08_Attendance_Rules!$C$2:$C$5,MATCH($H102,08_Attendance_Rules!$A$2:$A$5,0)),"Absent",IF($X102&lt;INDEX(08_Attendance_Rules!$B$2:$B$5,MATCH($H102,08_Attendance_Rules!$A$2:$A$5,0)),"Half Day",IF($T102="Y","Half Day","Present")))))</f>
        <v>Present</v>
      </c>
      <c r="AA102" s="9" t="str">
        <f aca="false">IF($X102=0,"-",INT($X102/60)&amp;":"&amp;TEXT(MOD($X102,60),"00"))</f>
        <v>12:12</v>
      </c>
      <c r="AB102" s="9" t="str">
        <f aca="false">IF($Y102=0,"-",INT($Y102/60)&amp;":"&amp;TEXT(MOD($Y102,60),"00"))</f>
        <v>0:12</v>
      </c>
    </row>
    <row r="103" customFormat="false" ht="15" hidden="false" customHeight="true" outlineLevel="0" collapsed="false">
      <c r="A103" s="11" t="s">
        <v>2181</v>
      </c>
      <c r="B103" s="11" t="s">
        <v>840</v>
      </c>
      <c r="C103" s="11" t="s">
        <v>841</v>
      </c>
      <c r="D103" s="11" t="s">
        <v>1545</v>
      </c>
      <c r="E103" s="11" t="s">
        <v>2067</v>
      </c>
      <c r="F103" s="11" t="s">
        <v>454</v>
      </c>
      <c r="G103" s="11" t="s">
        <v>454</v>
      </c>
      <c r="H103" s="11" t="n">
        <v>12</v>
      </c>
      <c r="I103" s="11" t="n">
        <v>720</v>
      </c>
      <c r="J103" s="11" t="s">
        <v>2059</v>
      </c>
      <c r="K103" s="11" t="s">
        <v>1546</v>
      </c>
      <c r="L103" s="11" t="s">
        <v>1548</v>
      </c>
      <c r="M103" s="11" t="n">
        <v>737</v>
      </c>
      <c r="N103" s="11" t="n">
        <v>60</v>
      </c>
      <c r="O103" s="11" t="n">
        <v>0</v>
      </c>
      <c r="P103" s="11" t="n">
        <v>0</v>
      </c>
      <c r="Q103" s="11" t="s">
        <v>355</v>
      </c>
      <c r="R103" s="11" t="n">
        <v>2</v>
      </c>
      <c r="S103" s="11"/>
      <c r="T103" s="11" t="s">
        <v>226</v>
      </c>
      <c r="U103" s="11" t="s">
        <v>226</v>
      </c>
      <c r="V103" s="11"/>
      <c r="W103" s="11"/>
      <c r="X103" s="11" t="n">
        <f aca="false">$M103-$O103+$P103</f>
        <v>737</v>
      </c>
      <c r="Y103" s="11" t="n">
        <f aca="false">IF($M103=0,0,IF($J103="Working",IF($Q103="All",MAX(0,$M103-$I103),0),IF($Q103="None",0,$M103)))</f>
        <v>17</v>
      </c>
      <c r="Z103" s="24" t="str">
        <f aca="false">IF($J103&lt;&gt;"Working",IF($M103&gt;0,$J103&amp;" — worked",$J103),IF($U103="Y","Present",IF($X103&lt;INDEX(08_Attendance_Rules!$C$2:$C$5,MATCH($H103,08_Attendance_Rules!$A$2:$A$5,0)),"Absent",IF($X103&lt;INDEX(08_Attendance_Rules!$B$2:$B$5,MATCH($H103,08_Attendance_Rules!$A$2:$A$5,0)),"Half Day",IF($T103="Y","Half Day","Present")))))</f>
        <v>Present</v>
      </c>
      <c r="AA103" s="11" t="str">
        <f aca="false">IF($X103=0,"-",INT($X103/60)&amp;":"&amp;TEXT(MOD($X103,60),"00"))</f>
        <v>12:17</v>
      </c>
      <c r="AB103" s="11" t="str">
        <f aca="false">IF($Y103=0,"-",INT($Y103/60)&amp;":"&amp;TEXT(MOD($Y103,60),"00"))</f>
        <v>0:17</v>
      </c>
    </row>
    <row r="104" customFormat="false" ht="15" hidden="false" customHeight="true" outlineLevel="0" collapsed="false">
      <c r="A104" s="9" t="s">
        <v>2182</v>
      </c>
      <c r="B104" s="9" t="s">
        <v>840</v>
      </c>
      <c r="C104" s="9" t="s">
        <v>841</v>
      </c>
      <c r="D104" s="9" t="s">
        <v>1409</v>
      </c>
      <c r="E104" s="9" t="s">
        <v>2069</v>
      </c>
      <c r="F104" s="9" t="s">
        <v>454</v>
      </c>
      <c r="G104" s="9" t="s">
        <v>454</v>
      </c>
      <c r="H104" s="9" t="n">
        <v>12</v>
      </c>
      <c r="I104" s="9" t="n">
        <v>720</v>
      </c>
      <c r="J104" s="9" t="s">
        <v>2070</v>
      </c>
      <c r="K104" s="9"/>
      <c r="L104" s="9"/>
      <c r="M104" s="9" t="n">
        <v>0</v>
      </c>
      <c r="N104" s="9" t="n">
        <v>0</v>
      </c>
      <c r="O104" s="9" t="n">
        <v>0</v>
      </c>
      <c r="P104" s="9" t="n">
        <v>0</v>
      </c>
      <c r="Q104" s="9" t="s">
        <v>355</v>
      </c>
      <c r="R104" s="9"/>
      <c r="S104" s="9"/>
      <c r="T104" s="9" t="s">
        <v>226</v>
      </c>
      <c r="U104" s="9" t="s">
        <v>226</v>
      </c>
      <c r="V104" s="9"/>
      <c r="W104" s="9"/>
      <c r="X104" s="9" t="n">
        <f aca="false">$M104-$O104+$P104</f>
        <v>0</v>
      </c>
      <c r="Y104" s="9" t="n">
        <f aca="false">IF($M104=0,0,IF($J104="Working",IF($Q104="All",MAX(0,$M104-$I104),0),IF($Q104="None",0,$M104)))</f>
        <v>0</v>
      </c>
      <c r="Z104" s="23" t="str">
        <f aca="false">IF($J104&lt;&gt;"Working",IF($M104&gt;0,$J104&amp;" — worked",$J104),IF($U104="Y","Present",IF($X104&lt;INDEX(08_Attendance_Rules!$C$2:$C$5,MATCH($H104,08_Attendance_Rules!$A$2:$A$5,0)),"Absent",IF($X104&lt;INDEX(08_Attendance_Rules!$B$2:$B$5,MATCH($H104,08_Attendance_Rules!$A$2:$A$5,0)),"Half Day",IF($T104="Y","Half Day","Present")))))</f>
        <v>Weekly Off</v>
      </c>
      <c r="AA104" s="9" t="str">
        <f aca="false">IF($X104=0,"-",INT($X104/60)&amp;":"&amp;TEXT(MOD($X104,60),"00"))</f>
        <v>-</v>
      </c>
      <c r="AB104" s="9" t="str">
        <f aca="false">IF($Y104=0,"-",INT($Y104/60)&amp;":"&amp;TEXT(MOD($Y104,60),"00"))</f>
        <v>-</v>
      </c>
    </row>
    <row r="105" customFormat="false" ht="15" hidden="false" customHeight="true" outlineLevel="0" collapsed="false">
      <c r="A105" s="11" t="s">
        <v>2183</v>
      </c>
      <c r="B105" s="11" t="s">
        <v>840</v>
      </c>
      <c r="C105" s="11" t="s">
        <v>841</v>
      </c>
      <c r="D105" s="11" t="s">
        <v>1337</v>
      </c>
      <c r="E105" s="11" t="s">
        <v>2072</v>
      </c>
      <c r="F105" s="11" t="s">
        <v>454</v>
      </c>
      <c r="G105" s="11" t="s">
        <v>454</v>
      </c>
      <c r="H105" s="11" t="n">
        <v>12</v>
      </c>
      <c r="I105" s="11" t="n">
        <v>720</v>
      </c>
      <c r="J105" s="11" t="s">
        <v>2059</v>
      </c>
      <c r="K105" s="11" t="s">
        <v>457</v>
      </c>
      <c r="L105" s="11" t="s">
        <v>1535</v>
      </c>
      <c r="M105" s="11" t="n">
        <v>730</v>
      </c>
      <c r="N105" s="11" t="n">
        <v>60</v>
      </c>
      <c r="O105" s="11" t="n">
        <v>0</v>
      </c>
      <c r="P105" s="11" t="n">
        <v>0</v>
      </c>
      <c r="Q105" s="11" t="s">
        <v>355</v>
      </c>
      <c r="R105" s="11"/>
      <c r="S105" s="11"/>
      <c r="T105" s="11" t="s">
        <v>226</v>
      </c>
      <c r="U105" s="11" t="s">
        <v>226</v>
      </c>
      <c r="V105" s="11"/>
      <c r="W105" s="11"/>
      <c r="X105" s="11" t="n">
        <f aca="false">$M105-$O105+$P105</f>
        <v>730</v>
      </c>
      <c r="Y105" s="11" t="n">
        <f aca="false">IF($M105=0,0,IF($J105="Working",IF($Q105="All",MAX(0,$M105-$I105),0),IF($Q105="None",0,$M105)))</f>
        <v>10</v>
      </c>
      <c r="Z105" s="24" t="str">
        <f aca="false">IF($J105&lt;&gt;"Working",IF($M105&gt;0,$J105&amp;" — worked",$J105),IF($U105="Y","Present",IF($X105&lt;INDEX(08_Attendance_Rules!$C$2:$C$5,MATCH($H105,08_Attendance_Rules!$A$2:$A$5,0)),"Absent",IF($X105&lt;INDEX(08_Attendance_Rules!$B$2:$B$5,MATCH($H105,08_Attendance_Rules!$A$2:$A$5,0)),"Half Day",IF($T105="Y","Half Day","Present")))))</f>
        <v>Present</v>
      </c>
      <c r="AA105" s="11" t="str">
        <f aca="false">IF($X105=0,"-",INT($X105/60)&amp;":"&amp;TEXT(MOD($X105,60),"00"))</f>
        <v>12:10</v>
      </c>
      <c r="AB105" s="11" t="str">
        <f aca="false">IF($Y105=0,"-",INT($Y105/60)&amp;":"&amp;TEXT(MOD($Y105,60),"00"))</f>
        <v>0:10</v>
      </c>
    </row>
    <row r="106" customFormat="false" ht="15" hidden="false" customHeight="true" outlineLevel="0" collapsed="false">
      <c r="A106" s="9" t="s">
        <v>2184</v>
      </c>
      <c r="B106" s="9" t="s">
        <v>840</v>
      </c>
      <c r="C106" s="9" t="s">
        <v>841</v>
      </c>
      <c r="D106" s="9" t="s">
        <v>531</v>
      </c>
      <c r="E106" s="9" t="s">
        <v>2058</v>
      </c>
      <c r="F106" s="9" t="s">
        <v>454</v>
      </c>
      <c r="G106" s="9" t="s">
        <v>454</v>
      </c>
      <c r="H106" s="9" t="n">
        <v>12</v>
      </c>
      <c r="I106" s="9" t="n">
        <v>720</v>
      </c>
      <c r="J106" s="9" t="s">
        <v>2059</v>
      </c>
      <c r="K106" s="9" t="s">
        <v>1552</v>
      </c>
      <c r="L106" s="9" t="s">
        <v>1498</v>
      </c>
      <c r="M106" s="9" t="n">
        <v>729</v>
      </c>
      <c r="N106" s="9" t="n">
        <v>60</v>
      </c>
      <c r="O106" s="9" t="n">
        <v>0</v>
      </c>
      <c r="P106" s="9" t="n">
        <v>0</v>
      </c>
      <c r="Q106" s="9" t="s">
        <v>355</v>
      </c>
      <c r="R106" s="9"/>
      <c r="S106" s="9"/>
      <c r="T106" s="9" t="s">
        <v>226</v>
      </c>
      <c r="U106" s="9" t="s">
        <v>226</v>
      </c>
      <c r="V106" s="9"/>
      <c r="W106" s="9"/>
      <c r="X106" s="9" t="n">
        <f aca="false">$M106-$O106+$P106</f>
        <v>729</v>
      </c>
      <c r="Y106" s="9" t="n">
        <f aca="false">IF($M106=0,0,IF($J106="Working",IF($Q106="All",MAX(0,$M106-$I106),0),IF($Q106="None",0,$M106)))</f>
        <v>9</v>
      </c>
      <c r="Z106" s="23" t="str">
        <f aca="false">IF($J106&lt;&gt;"Working",IF($M106&gt;0,$J106&amp;" — worked",$J106),IF($U106="Y","Present",IF($X106&lt;INDEX(08_Attendance_Rules!$C$2:$C$5,MATCH($H106,08_Attendance_Rules!$A$2:$A$5,0)),"Absent",IF($X106&lt;INDEX(08_Attendance_Rules!$B$2:$B$5,MATCH($H106,08_Attendance_Rules!$A$2:$A$5,0)),"Half Day",IF($T106="Y","Half Day","Present")))))</f>
        <v>Present</v>
      </c>
      <c r="AA106" s="9" t="str">
        <f aca="false">IF($X106=0,"-",INT($X106/60)&amp;":"&amp;TEXT(MOD($X106,60),"00"))</f>
        <v>12:09</v>
      </c>
      <c r="AB106" s="9" t="str">
        <f aca="false">IF($Y106=0,"-",INT($Y106/60)&amp;":"&amp;TEXT(MOD($Y106,60),"00"))</f>
        <v>0:09</v>
      </c>
    </row>
    <row r="107" customFormat="false" ht="15" hidden="false" customHeight="true" outlineLevel="0" collapsed="false">
      <c r="A107" s="11" t="s">
        <v>2185</v>
      </c>
      <c r="B107" s="11" t="s">
        <v>875</v>
      </c>
      <c r="C107" s="11" t="s">
        <v>876</v>
      </c>
      <c r="D107" s="11" t="s">
        <v>1151</v>
      </c>
      <c r="E107" s="11" t="s">
        <v>2058</v>
      </c>
      <c r="F107" s="11" t="s">
        <v>454</v>
      </c>
      <c r="G107" s="11" t="s">
        <v>454</v>
      </c>
      <c r="H107" s="11" t="n">
        <v>12</v>
      </c>
      <c r="I107" s="11" t="n">
        <v>720</v>
      </c>
      <c r="J107" s="11" t="s">
        <v>2059</v>
      </c>
      <c r="K107" s="11" t="s">
        <v>1493</v>
      </c>
      <c r="L107" s="11" t="s">
        <v>1498</v>
      </c>
      <c r="M107" s="11" t="n">
        <v>731</v>
      </c>
      <c r="N107" s="11" t="n">
        <v>60</v>
      </c>
      <c r="O107" s="11" t="n">
        <v>0</v>
      </c>
      <c r="P107" s="11" t="n">
        <v>0</v>
      </c>
      <c r="Q107" s="11" t="s">
        <v>355</v>
      </c>
      <c r="R107" s="11"/>
      <c r="S107" s="11"/>
      <c r="T107" s="11" t="s">
        <v>226</v>
      </c>
      <c r="U107" s="11" t="s">
        <v>226</v>
      </c>
      <c r="V107" s="11"/>
      <c r="W107" s="11"/>
      <c r="X107" s="11" t="n">
        <f aca="false">$M107-$O107+$P107</f>
        <v>731</v>
      </c>
      <c r="Y107" s="11" t="n">
        <f aca="false">IF($M107=0,0,IF($J107="Working",IF($Q107="All",MAX(0,$M107-$I107),0),IF($Q107="None",0,$M107)))</f>
        <v>11</v>
      </c>
      <c r="Z107" s="24" t="str">
        <f aca="false">IF($J107&lt;&gt;"Working",IF($M107&gt;0,$J107&amp;" — worked",$J107),IF($U107="Y","Present",IF($X107&lt;INDEX(08_Attendance_Rules!$C$2:$C$5,MATCH($H107,08_Attendance_Rules!$A$2:$A$5,0)),"Absent",IF($X107&lt;INDEX(08_Attendance_Rules!$B$2:$B$5,MATCH($H107,08_Attendance_Rules!$A$2:$A$5,0)),"Half Day",IF($T107="Y","Half Day","Present")))))</f>
        <v>Present</v>
      </c>
      <c r="AA107" s="11" t="str">
        <f aca="false">IF($X107=0,"-",INT($X107/60)&amp;":"&amp;TEXT(MOD($X107,60),"00"))</f>
        <v>12:11</v>
      </c>
      <c r="AB107" s="11" t="str">
        <f aca="false">IF($Y107=0,"-",INT($Y107/60)&amp;":"&amp;TEXT(MOD($Y107,60),"00"))</f>
        <v>0:11</v>
      </c>
    </row>
    <row r="108" customFormat="false" ht="15" hidden="false" customHeight="true" outlineLevel="0" collapsed="false">
      <c r="A108" s="9" t="s">
        <v>2186</v>
      </c>
      <c r="B108" s="9" t="s">
        <v>875</v>
      </c>
      <c r="C108" s="9" t="s">
        <v>876</v>
      </c>
      <c r="D108" s="9" t="s">
        <v>593</v>
      </c>
      <c r="E108" s="9" t="s">
        <v>2061</v>
      </c>
      <c r="F108" s="9" t="s">
        <v>454</v>
      </c>
      <c r="G108" s="9" t="s">
        <v>454</v>
      </c>
      <c r="H108" s="9" t="n">
        <v>12</v>
      </c>
      <c r="I108" s="9" t="n">
        <v>720</v>
      </c>
      <c r="J108" s="9" t="s">
        <v>2059</v>
      </c>
      <c r="K108" s="9" t="s">
        <v>1500</v>
      </c>
      <c r="L108" s="9" t="s">
        <v>1503</v>
      </c>
      <c r="M108" s="9" t="n">
        <v>733</v>
      </c>
      <c r="N108" s="9" t="n">
        <v>60</v>
      </c>
      <c r="O108" s="9" t="n">
        <v>0</v>
      </c>
      <c r="P108" s="9" t="n">
        <v>0</v>
      </c>
      <c r="Q108" s="9" t="s">
        <v>355</v>
      </c>
      <c r="R108" s="9"/>
      <c r="S108" s="9"/>
      <c r="T108" s="9" t="s">
        <v>226</v>
      </c>
      <c r="U108" s="9" t="s">
        <v>226</v>
      </c>
      <c r="V108" s="9"/>
      <c r="W108" s="9"/>
      <c r="X108" s="9" t="n">
        <f aca="false">$M108-$O108+$P108</f>
        <v>733</v>
      </c>
      <c r="Y108" s="9" t="n">
        <f aca="false">IF($M108=0,0,IF($J108="Working",IF($Q108="All",MAX(0,$M108-$I108),0),IF($Q108="None",0,$M108)))</f>
        <v>13</v>
      </c>
      <c r="Z108" s="23" t="str">
        <f aca="false">IF($J108&lt;&gt;"Working",IF($M108&gt;0,$J108&amp;" — worked",$J108),IF($U108="Y","Present",IF($X108&lt;INDEX(08_Attendance_Rules!$C$2:$C$5,MATCH($H108,08_Attendance_Rules!$A$2:$A$5,0)),"Absent",IF($X108&lt;INDEX(08_Attendance_Rules!$B$2:$B$5,MATCH($H108,08_Attendance_Rules!$A$2:$A$5,0)),"Half Day",IF($T108="Y","Half Day","Present")))))</f>
        <v>Present</v>
      </c>
      <c r="AA108" s="9" t="str">
        <f aca="false">IF($X108=0,"-",INT($X108/60)&amp;":"&amp;TEXT(MOD($X108,60),"00"))</f>
        <v>12:13</v>
      </c>
      <c r="AB108" s="9" t="str">
        <f aca="false">IF($Y108=0,"-",INT($Y108/60)&amp;":"&amp;TEXT(MOD($Y108,60),"00"))</f>
        <v>0:13</v>
      </c>
    </row>
    <row r="109" customFormat="false" ht="15" hidden="false" customHeight="true" outlineLevel="0" collapsed="false">
      <c r="A109" s="11" t="s">
        <v>2187</v>
      </c>
      <c r="B109" s="11" t="s">
        <v>875</v>
      </c>
      <c r="C109" s="11" t="s">
        <v>876</v>
      </c>
      <c r="D109" s="11" t="s">
        <v>1505</v>
      </c>
      <c r="E109" s="11" t="s">
        <v>2063</v>
      </c>
      <c r="F109" s="11" t="s">
        <v>454</v>
      </c>
      <c r="G109" s="11" t="s">
        <v>454</v>
      </c>
      <c r="H109" s="11" t="n">
        <v>12</v>
      </c>
      <c r="I109" s="11" t="n">
        <v>720</v>
      </c>
      <c r="J109" s="11" t="s">
        <v>2059</v>
      </c>
      <c r="K109" s="11" t="s">
        <v>1506</v>
      </c>
      <c r="L109" s="11" t="s">
        <v>1509</v>
      </c>
      <c r="M109" s="11" t="n">
        <v>730</v>
      </c>
      <c r="N109" s="11" t="n">
        <v>60</v>
      </c>
      <c r="O109" s="11" t="n">
        <v>0</v>
      </c>
      <c r="P109" s="11" t="n">
        <v>0</v>
      </c>
      <c r="Q109" s="11" t="s">
        <v>355</v>
      </c>
      <c r="R109" s="11"/>
      <c r="S109" s="11"/>
      <c r="T109" s="11" t="s">
        <v>226</v>
      </c>
      <c r="U109" s="11" t="s">
        <v>226</v>
      </c>
      <c r="V109" s="11"/>
      <c r="W109" s="11"/>
      <c r="X109" s="11" t="n">
        <f aca="false">$M109-$O109+$P109</f>
        <v>730</v>
      </c>
      <c r="Y109" s="11" t="n">
        <f aca="false">IF($M109=0,0,IF($J109="Working",IF($Q109="All",MAX(0,$M109-$I109),0),IF($Q109="None",0,$M109)))</f>
        <v>10</v>
      </c>
      <c r="Z109" s="24" t="str">
        <f aca="false">IF($J109&lt;&gt;"Working",IF($M109&gt;0,$J109&amp;" — worked",$J109),IF($U109="Y","Present",IF($X109&lt;INDEX(08_Attendance_Rules!$C$2:$C$5,MATCH($H109,08_Attendance_Rules!$A$2:$A$5,0)),"Absent",IF($X109&lt;INDEX(08_Attendance_Rules!$B$2:$B$5,MATCH($H109,08_Attendance_Rules!$A$2:$A$5,0)),"Half Day",IF($T109="Y","Half Day","Present")))))</f>
        <v>Present</v>
      </c>
      <c r="AA109" s="11" t="str">
        <f aca="false">IF($X109=0,"-",INT($X109/60)&amp;":"&amp;TEXT(MOD($X109,60),"00"))</f>
        <v>12:10</v>
      </c>
      <c r="AB109" s="11" t="str">
        <f aca="false">IF($Y109=0,"-",INT($Y109/60)&amp;":"&amp;TEXT(MOD($Y109,60),"00"))</f>
        <v>0:10</v>
      </c>
    </row>
    <row r="110" customFormat="false" ht="15" hidden="false" customHeight="true" outlineLevel="0" collapsed="false">
      <c r="A110" s="9" t="s">
        <v>2188</v>
      </c>
      <c r="B110" s="9" t="s">
        <v>875</v>
      </c>
      <c r="C110" s="9" t="s">
        <v>876</v>
      </c>
      <c r="D110" s="9" t="s">
        <v>1511</v>
      </c>
      <c r="E110" s="9" t="s">
        <v>2065</v>
      </c>
      <c r="F110" s="9" t="s">
        <v>454</v>
      </c>
      <c r="G110" s="9" t="s">
        <v>454</v>
      </c>
      <c r="H110" s="9" t="n">
        <v>12</v>
      </c>
      <c r="I110" s="9" t="n">
        <v>720</v>
      </c>
      <c r="J110" s="9" t="s">
        <v>2059</v>
      </c>
      <c r="K110" s="9" t="s">
        <v>457</v>
      </c>
      <c r="L110" s="9" t="s">
        <v>1513</v>
      </c>
      <c r="M110" s="9" t="n">
        <v>734</v>
      </c>
      <c r="N110" s="9" t="n">
        <v>60</v>
      </c>
      <c r="O110" s="9" t="n">
        <v>0</v>
      </c>
      <c r="P110" s="9" t="n">
        <v>0</v>
      </c>
      <c r="Q110" s="9" t="s">
        <v>355</v>
      </c>
      <c r="R110" s="9"/>
      <c r="S110" s="9"/>
      <c r="T110" s="9" t="s">
        <v>226</v>
      </c>
      <c r="U110" s="9" t="s">
        <v>226</v>
      </c>
      <c r="V110" s="9"/>
      <c r="W110" s="9"/>
      <c r="X110" s="9" t="n">
        <f aca="false">$M110-$O110+$P110</f>
        <v>734</v>
      </c>
      <c r="Y110" s="9" t="n">
        <f aca="false">IF($M110=0,0,IF($J110="Working",IF($Q110="All",MAX(0,$M110-$I110),0),IF($Q110="None",0,$M110)))</f>
        <v>14</v>
      </c>
      <c r="Z110" s="23" t="str">
        <f aca="false">IF($J110&lt;&gt;"Working",IF($M110&gt;0,$J110&amp;" — worked",$J110),IF($U110="Y","Present",IF($X110&lt;INDEX(08_Attendance_Rules!$C$2:$C$5,MATCH($H110,08_Attendance_Rules!$A$2:$A$5,0)),"Absent",IF($X110&lt;INDEX(08_Attendance_Rules!$B$2:$B$5,MATCH($H110,08_Attendance_Rules!$A$2:$A$5,0)),"Half Day",IF($T110="Y","Half Day","Present")))))</f>
        <v>Present</v>
      </c>
      <c r="AA110" s="9" t="str">
        <f aca="false">IF($X110=0,"-",INT($X110/60)&amp;":"&amp;TEXT(MOD($X110,60),"00"))</f>
        <v>12:14</v>
      </c>
      <c r="AB110" s="9" t="str">
        <f aca="false">IF($Y110=0,"-",INT($Y110/60)&amp;":"&amp;TEXT(MOD($Y110,60),"00"))</f>
        <v>0:14</v>
      </c>
    </row>
    <row r="111" customFormat="false" ht="15" hidden="false" customHeight="true" outlineLevel="0" collapsed="false">
      <c r="A111" s="11" t="s">
        <v>2189</v>
      </c>
      <c r="B111" s="11" t="s">
        <v>875</v>
      </c>
      <c r="C111" s="11" t="s">
        <v>876</v>
      </c>
      <c r="D111" s="11" t="s">
        <v>1515</v>
      </c>
      <c r="E111" s="11" t="s">
        <v>2067</v>
      </c>
      <c r="F111" s="11" t="s">
        <v>454</v>
      </c>
      <c r="G111" s="11" t="s">
        <v>454</v>
      </c>
      <c r="H111" s="11" t="n">
        <v>12</v>
      </c>
      <c r="I111" s="11" t="n">
        <v>720</v>
      </c>
      <c r="J111" s="11" t="s">
        <v>2059</v>
      </c>
      <c r="K111" s="11" t="s">
        <v>1516</v>
      </c>
      <c r="L111" s="11" t="s">
        <v>1518</v>
      </c>
      <c r="M111" s="11" t="n">
        <v>732</v>
      </c>
      <c r="N111" s="11" t="n">
        <v>60</v>
      </c>
      <c r="O111" s="11" t="n">
        <v>0</v>
      </c>
      <c r="P111" s="11" t="n">
        <v>0</v>
      </c>
      <c r="Q111" s="11" t="s">
        <v>355</v>
      </c>
      <c r="R111" s="11"/>
      <c r="S111" s="11"/>
      <c r="T111" s="11" t="s">
        <v>226</v>
      </c>
      <c r="U111" s="11" t="s">
        <v>226</v>
      </c>
      <c r="V111" s="11"/>
      <c r="W111" s="11"/>
      <c r="X111" s="11" t="n">
        <f aca="false">$M111-$O111+$P111</f>
        <v>732</v>
      </c>
      <c r="Y111" s="11" t="n">
        <f aca="false">IF($M111=0,0,IF($J111="Working",IF($Q111="All",MAX(0,$M111-$I111),0),IF($Q111="None",0,$M111)))</f>
        <v>12</v>
      </c>
      <c r="Z111" s="24" t="str">
        <f aca="false">IF($J111&lt;&gt;"Working",IF($M111&gt;0,$J111&amp;" — worked",$J111),IF($U111="Y","Present",IF($X111&lt;INDEX(08_Attendance_Rules!$C$2:$C$5,MATCH($H111,08_Attendance_Rules!$A$2:$A$5,0)),"Absent",IF($X111&lt;INDEX(08_Attendance_Rules!$B$2:$B$5,MATCH($H111,08_Attendance_Rules!$A$2:$A$5,0)),"Half Day",IF($T111="Y","Half Day","Present")))))</f>
        <v>Present</v>
      </c>
      <c r="AA111" s="11" t="str">
        <f aca="false">IF($X111=0,"-",INT($X111/60)&amp;":"&amp;TEXT(MOD($X111,60),"00"))</f>
        <v>12:12</v>
      </c>
      <c r="AB111" s="11" t="str">
        <f aca="false">IF($Y111=0,"-",INT($Y111/60)&amp;":"&amp;TEXT(MOD($Y111,60),"00"))</f>
        <v>0:12</v>
      </c>
    </row>
    <row r="112" customFormat="false" ht="15" hidden="false" customHeight="true" outlineLevel="0" collapsed="false">
      <c r="A112" s="9" t="s">
        <v>2190</v>
      </c>
      <c r="B112" s="9" t="s">
        <v>875</v>
      </c>
      <c r="C112" s="9" t="s">
        <v>876</v>
      </c>
      <c r="D112" s="9" t="s">
        <v>1359</v>
      </c>
      <c r="E112" s="9" t="s">
        <v>2069</v>
      </c>
      <c r="F112" s="9" t="s">
        <v>454</v>
      </c>
      <c r="G112" s="9" t="s">
        <v>454</v>
      </c>
      <c r="H112" s="9" t="n">
        <v>12</v>
      </c>
      <c r="I112" s="9" t="n">
        <v>720</v>
      </c>
      <c r="J112" s="9" t="s">
        <v>2059</v>
      </c>
      <c r="K112" s="9" t="s">
        <v>1689</v>
      </c>
      <c r="L112" s="9" t="s">
        <v>1717</v>
      </c>
      <c r="M112" s="9" t="n">
        <v>719</v>
      </c>
      <c r="N112" s="9" t="n">
        <v>60</v>
      </c>
      <c r="O112" s="9" t="n">
        <v>0</v>
      </c>
      <c r="P112" s="9" t="n">
        <v>0</v>
      </c>
      <c r="Q112" s="9" t="s">
        <v>355</v>
      </c>
      <c r="R112" s="9" t="n">
        <v>3</v>
      </c>
      <c r="S112" s="9"/>
      <c r="T112" s="9" t="s">
        <v>226</v>
      </c>
      <c r="U112" s="9" t="s">
        <v>226</v>
      </c>
      <c r="V112" s="9"/>
      <c r="W112" s="9"/>
      <c r="X112" s="9" t="n">
        <f aca="false">$M112-$O112+$P112</f>
        <v>719</v>
      </c>
      <c r="Y112" s="9" t="n">
        <f aca="false">IF($M112=0,0,IF($J112="Working",IF($Q112="All",MAX(0,$M112-$I112),0),IF($Q112="None",0,$M112)))</f>
        <v>0</v>
      </c>
      <c r="Z112" s="23" t="str">
        <f aca="false">IF($J112&lt;&gt;"Working",IF($M112&gt;0,$J112&amp;" — worked",$J112),IF($U112="Y","Present",IF($X112&lt;INDEX(08_Attendance_Rules!$C$2:$C$5,MATCH($H112,08_Attendance_Rules!$A$2:$A$5,0)),"Absent",IF($X112&lt;INDEX(08_Attendance_Rules!$B$2:$B$5,MATCH($H112,08_Attendance_Rules!$A$2:$A$5,0)),"Half Day",IF($T112="Y","Half Day","Present")))))</f>
        <v>Present</v>
      </c>
      <c r="AA112" s="9" t="str">
        <f aca="false">IF($X112=0,"-",INT($X112/60)&amp;":"&amp;TEXT(MOD($X112,60),"00"))</f>
        <v>11:59</v>
      </c>
      <c r="AB112" s="9" t="str">
        <f aca="false">IF($Y112=0,"-",INT($Y112/60)&amp;":"&amp;TEXT(MOD($Y112,60),"00"))</f>
        <v>-</v>
      </c>
    </row>
    <row r="113" customFormat="false" ht="15" hidden="false" customHeight="true" outlineLevel="0" collapsed="false">
      <c r="A113" s="11" t="s">
        <v>2191</v>
      </c>
      <c r="B113" s="11" t="s">
        <v>875</v>
      </c>
      <c r="C113" s="11" t="s">
        <v>876</v>
      </c>
      <c r="D113" s="11" t="s">
        <v>1332</v>
      </c>
      <c r="E113" s="11" t="s">
        <v>2072</v>
      </c>
      <c r="F113" s="11" t="s">
        <v>454</v>
      </c>
      <c r="G113" s="11" t="s">
        <v>454</v>
      </c>
      <c r="H113" s="11" t="n">
        <v>12</v>
      </c>
      <c r="I113" s="11" t="n">
        <v>720</v>
      </c>
      <c r="J113" s="11" t="s">
        <v>2059</v>
      </c>
      <c r="K113" s="11" t="s">
        <v>1520</v>
      </c>
      <c r="L113" s="11" t="s">
        <v>1522</v>
      </c>
      <c r="M113" s="11" t="n">
        <v>743</v>
      </c>
      <c r="N113" s="11" t="n">
        <v>60</v>
      </c>
      <c r="O113" s="11" t="n">
        <v>0</v>
      </c>
      <c r="P113" s="11" t="n">
        <v>0</v>
      </c>
      <c r="Q113" s="11" t="s">
        <v>355</v>
      </c>
      <c r="R113" s="11"/>
      <c r="S113" s="11"/>
      <c r="T113" s="11" t="s">
        <v>226</v>
      </c>
      <c r="U113" s="11" t="s">
        <v>226</v>
      </c>
      <c r="V113" s="11"/>
      <c r="W113" s="11"/>
      <c r="X113" s="11" t="n">
        <f aca="false">$M113-$O113+$P113</f>
        <v>743</v>
      </c>
      <c r="Y113" s="11" t="n">
        <f aca="false">IF($M113=0,0,IF($J113="Working",IF($Q113="All",MAX(0,$M113-$I113),0),IF($Q113="None",0,$M113)))</f>
        <v>23</v>
      </c>
      <c r="Z113" s="24" t="str">
        <f aca="false">IF($J113&lt;&gt;"Working",IF($M113&gt;0,$J113&amp;" — worked",$J113),IF($U113="Y","Present",IF($X113&lt;INDEX(08_Attendance_Rules!$C$2:$C$5,MATCH($H113,08_Attendance_Rules!$A$2:$A$5,0)),"Absent",IF($X113&lt;INDEX(08_Attendance_Rules!$B$2:$B$5,MATCH($H113,08_Attendance_Rules!$A$2:$A$5,0)),"Half Day",IF($T113="Y","Half Day","Present")))))</f>
        <v>Present</v>
      </c>
      <c r="AA113" s="11" t="str">
        <f aca="false">IF($X113=0,"-",INT($X113/60)&amp;":"&amp;TEXT(MOD($X113,60),"00"))</f>
        <v>12:23</v>
      </c>
      <c r="AB113" s="11" t="str">
        <f aca="false">IF($Y113=0,"-",INT($Y113/60)&amp;":"&amp;TEXT(MOD($Y113,60),"00"))</f>
        <v>0:23</v>
      </c>
    </row>
    <row r="114" customFormat="false" ht="15" hidden="false" customHeight="true" outlineLevel="0" collapsed="false">
      <c r="A114" s="9" t="s">
        <v>2192</v>
      </c>
      <c r="B114" s="9" t="s">
        <v>875</v>
      </c>
      <c r="C114" s="9" t="s">
        <v>876</v>
      </c>
      <c r="D114" s="9" t="s">
        <v>1524</v>
      </c>
      <c r="E114" s="9" t="s">
        <v>2058</v>
      </c>
      <c r="F114" s="9" t="s">
        <v>454</v>
      </c>
      <c r="G114" s="9" t="s">
        <v>454</v>
      </c>
      <c r="H114" s="9" t="n">
        <v>12</v>
      </c>
      <c r="I114" s="9" t="n">
        <v>720</v>
      </c>
      <c r="J114" s="9" t="s">
        <v>2059</v>
      </c>
      <c r="K114" s="9" t="s">
        <v>472</v>
      </c>
      <c r="L114" s="9" t="s">
        <v>1571</v>
      </c>
      <c r="M114" s="9" t="n">
        <v>726</v>
      </c>
      <c r="N114" s="9" t="n">
        <v>60</v>
      </c>
      <c r="O114" s="9" t="n">
        <v>0</v>
      </c>
      <c r="P114" s="9" t="n">
        <v>0</v>
      </c>
      <c r="Q114" s="9" t="s">
        <v>355</v>
      </c>
      <c r="R114" s="9"/>
      <c r="S114" s="9"/>
      <c r="T114" s="9" t="s">
        <v>226</v>
      </c>
      <c r="U114" s="9" t="s">
        <v>226</v>
      </c>
      <c r="V114" s="9"/>
      <c r="W114" s="9"/>
      <c r="X114" s="9" t="n">
        <f aca="false">$M114-$O114+$P114</f>
        <v>726</v>
      </c>
      <c r="Y114" s="9" t="n">
        <f aca="false">IF($M114=0,0,IF($J114="Working",IF($Q114="All",MAX(0,$M114-$I114),0),IF($Q114="None",0,$M114)))</f>
        <v>6</v>
      </c>
      <c r="Z114" s="23" t="str">
        <f aca="false">IF($J114&lt;&gt;"Working",IF($M114&gt;0,$J114&amp;" — worked",$J114),IF($U114="Y","Present",IF($X114&lt;INDEX(08_Attendance_Rules!$C$2:$C$5,MATCH($H114,08_Attendance_Rules!$A$2:$A$5,0)),"Absent",IF($X114&lt;INDEX(08_Attendance_Rules!$B$2:$B$5,MATCH($H114,08_Attendance_Rules!$A$2:$A$5,0)),"Half Day",IF($T114="Y","Half Day","Present")))))</f>
        <v>Present</v>
      </c>
      <c r="AA114" s="9" t="str">
        <f aca="false">IF($X114=0,"-",INT($X114/60)&amp;":"&amp;TEXT(MOD($X114,60),"00"))</f>
        <v>12:06</v>
      </c>
      <c r="AB114" s="9" t="str">
        <f aca="false">IF($Y114=0,"-",INT($Y114/60)&amp;":"&amp;TEXT(MOD($Y114,60),"00"))</f>
        <v>0:06</v>
      </c>
    </row>
    <row r="115" customFormat="false" ht="15" hidden="false" customHeight="true" outlineLevel="0" collapsed="false">
      <c r="A115" s="11" t="s">
        <v>2193</v>
      </c>
      <c r="B115" s="11" t="s">
        <v>875</v>
      </c>
      <c r="C115" s="11" t="s">
        <v>876</v>
      </c>
      <c r="D115" s="11" t="s">
        <v>1377</v>
      </c>
      <c r="E115" s="11" t="s">
        <v>2061</v>
      </c>
      <c r="F115" s="11" t="s">
        <v>454</v>
      </c>
      <c r="G115" s="11" t="s">
        <v>454</v>
      </c>
      <c r="H115" s="11" t="n">
        <v>12</v>
      </c>
      <c r="I115" s="11" t="n">
        <v>720</v>
      </c>
      <c r="J115" s="11" t="s">
        <v>2059</v>
      </c>
      <c r="K115" s="11" t="s">
        <v>1552</v>
      </c>
      <c r="L115" s="11" t="s">
        <v>1574</v>
      </c>
      <c r="M115" s="11" t="n">
        <v>732</v>
      </c>
      <c r="N115" s="11" t="n">
        <v>60</v>
      </c>
      <c r="O115" s="11" t="n">
        <v>0</v>
      </c>
      <c r="P115" s="11" t="n">
        <v>0</v>
      </c>
      <c r="Q115" s="11" t="s">
        <v>355</v>
      </c>
      <c r="R115" s="11"/>
      <c r="S115" s="11"/>
      <c r="T115" s="11" t="s">
        <v>226</v>
      </c>
      <c r="U115" s="11" t="s">
        <v>226</v>
      </c>
      <c r="V115" s="11"/>
      <c r="W115" s="11"/>
      <c r="X115" s="11" t="n">
        <f aca="false">$M115-$O115+$P115</f>
        <v>732</v>
      </c>
      <c r="Y115" s="11" t="n">
        <f aca="false">IF($M115=0,0,IF($J115="Working",IF($Q115="All",MAX(0,$M115-$I115),0),IF($Q115="None",0,$M115)))</f>
        <v>12</v>
      </c>
      <c r="Z115" s="24" t="str">
        <f aca="false">IF($J115&lt;&gt;"Working",IF($M115&gt;0,$J115&amp;" — worked",$J115),IF($U115="Y","Present",IF($X115&lt;INDEX(08_Attendance_Rules!$C$2:$C$5,MATCH($H115,08_Attendance_Rules!$A$2:$A$5,0)),"Absent",IF($X115&lt;INDEX(08_Attendance_Rules!$B$2:$B$5,MATCH($H115,08_Attendance_Rules!$A$2:$A$5,0)),"Half Day",IF($T115="Y","Half Day","Present")))))</f>
        <v>Present</v>
      </c>
      <c r="AA115" s="11" t="str">
        <f aca="false">IF($X115=0,"-",INT($X115/60)&amp;":"&amp;TEXT(MOD($X115,60),"00"))</f>
        <v>12:12</v>
      </c>
      <c r="AB115" s="11" t="str">
        <f aca="false">IF($Y115=0,"-",INT($Y115/60)&amp;":"&amp;TEXT(MOD($Y115,60),"00"))</f>
        <v>0:12</v>
      </c>
    </row>
    <row r="116" customFormat="false" ht="15" hidden="false" customHeight="true" outlineLevel="0" collapsed="false">
      <c r="A116" s="9" t="s">
        <v>2194</v>
      </c>
      <c r="B116" s="9" t="s">
        <v>875</v>
      </c>
      <c r="C116" s="9" t="s">
        <v>876</v>
      </c>
      <c r="D116" s="9" t="s">
        <v>1355</v>
      </c>
      <c r="E116" s="9" t="s">
        <v>2063</v>
      </c>
      <c r="F116" s="9" t="s">
        <v>454</v>
      </c>
      <c r="G116" s="9" t="s">
        <v>454</v>
      </c>
      <c r="H116" s="9" t="n">
        <v>12</v>
      </c>
      <c r="I116" s="9" t="n">
        <v>720</v>
      </c>
      <c r="J116" s="9" t="s">
        <v>2059</v>
      </c>
      <c r="K116" s="9" t="s">
        <v>1537</v>
      </c>
      <c r="L116" s="9" t="s">
        <v>1539</v>
      </c>
      <c r="M116" s="9" t="n">
        <v>731</v>
      </c>
      <c r="N116" s="9" t="n">
        <v>60</v>
      </c>
      <c r="O116" s="9" t="n">
        <v>0</v>
      </c>
      <c r="P116" s="9" t="n">
        <v>0</v>
      </c>
      <c r="Q116" s="9" t="s">
        <v>355</v>
      </c>
      <c r="R116" s="9" t="n">
        <v>1</v>
      </c>
      <c r="S116" s="9"/>
      <c r="T116" s="9" t="s">
        <v>226</v>
      </c>
      <c r="U116" s="9" t="s">
        <v>226</v>
      </c>
      <c r="V116" s="9"/>
      <c r="W116" s="9"/>
      <c r="X116" s="9" t="n">
        <f aca="false">$M116-$O116+$P116</f>
        <v>731</v>
      </c>
      <c r="Y116" s="9" t="n">
        <f aca="false">IF($M116=0,0,IF($J116="Working",IF($Q116="All",MAX(0,$M116-$I116),0),IF($Q116="None",0,$M116)))</f>
        <v>11</v>
      </c>
      <c r="Z116" s="23" t="str">
        <f aca="false">IF($J116&lt;&gt;"Working",IF($M116&gt;0,$J116&amp;" — worked",$J116),IF($U116="Y","Present",IF($X116&lt;INDEX(08_Attendance_Rules!$C$2:$C$5,MATCH($H116,08_Attendance_Rules!$A$2:$A$5,0)),"Absent",IF($X116&lt;INDEX(08_Attendance_Rules!$B$2:$B$5,MATCH($H116,08_Attendance_Rules!$A$2:$A$5,0)),"Half Day",IF($T116="Y","Half Day","Present")))))</f>
        <v>Present</v>
      </c>
      <c r="AA116" s="9" t="str">
        <f aca="false">IF($X116=0,"-",INT($X116/60)&amp;":"&amp;TEXT(MOD($X116,60),"00"))</f>
        <v>12:11</v>
      </c>
      <c r="AB116" s="9" t="str">
        <f aca="false">IF($Y116=0,"-",INT($Y116/60)&amp;":"&amp;TEXT(MOD($Y116,60),"00"))</f>
        <v>0:11</v>
      </c>
    </row>
    <row r="117" customFormat="false" ht="15" hidden="false" customHeight="true" outlineLevel="0" collapsed="false">
      <c r="A117" s="11" t="s">
        <v>2195</v>
      </c>
      <c r="B117" s="11" t="s">
        <v>875</v>
      </c>
      <c r="C117" s="11" t="s">
        <v>876</v>
      </c>
      <c r="D117" s="11" t="s">
        <v>1459</v>
      </c>
      <c r="E117" s="11" t="s">
        <v>2065</v>
      </c>
      <c r="F117" s="11" t="s">
        <v>454</v>
      </c>
      <c r="G117" s="11" t="s">
        <v>454</v>
      </c>
      <c r="H117" s="11" t="n">
        <v>12</v>
      </c>
      <c r="I117" s="11" t="n">
        <v>720</v>
      </c>
      <c r="J117" s="11" t="s">
        <v>2059</v>
      </c>
      <c r="K117" s="11" t="s">
        <v>1541</v>
      </c>
      <c r="L117" s="11" t="s">
        <v>1543</v>
      </c>
      <c r="M117" s="11" t="n">
        <v>732</v>
      </c>
      <c r="N117" s="11" t="n">
        <v>60</v>
      </c>
      <c r="O117" s="11" t="n">
        <v>0</v>
      </c>
      <c r="P117" s="11" t="n">
        <v>0</v>
      </c>
      <c r="Q117" s="11" t="s">
        <v>355</v>
      </c>
      <c r="R117" s="11"/>
      <c r="S117" s="11"/>
      <c r="T117" s="11" t="s">
        <v>226</v>
      </c>
      <c r="U117" s="11" t="s">
        <v>226</v>
      </c>
      <c r="V117" s="11"/>
      <c r="W117" s="11"/>
      <c r="X117" s="11" t="n">
        <f aca="false">$M117-$O117+$P117</f>
        <v>732</v>
      </c>
      <c r="Y117" s="11" t="n">
        <f aca="false">IF($M117=0,0,IF($J117="Working",IF($Q117="All",MAX(0,$M117-$I117),0),IF($Q117="None",0,$M117)))</f>
        <v>12</v>
      </c>
      <c r="Z117" s="24" t="str">
        <f aca="false">IF($J117&lt;&gt;"Working",IF($M117&gt;0,$J117&amp;" — worked",$J117),IF($U117="Y","Present",IF($X117&lt;INDEX(08_Attendance_Rules!$C$2:$C$5,MATCH($H117,08_Attendance_Rules!$A$2:$A$5,0)),"Absent",IF($X117&lt;INDEX(08_Attendance_Rules!$B$2:$B$5,MATCH($H117,08_Attendance_Rules!$A$2:$A$5,0)),"Half Day",IF($T117="Y","Half Day","Present")))))</f>
        <v>Present</v>
      </c>
      <c r="AA117" s="11" t="str">
        <f aca="false">IF($X117=0,"-",INT($X117/60)&amp;":"&amp;TEXT(MOD($X117,60),"00"))</f>
        <v>12:12</v>
      </c>
      <c r="AB117" s="11" t="str">
        <f aca="false">IF($Y117=0,"-",INT($Y117/60)&amp;":"&amp;TEXT(MOD($Y117,60),"00"))</f>
        <v>0:12</v>
      </c>
    </row>
    <row r="118" customFormat="false" ht="15" hidden="false" customHeight="true" outlineLevel="0" collapsed="false">
      <c r="A118" s="9" t="s">
        <v>2196</v>
      </c>
      <c r="B118" s="9" t="s">
        <v>875</v>
      </c>
      <c r="C118" s="9" t="s">
        <v>876</v>
      </c>
      <c r="D118" s="9" t="s">
        <v>1545</v>
      </c>
      <c r="E118" s="9" t="s">
        <v>2067</v>
      </c>
      <c r="F118" s="9" t="s">
        <v>454</v>
      </c>
      <c r="G118" s="9" t="s">
        <v>454</v>
      </c>
      <c r="H118" s="9" t="n">
        <v>12</v>
      </c>
      <c r="I118" s="9" t="n">
        <v>720</v>
      </c>
      <c r="J118" s="9" t="s">
        <v>2059</v>
      </c>
      <c r="K118" s="9" t="s">
        <v>1546</v>
      </c>
      <c r="L118" s="9" t="s">
        <v>1548</v>
      </c>
      <c r="M118" s="9" t="n">
        <v>737</v>
      </c>
      <c r="N118" s="9" t="n">
        <v>60</v>
      </c>
      <c r="O118" s="9" t="n">
        <v>0</v>
      </c>
      <c r="P118" s="9" t="n">
        <v>0</v>
      </c>
      <c r="Q118" s="9" t="s">
        <v>355</v>
      </c>
      <c r="R118" s="9" t="n">
        <v>2</v>
      </c>
      <c r="S118" s="9"/>
      <c r="T118" s="9" t="s">
        <v>226</v>
      </c>
      <c r="U118" s="9" t="s">
        <v>226</v>
      </c>
      <c r="V118" s="9"/>
      <c r="W118" s="9"/>
      <c r="X118" s="9" t="n">
        <f aca="false">$M118-$O118+$P118</f>
        <v>737</v>
      </c>
      <c r="Y118" s="9" t="n">
        <f aca="false">IF($M118=0,0,IF($J118="Working",IF($Q118="All",MAX(0,$M118-$I118),0),IF($Q118="None",0,$M118)))</f>
        <v>17</v>
      </c>
      <c r="Z118" s="23" t="str">
        <f aca="false">IF($J118&lt;&gt;"Working",IF($M118&gt;0,$J118&amp;" — worked",$J118),IF($U118="Y","Present",IF($X118&lt;INDEX(08_Attendance_Rules!$C$2:$C$5,MATCH($H118,08_Attendance_Rules!$A$2:$A$5,0)),"Absent",IF($X118&lt;INDEX(08_Attendance_Rules!$B$2:$B$5,MATCH($H118,08_Attendance_Rules!$A$2:$A$5,0)),"Half Day",IF($T118="Y","Half Day","Present")))))</f>
        <v>Present</v>
      </c>
      <c r="AA118" s="9" t="str">
        <f aca="false">IF($X118=0,"-",INT($X118/60)&amp;":"&amp;TEXT(MOD($X118,60),"00"))</f>
        <v>12:17</v>
      </c>
      <c r="AB118" s="9" t="str">
        <f aca="false">IF($Y118=0,"-",INT($Y118/60)&amp;":"&amp;TEXT(MOD($Y118,60),"00"))</f>
        <v>0:17</v>
      </c>
    </row>
    <row r="119" customFormat="false" ht="15" hidden="false" customHeight="true" outlineLevel="0" collapsed="false">
      <c r="A119" s="11" t="s">
        <v>2197</v>
      </c>
      <c r="B119" s="11" t="s">
        <v>875</v>
      </c>
      <c r="C119" s="11" t="s">
        <v>876</v>
      </c>
      <c r="D119" s="11" t="s">
        <v>1409</v>
      </c>
      <c r="E119" s="11" t="s">
        <v>2069</v>
      </c>
      <c r="F119" s="11" t="s">
        <v>454</v>
      </c>
      <c r="G119" s="11" t="s">
        <v>454</v>
      </c>
      <c r="H119" s="11" t="n">
        <v>12</v>
      </c>
      <c r="I119" s="11" t="n">
        <v>720</v>
      </c>
      <c r="J119" s="11" t="s">
        <v>2059</v>
      </c>
      <c r="K119" s="11" t="s">
        <v>1493</v>
      </c>
      <c r="L119" s="11" t="s">
        <v>1777</v>
      </c>
      <c r="M119" s="11" t="n">
        <v>732</v>
      </c>
      <c r="N119" s="11" t="n">
        <v>60</v>
      </c>
      <c r="O119" s="11" t="n">
        <v>0</v>
      </c>
      <c r="P119" s="11" t="n">
        <v>0</v>
      </c>
      <c r="Q119" s="11" t="s">
        <v>355</v>
      </c>
      <c r="R119" s="11"/>
      <c r="S119" s="11"/>
      <c r="T119" s="11" t="s">
        <v>226</v>
      </c>
      <c r="U119" s="11" t="s">
        <v>226</v>
      </c>
      <c r="V119" s="11"/>
      <c r="W119" s="11"/>
      <c r="X119" s="11" t="n">
        <f aca="false">$M119-$O119+$P119</f>
        <v>732</v>
      </c>
      <c r="Y119" s="11" t="n">
        <f aca="false">IF($M119=0,0,IF($J119="Working",IF($Q119="All",MAX(0,$M119-$I119),0),IF($Q119="None",0,$M119)))</f>
        <v>12</v>
      </c>
      <c r="Z119" s="24" t="str">
        <f aca="false">IF($J119&lt;&gt;"Working",IF($M119&gt;0,$J119&amp;" — worked",$J119),IF($U119="Y","Present",IF($X119&lt;INDEX(08_Attendance_Rules!$C$2:$C$5,MATCH($H119,08_Attendance_Rules!$A$2:$A$5,0)),"Absent",IF($X119&lt;INDEX(08_Attendance_Rules!$B$2:$B$5,MATCH($H119,08_Attendance_Rules!$A$2:$A$5,0)),"Half Day",IF($T119="Y","Half Day","Present")))))</f>
        <v>Present</v>
      </c>
      <c r="AA119" s="11" t="str">
        <f aca="false">IF($X119=0,"-",INT($X119/60)&amp;":"&amp;TEXT(MOD($X119,60),"00"))</f>
        <v>12:12</v>
      </c>
      <c r="AB119" s="11" t="str">
        <f aca="false">IF($Y119=0,"-",INT($Y119/60)&amp;":"&amp;TEXT(MOD($Y119,60),"00"))</f>
        <v>0:12</v>
      </c>
    </row>
    <row r="120" customFormat="false" ht="15" hidden="false" customHeight="true" outlineLevel="0" collapsed="false">
      <c r="A120" s="9" t="s">
        <v>2198</v>
      </c>
      <c r="B120" s="9" t="s">
        <v>875</v>
      </c>
      <c r="C120" s="9" t="s">
        <v>876</v>
      </c>
      <c r="D120" s="9" t="s">
        <v>1337</v>
      </c>
      <c r="E120" s="9" t="s">
        <v>2072</v>
      </c>
      <c r="F120" s="9" t="s">
        <v>454</v>
      </c>
      <c r="G120" s="9" t="s">
        <v>454</v>
      </c>
      <c r="H120" s="9" t="n">
        <v>12</v>
      </c>
      <c r="I120" s="9" t="n">
        <v>720</v>
      </c>
      <c r="J120" s="9" t="s">
        <v>2059</v>
      </c>
      <c r="K120" s="9" t="s">
        <v>457</v>
      </c>
      <c r="L120" s="9" t="s">
        <v>1535</v>
      </c>
      <c r="M120" s="9" t="n">
        <v>730</v>
      </c>
      <c r="N120" s="9" t="n">
        <v>60</v>
      </c>
      <c r="O120" s="9" t="n">
        <v>0</v>
      </c>
      <c r="P120" s="9" t="n">
        <v>0</v>
      </c>
      <c r="Q120" s="9" t="s">
        <v>355</v>
      </c>
      <c r="R120" s="9"/>
      <c r="S120" s="9"/>
      <c r="T120" s="9" t="s">
        <v>226</v>
      </c>
      <c r="U120" s="9" t="s">
        <v>226</v>
      </c>
      <c r="V120" s="9"/>
      <c r="W120" s="9"/>
      <c r="X120" s="9" t="n">
        <f aca="false">$M120-$O120+$P120</f>
        <v>730</v>
      </c>
      <c r="Y120" s="9" t="n">
        <f aca="false">IF($M120=0,0,IF($J120="Working",IF($Q120="All",MAX(0,$M120-$I120),0),IF($Q120="None",0,$M120)))</f>
        <v>10</v>
      </c>
      <c r="Z120" s="23" t="str">
        <f aca="false">IF($J120&lt;&gt;"Working",IF($M120&gt;0,$J120&amp;" — worked",$J120),IF($U120="Y","Present",IF($X120&lt;INDEX(08_Attendance_Rules!$C$2:$C$5,MATCH($H120,08_Attendance_Rules!$A$2:$A$5,0)),"Absent",IF($X120&lt;INDEX(08_Attendance_Rules!$B$2:$B$5,MATCH($H120,08_Attendance_Rules!$A$2:$A$5,0)),"Half Day",IF($T120="Y","Half Day","Present")))))</f>
        <v>Present</v>
      </c>
      <c r="AA120" s="9" t="str">
        <f aca="false">IF($X120=0,"-",INT($X120/60)&amp;":"&amp;TEXT(MOD($X120,60),"00"))</f>
        <v>12:10</v>
      </c>
      <c r="AB120" s="9" t="str">
        <f aca="false">IF($Y120=0,"-",INT($Y120/60)&amp;":"&amp;TEXT(MOD($Y120,60),"00"))</f>
        <v>0:10</v>
      </c>
    </row>
    <row r="121" customFormat="false" ht="15" hidden="false" customHeight="true" outlineLevel="0" collapsed="false">
      <c r="A121" s="11" t="s">
        <v>2199</v>
      </c>
      <c r="B121" s="11" t="s">
        <v>875</v>
      </c>
      <c r="C121" s="11" t="s">
        <v>876</v>
      </c>
      <c r="D121" s="11" t="s">
        <v>531</v>
      </c>
      <c r="E121" s="11" t="s">
        <v>2058</v>
      </c>
      <c r="F121" s="11" t="s">
        <v>454</v>
      </c>
      <c r="G121" s="11" t="s">
        <v>454</v>
      </c>
      <c r="H121" s="11" t="n">
        <v>12</v>
      </c>
      <c r="I121" s="11" t="n">
        <v>720</v>
      </c>
      <c r="J121" s="11" t="s">
        <v>2059</v>
      </c>
      <c r="K121" s="11" t="s">
        <v>1552</v>
      </c>
      <c r="L121" s="11" t="s">
        <v>1498</v>
      </c>
      <c r="M121" s="11" t="n">
        <v>729</v>
      </c>
      <c r="N121" s="11" t="n">
        <v>60</v>
      </c>
      <c r="O121" s="11" t="n">
        <v>0</v>
      </c>
      <c r="P121" s="11" t="n">
        <v>0</v>
      </c>
      <c r="Q121" s="11" t="s">
        <v>355</v>
      </c>
      <c r="R121" s="11"/>
      <c r="S121" s="11"/>
      <c r="T121" s="11" t="s">
        <v>226</v>
      </c>
      <c r="U121" s="11" t="s">
        <v>226</v>
      </c>
      <c r="V121" s="11"/>
      <c r="W121" s="11"/>
      <c r="X121" s="11" t="n">
        <f aca="false">$M121-$O121+$P121</f>
        <v>729</v>
      </c>
      <c r="Y121" s="11" t="n">
        <f aca="false">IF($M121=0,0,IF($J121="Working",IF($Q121="All",MAX(0,$M121-$I121),0),IF($Q121="None",0,$M121)))</f>
        <v>9</v>
      </c>
      <c r="Z121" s="24" t="str">
        <f aca="false">IF($J121&lt;&gt;"Working",IF($M121&gt;0,$J121&amp;" — worked",$J121),IF($U121="Y","Present",IF($X121&lt;INDEX(08_Attendance_Rules!$C$2:$C$5,MATCH($H121,08_Attendance_Rules!$A$2:$A$5,0)),"Absent",IF($X121&lt;INDEX(08_Attendance_Rules!$B$2:$B$5,MATCH($H121,08_Attendance_Rules!$A$2:$A$5,0)),"Half Day",IF($T121="Y","Half Day","Present")))))</f>
        <v>Present</v>
      </c>
      <c r="AA121" s="11" t="str">
        <f aca="false">IF($X121=0,"-",INT($X121/60)&amp;":"&amp;TEXT(MOD($X121,60),"00"))</f>
        <v>12:09</v>
      </c>
      <c r="AB121" s="11" t="str">
        <f aca="false">IF($Y121=0,"-",INT($Y121/60)&amp;":"&amp;TEXT(MOD($Y121,60),"00"))</f>
        <v>0:09</v>
      </c>
    </row>
    <row r="122" customFormat="false" ht="15" hidden="false" customHeight="true" outlineLevel="0" collapsed="false">
      <c r="A122" s="9" t="s">
        <v>2200</v>
      </c>
      <c r="B122" s="9" t="s">
        <v>894</v>
      </c>
      <c r="C122" s="9" t="s">
        <v>895</v>
      </c>
      <c r="D122" s="9" t="s">
        <v>1151</v>
      </c>
      <c r="E122" s="9" t="s">
        <v>2058</v>
      </c>
      <c r="F122" s="9" t="s">
        <v>454</v>
      </c>
      <c r="G122" s="9" t="s">
        <v>454</v>
      </c>
      <c r="H122" s="9" t="n">
        <v>12</v>
      </c>
      <c r="I122" s="9" t="n">
        <v>720</v>
      </c>
      <c r="J122" s="9" t="s">
        <v>2059</v>
      </c>
      <c r="K122" s="9" t="s">
        <v>1493</v>
      </c>
      <c r="L122" s="9" t="s">
        <v>1498</v>
      </c>
      <c r="M122" s="9" t="n">
        <v>731</v>
      </c>
      <c r="N122" s="9" t="n">
        <v>60</v>
      </c>
      <c r="O122" s="9" t="n">
        <v>0</v>
      </c>
      <c r="P122" s="9" t="n">
        <v>0</v>
      </c>
      <c r="Q122" s="9" t="s">
        <v>381</v>
      </c>
      <c r="R122" s="9"/>
      <c r="S122" s="9"/>
      <c r="T122" s="9" t="s">
        <v>226</v>
      </c>
      <c r="U122" s="9" t="s">
        <v>226</v>
      </c>
      <c r="V122" s="9"/>
      <c r="W122" s="9"/>
      <c r="X122" s="9" t="n">
        <f aca="false">$M122-$O122+$P122</f>
        <v>731</v>
      </c>
      <c r="Y122" s="9" t="n">
        <f aca="false">IF($M122=0,0,IF($J122="Working",IF($Q122="All",MAX(0,$M122-$I122),0),IF($Q122="None",0,$M122)))</f>
        <v>0</v>
      </c>
      <c r="Z122" s="23" t="str">
        <f aca="false">IF($J122&lt;&gt;"Working",IF($M122&gt;0,$J122&amp;" — worked",$J122),IF($U122="Y","Present",IF($X122&lt;INDEX(08_Attendance_Rules!$C$2:$C$5,MATCH($H122,08_Attendance_Rules!$A$2:$A$5,0)),"Absent",IF($X122&lt;INDEX(08_Attendance_Rules!$B$2:$B$5,MATCH($H122,08_Attendance_Rules!$A$2:$A$5,0)),"Half Day",IF($T122="Y","Half Day","Present")))))</f>
        <v>Present</v>
      </c>
      <c r="AA122" s="9" t="str">
        <f aca="false">IF($X122=0,"-",INT($X122/60)&amp;":"&amp;TEXT(MOD($X122,60),"00"))</f>
        <v>12:11</v>
      </c>
      <c r="AB122" s="9" t="str">
        <f aca="false">IF($Y122=0,"-",INT($Y122/60)&amp;":"&amp;TEXT(MOD($Y122,60),"00"))</f>
        <v>-</v>
      </c>
    </row>
    <row r="123" customFormat="false" ht="15" hidden="false" customHeight="true" outlineLevel="0" collapsed="false">
      <c r="A123" s="11" t="s">
        <v>2201</v>
      </c>
      <c r="B123" s="11" t="s">
        <v>894</v>
      </c>
      <c r="C123" s="11" t="s">
        <v>895</v>
      </c>
      <c r="D123" s="11" t="s">
        <v>593</v>
      </c>
      <c r="E123" s="11" t="s">
        <v>2061</v>
      </c>
      <c r="F123" s="11" t="s">
        <v>454</v>
      </c>
      <c r="G123" s="11" t="s">
        <v>454</v>
      </c>
      <c r="H123" s="11" t="n">
        <v>12</v>
      </c>
      <c r="I123" s="11" t="n">
        <v>720</v>
      </c>
      <c r="J123" s="11" t="s">
        <v>2059</v>
      </c>
      <c r="K123" s="11" t="s">
        <v>1500</v>
      </c>
      <c r="L123" s="11" t="s">
        <v>1503</v>
      </c>
      <c r="M123" s="11" t="n">
        <v>733</v>
      </c>
      <c r="N123" s="11" t="n">
        <v>60</v>
      </c>
      <c r="O123" s="11" t="n">
        <v>0</v>
      </c>
      <c r="P123" s="11" t="n">
        <v>0</v>
      </c>
      <c r="Q123" s="11" t="s">
        <v>381</v>
      </c>
      <c r="R123" s="11"/>
      <c r="S123" s="11"/>
      <c r="T123" s="11" t="s">
        <v>226</v>
      </c>
      <c r="U123" s="11" t="s">
        <v>226</v>
      </c>
      <c r="V123" s="11"/>
      <c r="W123" s="11"/>
      <c r="X123" s="11" t="n">
        <f aca="false">$M123-$O123+$P123</f>
        <v>733</v>
      </c>
      <c r="Y123" s="11" t="n">
        <f aca="false">IF($M123=0,0,IF($J123="Working",IF($Q123="All",MAX(0,$M123-$I123),0),IF($Q123="None",0,$M123)))</f>
        <v>0</v>
      </c>
      <c r="Z123" s="24" t="str">
        <f aca="false">IF($J123&lt;&gt;"Working",IF($M123&gt;0,$J123&amp;" — worked",$J123),IF($U123="Y","Present",IF($X123&lt;INDEX(08_Attendance_Rules!$C$2:$C$5,MATCH($H123,08_Attendance_Rules!$A$2:$A$5,0)),"Absent",IF($X123&lt;INDEX(08_Attendance_Rules!$B$2:$B$5,MATCH($H123,08_Attendance_Rules!$A$2:$A$5,0)),"Half Day",IF($T123="Y","Half Day","Present")))))</f>
        <v>Present</v>
      </c>
      <c r="AA123" s="11" t="str">
        <f aca="false">IF($X123=0,"-",INT($X123/60)&amp;":"&amp;TEXT(MOD($X123,60),"00"))</f>
        <v>12:13</v>
      </c>
      <c r="AB123" s="11" t="str">
        <f aca="false">IF($Y123=0,"-",INT($Y123/60)&amp;":"&amp;TEXT(MOD($Y123,60),"00"))</f>
        <v>-</v>
      </c>
    </row>
    <row r="124" customFormat="false" ht="15" hidden="false" customHeight="true" outlineLevel="0" collapsed="false">
      <c r="A124" s="9" t="s">
        <v>2202</v>
      </c>
      <c r="B124" s="9" t="s">
        <v>894</v>
      </c>
      <c r="C124" s="9" t="s">
        <v>895</v>
      </c>
      <c r="D124" s="9" t="s">
        <v>1505</v>
      </c>
      <c r="E124" s="9" t="s">
        <v>2063</v>
      </c>
      <c r="F124" s="9" t="s">
        <v>454</v>
      </c>
      <c r="G124" s="9" t="s">
        <v>454</v>
      </c>
      <c r="H124" s="9" t="n">
        <v>12</v>
      </c>
      <c r="I124" s="9" t="n">
        <v>720</v>
      </c>
      <c r="J124" s="9" t="s">
        <v>2059</v>
      </c>
      <c r="K124" s="9" t="s">
        <v>1506</v>
      </c>
      <c r="L124" s="9" t="s">
        <v>1509</v>
      </c>
      <c r="M124" s="9" t="n">
        <v>730</v>
      </c>
      <c r="N124" s="9" t="n">
        <v>60</v>
      </c>
      <c r="O124" s="9" t="n">
        <v>0</v>
      </c>
      <c r="P124" s="9" t="n">
        <v>0</v>
      </c>
      <c r="Q124" s="9" t="s">
        <v>381</v>
      </c>
      <c r="R124" s="9"/>
      <c r="S124" s="9"/>
      <c r="T124" s="9" t="s">
        <v>226</v>
      </c>
      <c r="U124" s="9" t="s">
        <v>226</v>
      </c>
      <c r="V124" s="9"/>
      <c r="W124" s="9"/>
      <c r="X124" s="9" t="n">
        <f aca="false">$M124-$O124+$P124</f>
        <v>730</v>
      </c>
      <c r="Y124" s="9" t="n">
        <f aca="false">IF($M124=0,0,IF($J124="Working",IF($Q124="All",MAX(0,$M124-$I124),0),IF($Q124="None",0,$M124)))</f>
        <v>0</v>
      </c>
      <c r="Z124" s="23" t="str">
        <f aca="false">IF($J124&lt;&gt;"Working",IF($M124&gt;0,$J124&amp;" — worked",$J124),IF($U124="Y","Present",IF($X124&lt;INDEX(08_Attendance_Rules!$C$2:$C$5,MATCH($H124,08_Attendance_Rules!$A$2:$A$5,0)),"Absent",IF($X124&lt;INDEX(08_Attendance_Rules!$B$2:$B$5,MATCH($H124,08_Attendance_Rules!$A$2:$A$5,0)),"Half Day",IF($T124="Y","Half Day","Present")))))</f>
        <v>Present</v>
      </c>
      <c r="AA124" s="9" t="str">
        <f aca="false">IF($X124=0,"-",INT($X124/60)&amp;":"&amp;TEXT(MOD($X124,60),"00"))</f>
        <v>12:10</v>
      </c>
      <c r="AB124" s="9" t="str">
        <f aca="false">IF($Y124=0,"-",INT($Y124/60)&amp;":"&amp;TEXT(MOD($Y124,60),"00"))</f>
        <v>-</v>
      </c>
    </row>
    <row r="125" customFormat="false" ht="15" hidden="false" customHeight="true" outlineLevel="0" collapsed="false">
      <c r="A125" s="11" t="s">
        <v>2203</v>
      </c>
      <c r="B125" s="11" t="s">
        <v>894</v>
      </c>
      <c r="C125" s="11" t="s">
        <v>895</v>
      </c>
      <c r="D125" s="11" t="s">
        <v>1511</v>
      </c>
      <c r="E125" s="11" t="s">
        <v>2065</v>
      </c>
      <c r="F125" s="11" t="s">
        <v>454</v>
      </c>
      <c r="G125" s="11" t="s">
        <v>454</v>
      </c>
      <c r="H125" s="11" t="n">
        <v>12</v>
      </c>
      <c r="I125" s="11" t="n">
        <v>720</v>
      </c>
      <c r="J125" s="11" t="s">
        <v>2059</v>
      </c>
      <c r="K125" s="11" t="s">
        <v>457</v>
      </c>
      <c r="L125" s="11" t="s">
        <v>1513</v>
      </c>
      <c r="M125" s="11" t="n">
        <v>734</v>
      </c>
      <c r="N125" s="11" t="n">
        <v>60</v>
      </c>
      <c r="O125" s="11" t="n">
        <v>0</v>
      </c>
      <c r="P125" s="11" t="n">
        <v>0</v>
      </c>
      <c r="Q125" s="11" t="s">
        <v>381</v>
      </c>
      <c r="R125" s="11"/>
      <c r="S125" s="11"/>
      <c r="T125" s="11" t="s">
        <v>226</v>
      </c>
      <c r="U125" s="11" t="s">
        <v>226</v>
      </c>
      <c r="V125" s="11"/>
      <c r="W125" s="11"/>
      <c r="X125" s="11" t="n">
        <f aca="false">$M125-$O125+$P125</f>
        <v>734</v>
      </c>
      <c r="Y125" s="11" t="n">
        <f aca="false">IF($M125=0,0,IF($J125="Working",IF($Q125="All",MAX(0,$M125-$I125),0),IF($Q125="None",0,$M125)))</f>
        <v>0</v>
      </c>
      <c r="Z125" s="24" t="str">
        <f aca="false">IF($J125&lt;&gt;"Working",IF($M125&gt;0,$J125&amp;" — worked",$J125),IF($U125="Y","Present",IF($X125&lt;INDEX(08_Attendance_Rules!$C$2:$C$5,MATCH($H125,08_Attendance_Rules!$A$2:$A$5,0)),"Absent",IF($X125&lt;INDEX(08_Attendance_Rules!$B$2:$B$5,MATCH($H125,08_Attendance_Rules!$A$2:$A$5,0)),"Half Day",IF($T125="Y","Half Day","Present")))))</f>
        <v>Present</v>
      </c>
      <c r="AA125" s="11" t="str">
        <f aca="false">IF($X125=0,"-",INT($X125/60)&amp;":"&amp;TEXT(MOD($X125,60),"00"))</f>
        <v>12:14</v>
      </c>
      <c r="AB125" s="11" t="str">
        <f aca="false">IF($Y125=0,"-",INT($Y125/60)&amp;":"&amp;TEXT(MOD($Y125,60),"00"))</f>
        <v>-</v>
      </c>
    </row>
    <row r="126" customFormat="false" ht="15" hidden="false" customHeight="true" outlineLevel="0" collapsed="false">
      <c r="A126" s="9" t="s">
        <v>2204</v>
      </c>
      <c r="B126" s="9" t="s">
        <v>894</v>
      </c>
      <c r="C126" s="9" t="s">
        <v>895</v>
      </c>
      <c r="D126" s="9" t="s">
        <v>1515</v>
      </c>
      <c r="E126" s="9" t="s">
        <v>2067</v>
      </c>
      <c r="F126" s="9" t="s">
        <v>454</v>
      </c>
      <c r="G126" s="9" t="s">
        <v>454</v>
      </c>
      <c r="H126" s="9" t="n">
        <v>12</v>
      </c>
      <c r="I126" s="9" t="n">
        <v>720</v>
      </c>
      <c r="J126" s="9" t="s">
        <v>2059</v>
      </c>
      <c r="K126" s="9" t="s">
        <v>1516</v>
      </c>
      <c r="L126" s="9" t="s">
        <v>1518</v>
      </c>
      <c r="M126" s="9" t="n">
        <v>732</v>
      </c>
      <c r="N126" s="9" t="n">
        <v>60</v>
      </c>
      <c r="O126" s="9" t="n">
        <v>0</v>
      </c>
      <c r="P126" s="9" t="n">
        <v>0</v>
      </c>
      <c r="Q126" s="9" t="s">
        <v>381</v>
      </c>
      <c r="R126" s="9"/>
      <c r="S126" s="9"/>
      <c r="T126" s="9" t="s">
        <v>226</v>
      </c>
      <c r="U126" s="9" t="s">
        <v>226</v>
      </c>
      <c r="V126" s="9"/>
      <c r="W126" s="9"/>
      <c r="X126" s="9" t="n">
        <f aca="false">$M126-$O126+$P126</f>
        <v>732</v>
      </c>
      <c r="Y126" s="9" t="n">
        <f aca="false">IF($M126=0,0,IF($J126="Working",IF($Q126="All",MAX(0,$M126-$I126),0),IF($Q126="None",0,$M126)))</f>
        <v>0</v>
      </c>
      <c r="Z126" s="23" t="str">
        <f aca="false">IF($J126&lt;&gt;"Working",IF($M126&gt;0,$J126&amp;" — worked",$J126),IF($U126="Y","Present",IF($X126&lt;INDEX(08_Attendance_Rules!$C$2:$C$5,MATCH($H126,08_Attendance_Rules!$A$2:$A$5,0)),"Absent",IF($X126&lt;INDEX(08_Attendance_Rules!$B$2:$B$5,MATCH($H126,08_Attendance_Rules!$A$2:$A$5,0)),"Half Day",IF($T126="Y","Half Day","Present")))))</f>
        <v>Present</v>
      </c>
      <c r="AA126" s="9" t="str">
        <f aca="false">IF($X126=0,"-",INT($X126/60)&amp;":"&amp;TEXT(MOD($X126,60),"00"))</f>
        <v>12:12</v>
      </c>
      <c r="AB126" s="9" t="str">
        <f aca="false">IF($Y126=0,"-",INT($Y126/60)&amp;":"&amp;TEXT(MOD($Y126,60),"00"))</f>
        <v>-</v>
      </c>
    </row>
    <row r="127" customFormat="false" ht="15" hidden="false" customHeight="true" outlineLevel="0" collapsed="false">
      <c r="A127" s="11" t="s">
        <v>2205</v>
      </c>
      <c r="B127" s="11" t="s">
        <v>894</v>
      </c>
      <c r="C127" s="11" t="s">
        <v>895</v>
      </c>
      <c r="D127" s="11" t="s">
        <v>1359</v>
      </c>
      <c r="E127" s="11" t="s">
        <v>2069</v>
      </c>
      <c r="F127" s="11" t="s">
        <v>454</v>
      </c>
      <c r="G127" s="11" t="s">
        <v>454</v>
      </c>
      <c r="H127" s="11" t="n">
        <v>12</v>
      </c>
      <c r="I127" s="11" t="n">
        <v>720</v>
      </c>
      <c r="J127" s="11" t="s">
        <v>2070</v>
      </c>
      <c r="K127" s="11" t="s">
        <v>1689</v>
      </c>
      <c r="L127" s="11" t="s">
        <v>1503</v>
      </c>
      <c r="M127" s="11" t="n">
        <v>728</v>
      </c>
      <c r="N127" s="11" t="n">
        <v>60</v>
      </c>
      <c r="O127" s="11" t="n">
        <v>0</v>
      </c>
      <c r="P127" s="11" t="n">
        <v>0</v>
      </c>
      <c r="Q127" s="11" t="s">
        <v>381</v>
      </c>
      <c r="R127" s="11"/>
      <c r="S127" s="11"/>
      <c r="T127" s="11" t="s">
        <v>226</v>
      </c>
      <c r="U127" s="11" t="s">
        <v>226</v>
      </c>
      <c r="V127" s="11" t="s">
        <v>2206</v>
      </c>
      <c r="W127" s="11"/>
      <c r="X127" s="11" t="n">
        <f aca="false">$M127-$O127+$P127</f>
        <v>728</v>
      </c>
      <c r="Y127" s="11" t="n">
        <f aca="false">IF($M127=0,0,IF($J127="Working",IF($Q127="All",MAX(0,$M127-$I127),0),IF($Q127="None",0,$M127)))</f>
        <v>728</v>
      </c>
      <c r="Z127" s="24" t="str">
        <f aca="false">IF($J127&lt;&gt;"Working",IF($M127&gt;0,$J127&amp;" — worked",$J127),IF($U127="Y","Present",IF($X127&lt;INDEX(08_Attendance_Rules!$C$2:$C$5,MATCH($H127,08_Attendance_Rules!$A$2:$A$5,0)),"Absent",IF($X127&lt;INDEX(08_Attendance_Rules!$B$2:$B$5,MATCH($H127,08_Attendance_Rules!$A$2:$A$5,0)),"Half Day",IF($T127="Y","Half Day","Present")))))</f>
        <v>Weekly Off — worked</v>
      </c>
      <c r="AA127" s="11" t="str">
        <f aca="false">IF($X127=0,"-",INT($X127/60)&amp;":"&amp;TEXT(MOD($X127,60),"00"))</f>
        <v>12:08</v>
      </c>
      <c r="AB127" s="11" t="str">
        <f aca="false">IF($Y127=0,"-",INT($Y127/60)&amp;":"&amp;TEXT(MOD($Y127,60),"00"))</f>
        <v>12:08</v>
      </c>
    </row>
    <row r="128" customFormat="false" ht="15" hidden="false" customHeight="true" outlineLevel="0" collapsed="false">
      <c r="A128" s="9" t="s">
        <v>2207</v>
      </c>
      <c r="B128" s="9" t="s">
        <v>894</v>
      </c>
      <c r="C128" s="9" t="s">
        <v>895</v>
      </c>
      <c r="D128" s="9" t="s">
        <v>1332</v>
      </c>
      <c r="E128" s="9" t="s">
        <v>2072</v>
      </c>
      <c r="F128" s="9" t="s">
        <v>454</v>
      </c>
      <c r="G128" s="9" t="s">
        <v>454</v>
      </c>
      <c r="H128" s="9" t="n">
        <v>12</v>
      </c>
      <c r="I128" s="9" t="n">
        <v>720</v>
      </c>
      <c r="J128" s="9" t="s">
        <v>2059</v>
      </c>
      <c r="K128" s="9" t="s">
        <v>1520</v>
      </c>
      <c r="L128" s="9" t="s">
        <v>1522</v>
      </c>
      <c r="M128" s="9" t="n">
        <v>743</v>
      </c>
      <c r="N128" s="9" t="n">
        <v>60</v>
      </c>
      <c r="O128" s="9" t="n">
        <v>0</v>
      </c>
      <c r="P128" s="9" t="n">
        <v>0</v>
      </c>
      <c r="Q128" s="9" t="s">
        <v>381</v>
      </c>
      <c r="R128" s="9"/>
      <c r="S128" s="9"/>
      <c r="T128" s="9" t="s">
        <v>226</v>
      </c>
      <c r="U128" s="9" t="s">
        <v>226</v>
      </c>
      <c r="V128" s="9"/>
      <c r="W128" s="9"/>
      <c r="X128" s="9" t="n">
        <f aca="false">$M128-$O128+$P128</f>
        <v>743</v>
      </c>
      <c r="Y128" s="9" t="n">
        <f aca="false">IF($M128=0,0,IF($J128="Working",IF($Q128="All",MAX(0,$M128-$I128),0),IF($Q128="None",0,$M128)))</f>
        <v>0</v>
      </c>
      <c r="Z128" s="23" t="str">
        <f aca="false">IF($J128&lt;&gt;"Working",IF($M128&gt;0,$J128&amp;" — worked",$J128),IF($U128="Y","Present",IF($X128&lt;INDEX(08_Attendance_Rules!$C$2:$C$5,MATCH($H128,08_Attendance_Rules!$A$2:$A$5,0)),"Absent",IF($X128&lt;INDEX(08_Attendance_Rules!$B$2:$B$5,MATCH($H128,08_Attendance_Rules!$A$2:$A$5,0)),"Half Day",IF($T128="Y","Half Day","Present")))))</f>
        <v>Present</v>
      </c>
      <c r="AA128" s="9" t="str">
        <f aca="false">IF($X128=0,"-",INT($X128/60)&amp;":"&amp;TEXT(MOD($X128,60),"00"))</f>
        <v>12:23</v>
      </c>
      <c r="AB128" s="9" t="str">
        <f aca="false">IF($Y128=0,"-",INT($Y128/60)&amp;":"&amp;TEXT(MOD($Y128,60),"00"))</f>
        <v>-</v>
      </c>
    </row>
    <row r="129" customFormat="false" ht="15" hidden="false" customHeight="true" outlineLevel="0" collapsed="false">
      <c r="A129" s="11" t="s">
        <v>2208</v>
      </c>
      <c r="B129" s="11" t="s">
        <v>894</v>
      </c>
      <c r="C129" s="11" t="s">
        <v>895</v>
      </c>
      <c r="D129" s="11" t="s">
        <v>1524</v>
      </c>
      <c r="E129" s="11" t="s">
        <v>2058</v>
      </c>
      <c r="F129" s="11" t="s">
        <v>454</v>
      </c>
      <c r="G129" s="11" t="s">
        <v>454</v>
      </c>
      <c r="H129" s="11" t="n">
        <v>12</v>
      </c>
      <c r="I129" s="11" t="n">
        <v>720</v>
      </c>
      <c r="J129" s="11" t="s">
        <v>2059</v>
      </c>
      <c r="K129" s="11" t="s">
        <v>472</v>
      </c>
      <c r="L129" s="11" t="s">
        <v>1571</v>
      </c>
      <c r="M129" s="11" t="n">
        <v>726</v>
      </c>
      <c r="N129" s="11" t="n">
        <v>60</v>
      </c>
      <c r="O129" s="11" t="n">
        <v>0</v>
      </c>
      <c r="P129" s="11" t="n">
        <v>0</v>
      </c>
      <c r="Q129" s="11" t="s">
        <v>381</v>
      </c>
      <c r="R129" s="11"/>
      <c r="S129" s="11"/>
      <c r="T129" s="11" t="s">
        <v>226</v>
      </c>
      <c r="U129" s="11" t="s">
        <v>226</v>
      </c>
      <c r="V129" s="11"/>
      <c r="W129" s="11"/>
      <c r="X129" s="11" t="n">
        <f aca="false">$M129-$O129+$P129</f>
        <v>726</v>
      </c>
      <c r="Y129" s="11" t="n">
        <f aca="false">IF($M129=0,0,IF($J129="Working",IF($Q129="All",MAX(0,$M129-$I129),0),IF($Q129="None",0,$M129)))</f>
        <v>0</v>
      </c>
      <c r="Z129" s="24" t="str">
        <f aca="false">IF($J129&lt;&gt;"Working",IF($M129&gt;0,$J129&amp;" — worked",$J129),IF($U129="Y","Present",IF($X129&lt;INDEX(08_Attendance_Rules!$C$2:$C$5,MATCH($H129,08_Attendance_Rules!$A$2:$A$5,0)),"Absent",IF($X129&lt;INDEX(08_Attendance_Rules!$B$2:$B$5,MATCH($H129,08_Attendance_Rules!$A$2:$A$5,0)),"Half Day",IF($T129="Y","Half Day","Present")))))</f>
        <v>Present</v>
      </c>
      <c r="AA129" s="11" t="str">
        <f aca="false">IF($X129=0,"-",INT($X129/60)&amp;":"&amp;TEXT(MOD($X129,60),"00"))</f>
        <v>12:06</v>
      </c>
      <c r="AB129" s="11" t="str">
        <f aca="false">IF($Y129=0,"-",INT($Y129/60)&amp;":"&amp;TEXT(MOD($Y129,60),"00"))</f>
        <v>-</v>
      </c>
    </row>
    <row r="130" customFormat="false" ht="15" hidden="false" customHeight="true" outlineLevel="0" collapsed="false">
      <c r="A130" s="9" t="s">
        <v>2209</v>
      </c>
      <c r="B130" s="9" t="s">
        <v>894</v>
      </c>
      <c r="C130" s="9" t="s">
        <v>895</v>
      </c>
      <c r="D130" s="9" t="s">
        <v>1377</v>
      </c>
      <c r="E130" s="9" t="s">
        <v>2061</v>
      </c>
      <c r="F130" s="9" t="s">
        <v>454</v>
      </c>
      <c r="G130" s="9" t="s">
        <v>454</v>
      </c>
      <c r="H130" s="9" t="n">
        <v>12</v>
      </c>
      <c r="I130" s="9" t="n">
        <v>720</v>
      </c>
      <c r="J130" s="9" t="s">
        <v>2059</v>
      </c>
      <c r="K130" s="9" t="s">
        <v>1552</v>
      </c>
      <c r="L130" s="9" t="s">
        <v>1574</v>
      </c>
      <c r="M130" s="9" t="n">
        <v>732</v>
      </c>
      <c r="N130" s="9" t="n">
        <v>60</v>
      </c>
      <c r="O130" s="9" t="n">
        <v>0</v>
      </c>
      <c r="P130" s="9" t="n">
        <v>0</v>
      </c>
      <c r="Q130" s="9" t="s">
        <v>381</v>
      </c>
      <c r="R130" s="9"/>
      <c r="S130" s="9"/>
      <c r="T130" s="9" t="s">
        <v>226</v>
      </c>
      <c r="U130" s="9" t="s">
        <v>226</v>
      </c>
      <c r="V130" s="9"/>
      <c r="W130" s="9"/>
      <c r="X130" s="9" t="n">
        <f aca="false">$M130-$O130+$P130</f>
        <v>732</v>
      </c>
      <c r="Y130" s="9" t="n">
        <f aca="false">IF($M130=0,0,IF($J130="Working",IF($Q130="All",MAX(0,$M130-$I130),0),IF($Q130="None",0,$M130)))</f>
        <v>0</v>
      </c>
      <c r="Z130" s="23" t="str">
        <f aca="false">IF($J130&lt;&gt;"Working",IF($M130&gt;0,$J130&amp;" — worked",$J130),IF($U130="Y","Present",IF($X130&lt;INDEX(08_Attendance_Rules!$C$2:$C$5,MATCH($H130,08_Attendance_Rules!$A$2:$A$5,0)),"Absent",IF($X130&lt;INDEX(08_Attendance_Rules!$B$2:$B$5,MATCH($H130,08_Attendance_Rules!$A$2:$A$5,0)),"Half Day",IF($T130="Y","Half Day","Present")))))</f>
        <v>Present</v>
      </c>
      <c r="AA130" s="9" t="str">
        <f aca="false">IF($X130=0,"-",INT($X130/60)&amp;":"&amp;TEXT(MOD($X130,60),"00"))</f>
        <v>12:12</v>
      </c>
      <c r="AB130" s="9" t="str">
        <f aca="false">IF($Y130=0,"-",INT($Y130/60)&amp;":"&amp;TEXT(MOD($Y130,60),"00"))</f>
        <v>-</v>
      </c>
    </row>
    <row r="131" customFormat="false" ht="15" hidden="false" customHeight="true" outlineLevel="0" collapsed="false">
      <c r="A131" s="11" t="s">
        <v>2210</v>
      </c>
      <c r="B131" s="11" t="s">
        <v>894</v>
      </c>
      <c r="C131" s="11" t="s">
        <v>895</v>
      </c>
      <c r="D131" s="11" t="s">
        <v>1355</v>
      </c>
      <c r="E131" s="11" t="s">
        <v>2063</v>
      </c>
      <c r="F131" s="11" t="s">
        <v>454</v>
      </c>
      <c r="G131" s="11" t="s">
        <v>454</v>
      </c>
      <c r="H131" s="11" t="n">
        <v>12</v>
      </c>
      <c r="I131" s="11" t="n">
        <v>720</v>
      </c>
      <c r="J131" s="11" t="s">
        <v>2059</v>
      </c>
      <c r="K131" s="11" t="s">
        <v>1537</v>
      </c>
      <c r="L131" s="11" t="s">
        <v>1539</v>
      </c>
      <c r="M131" s="11" t="n">
        <v>731</v>
      </c>
      <c r="N131" s="11" t="n">
        <v>60</v>
      </c>
      <c r="O131" s="11" t="n">
        <v>0</v>
      </c>
      <c r="P131" s="11" t="n">
        <v>0</v>
      </c>
      <c r="Q131" s="11" t="s">
        <v>381</v>
      </c>
      <c r="R131" s="11" t="n">
        <v>1</v>
      </c>
      <c r="S131" s="11"/>
      <c r="T131" s="11" t="s">
        <v>226</v>
      </c>
      <c r="U131" s="11" t="s">
        <v>226</v>
      </c>
      <c r="V131" s="11"/>
      <c r="W131" s="11"/>
      <c r="X131" s="11" t="n">
        <f aca="false">$M131-$O131+$P131</f>
        <v>731</v>
      </c>
      <c r="Y131" s="11" t="n">
        <f aca="false">IF($M131=0,0,IF($J131="Working",IF($Q131="All",MAX(0,$M131-$I131),0),IF($Q131="None",0,$M131)))</f>
        <v>0</v>
      </c>
      <c r="Z131" s="24" t="str">
        <f aca="false">IF($J131&lt;&gt;"Working",IF($M131&gt;0,$J131&amp;" — worked",$J131),IF($U131="Y","Present",IF($X131&lt;INDEX(08_Attendance_Rules!$C$2:$C$5,MATCH($H131,08_Attendance_Rules!$A$2:$A$5,0)),"Absent",IF($X131&lt;INDEX(08_Attendance_Rules!$B$2:$B$5,MATCH($H131,08_Attendance_Rules!$A$2:$A$5,0)),"Half Day",IF($T131="Y","Half Day","Present")))))</f>
        <v>Present</v>
      </c>
      <c r="AA131" s="11" t="str">
        <f aca="false">IF($X131=0,"-",INT($X131/60)&amp;":"&amp;TEXT(MOD($X131,60),"00"))</f>
        <v>12:11</v>
      </c>
      <c r="AB131" s="11" t="str">
        <f aca="false">IF($Y131=0,"-",INT($Y131/60)&amp;":"&amp;TEXT(MOD($Y131,60),"00"))</f>
        <v>-</v>
      </c>
    </row>
    <row r="132" customFormat="false" ht="15" hidden="false" customHeight="true" outlineLevel="0" collapsed="false">
      <c r="A132" s="9" t="s">
        <v>2211</v>
      </c>
      <c r="B132" s="9" t="s">
        <v>894</v>
      </c>
      <c r="C132" s="9" t="s">
        <v>895</v>
      </c>
      <c r="D132" s="9" t="s">
        <v>1459</v>
      </c>
      <c r="E132" s="9" t="s">
        <v>2065</v>
      </c>
      <c r="F132" s="9" t="s">
        <v>454</v>
      </c>
      <c r="G132" s="9" t="s">
        <v>454</v>
      </c>
      <c r="H132" s="9" t="n">
        <v>12</v>
      </c>
      <c r="I132" s="9" t="n">
        <v>720</v>
      </c>
      <c r="J132" s="9" t="s">
        <v>2059</v>
      </c>
      <c r="K132" s="9" t="s">
        <v>1541</v>
      </c>
      <c r="L132" s="9" t="s">
        <v>1543</v>
      </c>
      <c r="M132" s="9" t="n">
        <v>732</v>
      </c>
      <c r="N132" s="9" t="n">
        <v>60</v>
      </c>
      <c r="O132" s="9" t="n">
        <v>0</v>
      </c>
      <c r="P132" s="9" t="n">
        <v>0</v>
      </c>
      <c r="Q132" s="9" t="s">
        <v>381</v>
      </c>
      <c r="R132" s="9"/>
      <c r="S132" s="9"/>
      <c r="T132" s="9" t="s">
        <v>226</v>
      </c>
      <c r="U132" s="9" t="s">
        <v>226</v>
      </c>
      <c r="V132" s="9"/>
      <c r="W132" s="9"/>
      <c r="X132" s="9" t="n">
        <f aca="false">$M132-$O132+$P132</f>
        <v>732</v>
      </c>
      <c r="Y132" s="9" t="n">
        <f aca="false">IF($M132=0,0,IF($J132="Working",IF($Q132="All",MAX(0,$M132-$I132),0),IF($Q132="None",0,$M132)))</f>
        <v>0</v>
      </c>
      <c r="Z132" s="23" t="str">
        <f aca="false">IF($J132&lt;&gt;"Working",IF($M132&gt;0,$J132&amp;" — worked",$J132),IF($U132="Y","Present",IF($X132&lt;INDEX(08_Attendance_Rules!$C$2:$C$5,MATCH($H132,08_Attendance_Rules!$A$2:$A$5,0)),"Absent",IF($X132&lt;INDEX(08_Attendance_Rules!$B$2:$B$5,MATCH($H132,08_Attendance_Rules!$A$2:$A$5,0)),"Half Day",IF($T132="Y","Half Day","Present")))))</f>
        <v>Present</v>
      </c>
      <c r="AA132" s="9" t="str">
        <f aca="false">IF($X132=0,"-",INT($X132/60)&amp;":"&amp;TEXT(MOD($X132,60),"00"))</f>
        <v>12:12</v>
      </c>
      <c r="AB132" s="9" t="str">
        <f aca="false">IF($Y132=0,"-",INT($Y132/60)&amp;":"&amp;TEXT(MOD($Y132,60),"00"))</f>
        <v>-</v>
      </c>
    </row>
    <row r="133" customFormat="false" ht="15" hidden="false" customHeight="true" outlineLevel="0" collapsed="false">
      <c r="A133" s="11" t="s">
        <v>2212</v>
      </c>
      <c r="B133" s="11" t="s">
        <v>894</v>
      </c>
      <c r="C133" s="11" t="s">
        <v>895</v>
      </c>
      <c r="D133" s="11" t="s">
        <v>1545</v>
      </c>
      <c r="E133" s="11" t="s">
        <v>2067</v>
      </c>
      <c r="F133" s="11" t="s">
        <v>454</v>
      </c>
      <c r="G133" s="11" t="s">
        <v>454</v>
      </c>
      <c r="H133" s="11" t="n">
        <v>12</v>
      </c>
      <c r="I133" s="11" t="n">
        <v>720</v>
      </c>
      <c r="J133" s="11" t="s">
        <v>2059</v>
      </c>
      <c r="K133" s="11" t="s">
        <v>1546</v>
      </c>
      <c r="L133" s="11" t="s">
        <v>1548</v>
      </c>
      <c r="M133" s="11" t="n">
        <v>737</v>
      </c>
      <c r="N133" s="11" t="n">
        <v>60</v>
      </c>
      <c r="O133" s="11" t="n">
        <v>0</v>
      </c>
      <c r="P133" s="11" t="n">
        <v>0</v>
      </c>
      <c r="Q133" s="11" t="s">
        <v>381</v>
      </c>
      <c r="R133" s="11" t="n">
        <v>2</v>
      </c>
      <c r="S133" s="11"/>
      <c r="T133" s="11" t="s">
        <v>226</v>
      </c>
      <c r="U133" s="11" t="s">
        <v>226</v>
      </c>
      <c r="V133" s="11"/>
      <c r="W133" s="11"/>
      <c r="X133" s="11" t="n">
        <f aca="false">$M133-$O133+$P133</f>
        <v>737</v>
      </c>
      <c r="Y133" s="11" t="n">
        <f aca="false">IF($M133=0,0,IF($J133="Working",IF($Q133="All",MAX(0,$M133-$I133),0),IF($Q133="None",0,$M133)))</f>
        <v>0</v>
      </c>
      <c r="Z133" s="24" t="str">
        <f aca="false">IF($J133&lt;&gt;"Working",IF($M133&gt;0,$J133&amp;" — worked",$J133),IF($U133="Y","Present",IF($X133&lt;INDEX(08_Attendance_Rules!$C$2:$C$5,MATCH($H133,08_Attendance_Rules!$A$2:$A$5,0)),"Absent",IF($X133&lt;INDEX(08_Attendance_Rules!$B$2:$B$5,MATCH($H133,08_Attendance_Rules!$A$2:$A$5,0)),"Half Day",IF($T133="Y","Half Day","Present")))))</f>
        <v>Present</v>
      </c>
      <c r="AA133" s="11" t="str">
        <f aca="false">IF($X133=0,"-",INT($X133/60)&amp;":"&amp;TEXT(MOD($X133,60),"00"))</f>
        <v>12:17</v>
      </c>
      <c r="AB133" s="11" t="str">
        <f aca="false">IF($Y133=0,"-",INT($Y133/60)&amp;":"&amp;TEXT(MOD($Y133,60),"00"))</f>
        <v>-</v>
      </c>
    </row>
    <row r="134" customFormat="false" ht="15" hidden="false" customHeight="true" outlineLevel="0" collapsed="false">
      <c r="A134" s="9" t="s">
        <v>2213</v>
      </c>
      <c r="B134" s="9" t="s">
        <v>894</v>
      </c>
      <c r="C134" s="9" t="s">
        <v>895</v>
      </c>
      <c r="D134" s="9" t="s">
        <v>1409</v>
      </c>
      <c r="E134" s="9" t="s">
        <v>2069</v>
      </c>
      <c r="F134" s="9" t="s">
        <v>454</v>
      </c>
      <c r="G134" s="9" t="s">
        <v>454</v>
      </c>
      <c r="H134" s="9" t="n">
        <v>12</v>
      </c>
      <c r="I134" s="9" t="n">
        <v>720</v>
      </c>
      <c r="J134" s="9" t="s">
        <v>2070</v>
      </c>
      <c r="K134" s="9"/>
      <c r="L134" s="9"/>
      <c r="M134" s="9" t="n">
        <v>0</v>
      </c>
      <c r="N134" s="9" t="n">
        <v>0</v>
      </c>
      <c r="O134" s="9" t="n">
        <v>0</v>
      </c>
      <c r="P134" s="9" t="n">
        <v>0</v>
      </c>
      <c r="Q134" s="9" t="s">
        <v>381</v>
      </c>
      <c r="R134" s="9"/>
      <c r="S134" s="9"/>
      <c r="T134" s="9" t="s">
        <v>226</v>
      </c>
      <c r="U134" s="9" t="s">
        <v>226</v>
      </c>
      <c r="V134" s="9"/>
      <c r="W134" s="9"/>
      <c r="X134" s="9" t="n">
        <f aca="false">$M134-$O134+$P134</f>
        <v>0</v>
      </c>
      <c r="Y134" s="9" t="n">
        <f aca="false">IF($M134=0,0,IF($J134="Working",IF($Q134="All",MAX(0,$M134-$I134),0),IF($Q134="None",0,$M134)))</f>
        <v>0</v>
      </c>
      <c r="Z134" s="23" t="str">
        <f aca="false">IF($J134&lt;&gt;"Working",IF($M134&gt;0,$J134&amp;" — worked",$J134),IF($U134="Y","Present",IF($X134&lt;INDEX(08_Attendance_Rules!$C$2:$C$5,MATCH($H134,08_Attendance_Rules!$A$2:$A$5,0)),"Absent",IF($X134&lt;INDEX(08_Attendance_Rules!$B$2:$B$5,MATCH($H134,08_Attendance_Rules!$A$2:$A$5,0)),"Half Day",IF($T134="Y","Half Day","Present")))))</f>
        <v>Weekly Off</v>
      </c>
      <c r="AA134" s="9" t="str">
        <f aca="false">IF($X134=0,"-",INT($X134/60)&amp;":"&amp;TEXT(MOD($X134,60),"00"))</f>
        <v>-</v>
      </c>
      <c r="AB134" s="9" t="str">
        <f aca="false">IF($Y134=0,"-",INT($Y134/60)&amp;":"&amp;TEXT(MOD($Y134,60),"00"))</f>
        <v>-</v>
      </c>
    </row>
    <row r="135" customFormat="false" ht="15" hidden="false" customHeight="true" outlineLevel="0" collapsed="false">
      <c r="A135" s="11" t="s">
        <v>2214</v>
      </c>
      <c r="B135" s="11" t="s">
        <v>894</v>
      </c>
      <c r="C135" s="11" t="s">
        <v>895</v>
      </c>
      <c r="D135" s="11" t="s">
        <v>1337</v>
      </c>
      <c r="E135" s="11" t="s">
        <v>2072</v>
      </c>
      <c r="F135" s="11" t="s">
        <v>454</v>
      </c>
      <c r="G135" s="11" t="s">
        <v>454</v>
      </c>
      <c r="H135" s="11" t="n">
        <v>12</v>
      </c>
      <c r="I135" s="11" t="n">
        <v>720</v>
      </c>
      <c r="J135" s="11" t="s">
        <v>2059</v>
      </c>
      <c r="K135" s="11" t="s">
        <v>457</v>
      </c>
      <c r="L135" s="11" t="s">
        <v>1535</v>
      </c>
      <c r="M135" s="11" t="n">
        <v>730</v>
      </c>
      <c r="N135" s="11" t="n">
        <v>60</v>
      </c>
      <c r="O135" s="11" t="n">
        <v>0</v>
      </c>
      <c r="P135" s="11" t="n">
        <v>0</v>
      </c>
      <c r="Q135" s="11" t="s">
        <v>381</v>
      </c>
      <c r="R135" s="11"/>
      <c r="S135" s="11"/>
      <c r="T135" s="11" t="s">
        <v>226</v>
      </c>
      <c r="U135" s="11" t="s">
        <v>226</v>
      </c>
      <c r="V135" s="11"/>
      <c r="W135" s="11"/>
      <c r="X135" s="11" t="n">
        <f aca="false">$M135-$O135+$P135</f>
        <v>730</v>
      </c>
      <c r="Y135" s="11" t="n">
        <f aca="false">IF($M135=0,0,IF($J135="Working",IF($Q135="All",MAX(0,$M135-$I135),0),IF($Q135="None",0,$M135)))</f>
        <v>0</v>
      </c>
      <c r="Z135" s="24" t="str">
        <f aca="false">IF($J135&lt;&gt;"Working",IF($M135&gt;0,$J135&amp;" — worked",$J135),IF($U135="Y","Present",IF($X135&lt;INDEX(08_Attendance_Rules!$C$2:$C$5,MATCH($H135,08_Attendance_Rules!$A$2:$A$5,0)),"Absent",IF($X135&lt;INDEX(08_Attendance_Rules!$B$2:$B$5,MATCH($H135,08_Attendance_Rules!$A$2:$A$5,0)),"Half Day",IF($T135="Y","Half Day","Present")))))</f>
        <v>Present</v>
      </c>
      <c r="AA135" s="11" t="str">
        <f aca="false">IF($X135=0,"-",INT($X135/60)&amp;":"&amp;TEXT(MOD($X135,60),"00"))</f>
        <v>12:10</v>
      </c>
      <c r="AB135" s="11" t="str">
        <f aca="false">IF($Y135=0,"-",INT($Y135/60)&amp;":"&amp;TEXT(MOD($Y135,60),"00"))</f>
        <v>-</v>
      </c>
    </row>
    <row r="136" customFormat="false" ht="15" hidden="false" customHeight="true" outlineLevel="0" collapsed="false">
      <c r="A136" s="9" t="s">
        <v>2215</v>
      </c>
      <c r="B136" s="9" t="s">
        <v>894</v>
      </c>
      <c r="C136" s="9" t="s">
        <v>895</v>
      </c>
      <c r="D136" s="9" t="s">
        <v>531</v>
      </c>
      <c r="E136" s="9" t="s">
        <v>2058</v>
      </c>
      <c r="F136" s="9" t="s">
        <v>454</v>
      </c>
      <c r="G136" s="9" t="s">
        <v>454</v>
      </c>
      <c r="H136" s="9" t="n">
        <v>12</v>
      </c>
      <c r="I136" s="9" t="n">
        <v>720</v>
      </c>
      <c r="J136" s="9" t="s">
        <v>2059</v>
      </c>
      <c r="K136" s="9" t="s">
        <v>1552</v>
      </c>
      <c r="L136" s="9" t="s">
        <v>1498</v>
      </c>
      <c r="M136" s="9" t="n">
        <v>729</v>
      </c>
      <c r="N136" s="9" t="n">
        <v>60</v>
      </c>
      <c r="O136" s="9" t="n">
        <v>0</v>
      </c>
      <c r="P136" s="9" t="n">
        <v>0</v>
      </c>
      <c r="Q136" s="9" t="s">
        <v>381</v>
      </c>
      <c r="R136" s="9"/>
      <c r="S136" s="9"/>
      <c r="T136" s="9" t="s">
        <v>226</v>
      </c>
      <c r="U136" s="9" t="s">
        <v>226</v>
      </c>
      <c r="V136" s="9"/>
      <c r="W136" s="9"/>
      <c r="X136" s="9" t="n">
        <f aca="false">$M136-$O136+$P136</f>
        <v>729</v>
      </c>
      <c r="Y136" s="9" t="n">
        <f aca="false">IF($M136=0,0,IF($J136="Working",IF($Q136="All",MAX(0,$M136-$I136),0),IF($Q136="None",0,$M136)))</f>
        <v>0</v>
      </c>
      <c r="Z136" s="23" t="str">
        <f aca="false">IF($J136&lt;&gt;"Working",IF($M136&gt;0,$J136&amp;" — worked",$J136),IF($U136="Y","Present",IF($X136&lt;INDEX(08_Attendance_Rules!$C$2:$C$5,MATCH($H136,08_Attendance_Rules!$A$2:$A$5,0)),"Absent",IF($X136&lt;INDEX(08_Attendance_Rules!$B$2:$B$5,MATCH($H136,08_Attendance_Rules!$A$2:$A$5,0)),"Half Day",IF($T136="Y","Half Day","Present")))))</f>
        <v>Present</v>
      </c>
      <c r="AA136" s="9" t="str">
        <f aca="false">IF($X136=0,"-",INT($X136/60)&amp;":"&amp;TEXT(MOD($X136,60),"00"))</f>
        <v>12:09</v>
      </c>
      <c r="AB136" s="9" t="str">
        <f aca="false">IF($Y136=0,"-",INT($Y136/60)&amp;":"&amp;TEXT(MOD($Y136,60),"00"))</f>
        <v>-</v>
      </c>
    </row>
    <row r="137" customFormat="false" ht="15" hidden="false" customHeight="true" outlineLevel="0" collapsed="false">
      <c r="A137" s="11" t="s">
        <v>2216</v>
      </c>
      <c r="B137" s="11" t="s">
        <v>914</v>
      </c>
      <c r="C137" s="11" t="s">
        <v>915</v>
      </c>
      <c r="D137" s="11" t="s">
        <v>1151</v>
      </c>
      <c r="E137" s="11" t="s">
        <v>2058</v>
      </c>
      <c r="F137" s="11" t="s">
        <v>454</v>
      </c>
      <c r="G137" s="11" t="s">
        <v>454</v>
      </c>
      <c r="H137" s="11" t="n">
        <v>12</v>
      </c>
      <c r="I137" s="11" t="n">
        <v>720</v>
      </c>
      <c r="J137" s="11" t="s">
        <v>2059</v>
      </c>
      <c r="K137" s="11" t="s">
        <v>1493</v>
      </c>
      <c r="L137" s="11" t="s">
        <v>1498</v>
      </c>
      <c r="M137" s="11" t="n">
        <v>731</v>
      </c>
      <c r="N137" s="11" t="n">
        <v>60</v>
      </c>
      <c r="O137" s="11" t="n">
        <v>0</v>
      </c>
      <c r="P137" s="11" t="n">
        <v>0</v>
      </c>
      <c r="Q137" s="11" t="s">
        <v>381</v>
      </c>
      <c r="R137" s="11"/>
      <c r="S137" s="11"/>
      <c r="T137" s="11" t="s">
        <v>226</v>
      </c>
      <c r="U137" s="11" t="s">
        <v>226</v>
      </c>
      <c r="V137" s="11"/>
      <c r="W137" s="11"/>
      <c r="X137" s="11" t="n">
        <f aca="false">$M137-$O137+$P137</f>
        <v>731</v>
      </c>
      <c r="Y137" s="11" t="n">
        <f aca="false">IF($M137=0,0,IF($J137="Working",IF($Q137="All",MAX(0,$M137-$I137),0),IF($Q137="None",0,$M137)))</f>
        <v>0</v>
      </c>
      <c r="Z137" s="24" t="str">
        <f aca="false">IF($J137&lt;&gt;"Working",IF($M137&gt;0,$J137&amp;" — worked",$J137),IF($U137="Y","Present",IF($X137&lt;INDEX(08_Attendance_Rules!$C$2:$C$5,MATCH($H137,08_Attendance_Rules!$A$2:$A$5,0)),"Absent",IF($X137&lt;INDEX(08_Attendance_Rules!$B$2:$B$5,MATCH($H137,08_Attendance_Rules!$A$2:$A$5,0)),"Half Day",IF($T137="Y","Half Day","Present")))))</f>
        <v>Present</v>
      </c>
      <c r="AA137" s="11" t="str">
        <f aca="false">IF($X137=0,"-",INT($X137/60)&amp;":"&amp;TEXT(MOD($X137,60),"00"))</f>
        <v>12:11</v>
      </c>
      <c r="AB137" s="11" t="str">
        <f aca="false">IF($Y137=0,"-",INT($Y137/60)&amp;":"&amp;TEXT(MOD($Y137,60),"00"))</f>
        <v>-</v>
      </c>
    </row>
    <row r="138" customFormat="false" ht="15" hidden="false" customHeight="true" outlineLevel="0" collapsed="false">
      <c r="A138" s="9" t="s">
        <v>2217</v>
      </c>
      <c r="B138" s="9" t="s">
        <v>914</v>
      </c>
      <c r="C138" s="9" t="s">
        <v>915</v>
      </c>
      <c r="D138" s="9" t="s">
        <v>593</v>
      </c>
      <c r="E138" s="9" t="s">
        <v>2061</v>
      </c>
      <c r="F138" s="9" t="s">
        <v>454</v>
      </c>
      <c r="G138" s="9" t="s">
        <v>454</v>
      </c>
      <c r="H138" s="9" t="n">
        <v>12</v>
      </c>
      <c r="I138" s="9" t="n">
        <v>720</v>
      </c>
      <c r="J138" s="9" t="s">
        <v>2059</v>
      </c>
      <c r="K138" s="9" t="s">
        <v>1500</v>
      </c>
      <c r="L138" s="9" t="s">
        <v>1503</v>
      </c>
      <c r="M138" s="9" t="n">
        <v>733</v>
      </c>
      <c r="N138" s="9" t="n">
        <v>60</v>
      </c>
      <c r="O138" s="9" t="n">
        <v>0</v>
      </c>
      <c r="P138" s="9" t="n">
        <v>0</v>
      </c>
      <c r="Q138" s="9" t="s">
        <v>381</v>
      </c>
      <c r="R138" s="9"/>
      <c r="S138" s="9"/>
      <c r="T138" s="9" t="s">
        <v>226</v>
      </c>
      <c r="U138" s="9" t="s">
        <v>226</v>
      </c>
      <c r="V138" s="9"/>
      <c r="W138" s="9"/>
      <c r="X138" s="9" t="n">
        <f aca="false">$M138-$O138+$P138</f>
        <v>733</v>
      </c>
      <c r="Y138" s="9" t="n">
        <f aca="false">IF($M138=0,0,IF($J138="Working",IF($Q138="All",MAX(0,$M138-$I138),0),IF($Q138="None",0,$M138)))</f>
        <v>0</v>
      </c>
      <c r="Z138" s="23" t="str">
        <f aca="false">IF($J138&lt;&gt;"Working",IF($M138&gt;0,$J138&amp;" — worked",$J138),IF($U138="Y","Present",IF($X138&lt;INDEX(08_Attendance_Rules!$C$2:$C$5,MATCH($H138,08_Attendance_Rules!$A$2:$A$5,0)),"Absent",IF($X138&lt;INDEX(08_Attendance_Rules!$B$2:$B$5,MATCH($H138,08_Attendance_Rules!$A$2:$A$5,0)),"Half Day",IF($T138="Y","Half Day","Present")))))</f>
        <v>Present</v>
      </c>
      <c r="AA138" s="9" t="str">
        <f aca="false">IF($X138=0,"-",INT($X138/60)&amp;":"&amp;TEXT(MOD($X138,60),"00"))</f>
        <v>12:13</v>
      </c>
      <c r="AB138" s="9" t="str">
        <f aca="false">IF($Y138=0,"-",INT($Y138/60)&amp;":"&amp;TEXT(MOD($Y138,60),"00"))</f>
        <v>-</v>
      </c>
    </row>
    <row r="139" customFormat="false" ht="15" hidden="false" customHeight="true" outlineLevel="0" collapsed="false">
      <c r="A139" s="11" t="s">
        <v>2218</v>
      </c>
      <c r="B139" s="11" t="s">
        <v>914</v>
      </c>
      <c r="C139" s="11" t="s">
        <v>915</v>
      </c>
      <c r="D139" s="11" t="s">
        <v>1505</v>
      </c>
      <c r="E139" s="11" t="s">
        <v>2063</v>
      </c>
      <c r="F139" s="11" t="s">
        <v>454</v>
      </c>
      <c r="G139" s="11" t="s">
        <v>454</v>
      </c>
      <c r="H139" s="11" t="n">
        <v>12</v>
      </c>
      <c r="I139" s="11" t="n">
        <v>720</v>
      </c>
      <c r="J139" s="11" t="s">
        <v>2059</v>
      </c>
      <c r="K139" s="11" t="s">
        <v>1506</v>
      </c>
      <c r="L139" s="11" t="s">
        <v>1509</v>
      </c>
      <c r="M139" s="11" t="n">
        <v>730</v>
      </c>
      <c r="N139" s="11" t="n">
        <v>60</v>
      </c>
      <c r="O139" s="11" t="n">
        <v>0</v>
      </c>
      <c r="P139" s="11" t="n">
        <v>0</v>
      </c>
      <c r="Q139" s="11" t="s">
        <v>381</v>
      </c>
      <c r="R139" s="11"/>
      <c r="S139" s="11"/>
      <c r="T139" s="11" t="s">
        <v>226</v>
      </c>
      <c r="U139" s="11" t="s">
        <v>226</v>
      </c>
      <c r="V139" s="11"/>
      <c r="W139" s="11"/>
      <c r="X139" s="11" t="n">
        <f aca="false">$M139-$O139+$P139</f>
        <v>730</v>
      </c>
      <c r="Y139" s="11" t="n">
        <f aca="false">IF($M139=0,0,IF($J139="Working",IF($Q139="All",MAX(0,$M139-$I139),0),IF($Q139="None",0,$M139)))</f>
        <v>0</v>
      </c>
      <c r="Z139" s="24" t="str">
        <f aca="false">IF($J139&lt;&gt;"Working",IF($M139&gt;0,$J139&amp;" — worked",$J139),IF($U139="Y","Present",IF($X139&lt;INDEX(08_Attendance_Rules!$C$2:$C$5,MATCH($H139,08_Attendance_Rules!$A$2:$A$5,0)),"Absent",IF($X139&lt;INDEX(08_Attendance_Rules!$B$2:$B$5,MATCH($H139,08_Attendance_Rules!$A$2:$A$5,0)),"Half Day",IF($T139="Y","Half Day","Present")))))</f>
        <v>Present</v>
      </c>
      <c r="AA139" s="11" t="str">
        <f aca="false">IF($X139=0,"-",INT($X139/60)&amp;":"&amp;TEXT(MOD($X139,60),"00"))</f>
        <v>12:10</v>
      </c>
      <c r="AB139" s="11" t="str">
        <f aca="false">IF($Y139=0,"-",INT($Y139/60)&amp;":"&amp;TEXT(MOD($Y139,60),"00"))</f>
        <v>-</v>
      </c>
    </row>
    <row r="140" customFormat="false" ht="15" hidden="false" customHeight="true" outlineLevel="0" collapsed="false">
      <c r="A140" s="9" t="s">
        <v>2219</v>
      </c>
      <c r="B140" s="9" t="s">
        <v>914</v>
      </c>
      <c r="C140" s="9" t="s">
        <v>915</v>
      </c>
      <c r="D140" s="9" t="s">
        <v>1511</v>
      </c>
      <c r="E140" s="9" t="s">
        <v>2065</v>
      </c>
      <c r="F140" s="9" t="s">
        <v>454</v>
      </c>
      <c r="G140" s="9" t="s">
        <v>454</v>
      </c>
      <c r="H140" s="9" t="n">
        <v>12</v>
      </c>
      <c r="I140" s="9" t="n">
        <v>720</v>
      </c>
      <c r="J140" s="9" t="s">
        <v>2059</v>
      </c>
      <c r="K140" s="9" t="s">
        <v>457</v>
      </c>
      <c r="L140" s="9" t="s">
        <v>1513</v>
      </c>
      <c r="M140" s="9" t="n">
        <v>734</v>
      </c>
      <c r="N140" s="9" t="n">
        <v>60</v>
      </c>
      <c r="O140" s="9" t="n">
        <v>0</v>
      </c>
      <c r="P140" s="9" t="n">
        <v>0</v>
      </c>
      <c r="Q140" s="9" t="s">
        <v>381</v>
      </c>
      <c r="R140" s="9"/>
      <c r="S140" s="9"/>
      <c r="T140" s="9" t="s">
        <v>226</v>
      </c>
      <c r="U140" s="9" t="s">
        <v>226</v>
      </c>
      <c r="V140" s="9"/>
      <c r="W140" s="9"/>
      <c r="X140" s="9" t="n">
        <f aca="false">$M140-$O140+$P140</f>
        <v>734</v>
      </c>
      <c r="Y140" s="9" t="n">
        <f aca="false">IF($M140=0,0,IF($J140="Working",IF($Q140="All",MAX(0,$M140-$I140),0),IF($Q140="None",0,$M140)))</f>
        <v>0</v>
      </c>
      <c r="Z140" s="23" t="str">
        <f aca="false">IF($J140&lt;&gt;"Working",IF($M140&gt;0,$J140&amp;" — worked",$J140),IF($U140="Y","Present",IF($X140&lt;INDEX(08_Attendance_Rules!$C$2:$C$5,MATCH($H140,08_Attendance_Rules!$A$2:$A$5,0)),"Absent",IF($X140&lt;INDEX(08_Attendance_Rules!$B$2:$B$5,MATCH($H140,08_Attendance_Rules!$A$2:$A$5,0)),"Half Day",IF($T140="Y","Half Day","Present")))))</f>
        <v>Present</v>
      </c>
      <c r="AA140" s="9" t="str">
        <f aca="false">IF($X140=0,"-",INT($X140/60)&amp;":"&amp;TEXT(MOD($X140,60),"00"))</f>
        <v>12:14</v>
      </c>
      <c r="AB140" s="9" t="str">
        <f aca="false">IF($Y140=0,"-",INT($Y140/60)&amp;":"&amp;TEXT(MOD($Y140,60),"00"))</f>
        <v>-</v>
      </c>
    </row>
    <row r="141" customFormat="false" ht="15" hidden="false" customHeight="true" outlineLevel="0" collapsed="false">
      <c r="A141" s="11" t="s">
        <v>2220</v>
      </c>
      <c r="B141" s="11" t="s">
        <v>914</v>
      </c>
      <c r="C141" s="11" t="s">
        <v>915</v>
      </c>
      <c r="D141" s="11" t="s">
        <v>1515</v>
      </c>
      <c r="E141" s="11" t="s">
        <v>2067</v>
      </c>
      <c r="F141" s="11" t="s">
        <v>454</v>
      </c>
      <c r="G141" s="11" t="s">
        <v>454</v>
      </c>
      <c r="H141" s="11" t="n">
        <v>12</v>
      </c>
      <c r="I141" s="11" t="n">
        <v>720</v>
      </c>
      <c r="J141" s="11" t="s">
        <v>2059</v>
      </c>
      <c r="K141" s="11" t="s">
        <v>1516</v>
      </c>
      <c r="L141" s="11" t="s">
        <v>1518</v>
      </c>
      <c r="M141" s="11" t="n">
        <v>732</v>
      </c>
      <c r="N141" s="11" t="n">
        <v>60</v>
      </c>
      <c r="O141" s="11" t="n">
        <v>0</v>
      </c>
      <c r="P141" s="11" t="n">
        <v>0</v>
      </c>
      <c r="Q141" s="11" t="s">
        <v>381</v>
      </c>
      <c r="R141" s="11"/>
      <c r="S141" s="11"/>
      <c r="T141" s="11" t="s">
        <v>226</v>
      </c>
      <c r="U141" s="11" t="s">
        <v>226</v>
      </c>
      <c r="V141" s="11"/>
      <c r="W141" s="11"/>
      <c r="X141" s="11" t="n">
        <f aca="false">$M141-$O141+$P141</f>
        <v>732</v>
      </c>
      <c r="Y141" s="11" t="n">
        <f aca="false">IF($M141=0,0,IF($J141="Working",IF($Q141="All",MAX(0,$M141-$I141),0),IF($Q141="None",0,$M141)))</f>
        <v>0</v>
      </c>
      <c r="Z141" s="24" t="str">
        <f aca="false">IF($J141&lt;&gt;"Working",IF($M141&gt;0,$J141&amp;" — worked",$J141),IF($U141="Y","Present",IF($X141&lt;INDEX(08_Attendance_Rules!$C$2:$C$5,MATCH($H141,08_Attendance_Rules!$A$2:$A$5,0)),"Absent",IF($X141&lt;INDEX(08_Attendance_Rules!$B$2:$B$5,MATCH($H141,08_Attendance_Rules!$A$2:$A$5,0)),"Half Day",IF($T141="Y","Half Day","Present")))))</f>
        <v>Present</v>
      </c>
      <c r="AA141" s="11" t="str">
        <f aca="false">IF($X141=0,"-",INT($X141/60)&amp;":"&amp;TEXT(MOD($X141,60),"00"))</f>
        <v>12:12</v>
      </c>
      <c r="AB141" s="11" t="str">
        <f aca="false">IF($Y141=0,"-",INT($Y141/60)&amp;":"&amp;TEXT(MOD($Y141,60),"00"))</f>
        <v>-</v>
      </c>
    </row>
    <row r="142" customFormat="false" ht="15" hidden="false" customHeight="true" outlineLevel="0" collapsed="false">
      <c r="A142" s="9" t="s">
        <v>2221</v>
      </c>
      <c r="B142" s="9" t="s">
        <v>914</v>
      </c>
      <c r="C142" s="9" t="s">
        <v>915</v>
      </c>
      <c r="D142" s="9" t="s">
        <v>1359</v>
      </c>
      <c r="E142" s="9" t="s">
        <v>2069</v>
      </c>
      <c r="F142" s="9" t="s">
        <v>454</v>
      </c>
      <c r="G142" s="9" t="s">
        <v>454</v>
      </c>
      <c r="H142" s="9" t="n">
        <v>12</v>
      </c>
      <c r="I142" s="9" t="n">
        <v>720</v>
      </c>
      <c r="J142" s="9" t="s">
        <v>2059</v>
      </c>
      <c r="K142" s="9" t="s">
        <v>1689</v>
      </c>
      <c r="L142" s="9" t="s">
        <v>1717</v>
      </c>
      <c r="M142" s="9" t="n">
        <v>719</v>
      </c>
      <c r="N142" s="9" t="n">
        <v>60</v>
      </c>
      <c r="O142" s="9" t="n">
        <v>0</v>
      </c>
      <c r="P142" s="9" t="n">
        <v>0</v>
      </c>
      <c r="Q142" s="9" t="s">
        <v>381</v>
      </c>
      <c r="R142" s="9" t="n">
        <v>3</v>
      </c>
      <c r="S142" s="9"/>
      <c r="T142" s="9" t="s">
        <v>226</v>
      </c>
      <c r="U142" s="9" t="s">
        <v>226</v>
      </c>
      <c r="V142" s="9"/>
      <c r="W142" s="9"/>
      <c r="X142" s="9" t="n">
        <f aca="false">$M142-$O142+$P142</f>
        <v>719</v>
      </c>
      <c r="Y142" s="9" t="n">
        <f aca="false">IF($M142=0,0,IF($J142="Working",IF($Q142="All",MAX(0,$M142-$I142),0),IF($Q142="None",0,$M142)))</f>
        <v>0</v>
      </c>
      <c r="Z142" s="23" t="str">
        <f aca="false">IF($J142&lt;&gt;"Working",IF($M142&gt;0,$J142&amp;" — worked",$J142),IF($U142="Y","Present",IF($X142&lt;INDEX(08_Attendance_Rules!$C$2:$C$5,MATCH($H142,08_Attendance_Rules!$A$2:$A$5,0)),"Absent",IF($X142&lt;INDEX(08_Attendance_Rules!$B$2:$B$5,MATCH($H142,08_Attendance_Rules!$A$2:$A$5,0)),"Half Day",IF($T142="Y","Half Day","Present")))))</f>
        <v>Present</v>
      </c>
      <c r="AA142" s="9" t="str">
        <f aca="false">IF($X142=0,"-",INT($X142/60)&amp;":"&amp;TEXT(MOD($X142,60),"00"))</f>
        <v>11:59</v>
      </c>
      <c r="AB142" s="9" t="str">
        <f aca="false">IF($Y142=0,"-",INT($Y142/60)&amp;":"&amp;TEXT(MOD($Y142,60),"00"))</f>
        <v>-</v>
      </c>
    </row>
    <row r="143" customFormat="false" ht="15" hidden="false" customHeight="true" outlineLevel="0" collapsed="false">
      <c r="A143" s="11" t="s">
        <v>2222</v>
      </c>
      <c r="B143" s="11" t="s">
        <v>914</v>
      </c>
      <c r="C143" s="11" t="s">
        <v>915</v>
      </c>
      <c r="D143" s="11" t="s">
        <v>1332</v>
      </c>
      <c r="E143" s="11" t="s">
        <v>2072</v>
      </c>
      <c r="F143" s="11" t="s">
        <v>454</v>
      </c>
      <c r="G143" s="11" t="s">
        <v>454</v>
      </c>
      <c r="H143" s="11" t="n">
        <v>12</v>
      </c>
      <c r="I143" s="11" t="n">
        <v>720</v>
      </c>
      <c r="J143" s="11" t="s">
        <v>2059</v>
      </c>
      <c r="K143" s="11" t="s">
        <v>1520</v>
      </c>
      <c r="L143" s="11" t="s">
        <v>1522</v>
      </c>
      <c r="M143" s="11" t="n">
        <v>743</v>
      </c>
      <c r="N143" s="11" t="n">
        <v>60</v>
      </c>
      <c r="O143" s="11" t="n">
        <v>0</v>
      </c>
      <c r="P143" s="11" t="n">
        <v>0</v>
      </c>
      <c r="Q143" s="11" t="s">
        <v>381</v>
      </c>
      <c r="R143" s="11"/>
      <c r="S143" s="11"/>
      <c r="T143" s="11" t="s">
        <v>226</v>
      </c>
      <c r="U143" s="11" t="s">
        <v>226</v>
      </c>
      <c r="V143" s="11"/>
      <c r="W143" s="11"/>
      <c r="X143" s="11" t="n">
        <f aca="false">$M143-$O143+$P143</f>
        <v>743</v>
      </c>
      <c r="Y143" s="11" t="n">
        <f aca="false">IF($M143=0,0,IF($J143="Working",IF($Q143="All",MAX(0,$M143-$I143),0),IF($Q143="None",0,$M143)))</f>
        <v>0</v>
      </c>
      <c r="Z143" s="24" t="str">
        <f aca="false">IF($J143&lt;&gt;"Working",IF($M143&gt;0,$J143&amp;" — worked",$J143),IF($U143="Y","Present",IF($X143&lt;INDEX(08_Attendance_Rules!$C$2:$C$5,MATCH($H143,08_Attendance_Rules!$A$2:$A$5,0)),"Absent",IF($X143&lt;INDEX(08_Attendance_Rules!$B$2:$B$5,MATCH($H143,08_Attendance_Rules!$A$2:$A$5,0)),"Half Day",IF($T143="Y","Half Day","Present")))))</f>
        <v>Present</v>
      </c>
      <c r="AA143" s="11" t="str">
        <f aca="false">IF($X143=0,"-",INT($X143/60)&amp;":"&amp;TEXT(MOD($X143,60),"00"))</f>
        <v>12:23</v>
      </c>
      <c r="AB143" s="11" t="str">
        <f aca="false">IF($Y143=0,"-",INT($Y143/60)&amp;":"&amp;TEXT(MOD($Y143,60),"00"))</f>
        <v>-</v>
      </c>
    </row>
    <row r="144" customFormat="false" ht="15" hidden="false" customHeight="true" outlineLevel="0" collapsed="false">
      <c r="A144" s="9" t="s">
        <v>2223</v>
      </c>
      <c r="B144" s="9" t="s">
        <v>914</v>
      </c>
      <c r="C144" s="9" t="s">
        <v>915</v>
      </c>
      <c r="D144" s="9" t="s">
        <v>1524</v>
      </c>
      <c r="E144" s="9" t="s">
        <v>2058</v>
      </c>
      <c r="F144" s="9" t="s">
        <v>454</v>
      </c>
      <c r="G144" s="9" t="s">
        <v>454</v>
      </c>
      <c r="H144" s="9" t="n">
        <v>12</v>
      </c>
      <c r="I144" s="9" t="n">
        <v>720</v>
      </c>
      <c r="J144" s="9" t="s">
        <v>2059</v>
      </c>
      <c r="K144" s="9" t="s">
        <v>472</v>
      </c>
      <c r="L144" s="9" t="s">
        <v>1571</v>
      </c>
      <c r="M144" s="9" t="n">
        <v>726</v>
      </c>
      <c r="N144" s="9" t="n">
        <v>60</v>
      </c>
      <c r="O144" s="9" t="n">
        <v>0</v>
      </c>
      <c r="P144" s="9" t="n">
        <v>0</v>
      </c>
      <c r="Q144" s="9" t="s">
        <v>381</v>
      </c>
      <c r="R144" s="9"/>
      <c r="S144" s="9"/>
      <c r="T144" s="9" t="s">
        <v>226</v>
      </c>
      <c r="U144" s="9" t="s">
        <v>226</v>
      </c>
      <c r="V144" s="9"/>
      <c r="W144" s="9"/>
      <c r="X144" s="9" t="n">
        <f aca="false">$M144-$O144+$P144</f>
        <v>726</v>
      </c>
      <c r="Y144" s="9" t="n">
        <f aca="false">IF($M144=0,0,IF($J144="Working",IF($Q144="All",MAX(0,$M144-$I144),0),IF($Q144="None",0,$M144)))</f>
        <v>0</v>
      </c>
      <c r="Z144" s="23" t="str">
        <f aca="false">IF($J144&lt;&gt;"Working",IF($M144&gt;0,$J144&amp;" — worked",$J144),IF($U144="Y","Present",IF($X144&lt;INDEX(08_Attendance_Rules!$C$2:$C$5,MATCH($H144,08_Attendance_Rules!$A$2:$A$5,0)),"Absent",IF($X144&lt;INDEX(08_Attendance_Rules!$B$2:$B$5,MATCH($H144,08_Attendance_Rules!$A$2:$A$5,0)),"Half Day",IF($T144="Y","Half Day","Present")))))</f>
        <v>Present</v>
      </c>
      <c r="AA144" s="9" t="str">
        <f aca="false">IF($X144=0,"-",INT($X144/60)&amp;":"&amp;TEXT(MOD($X144,60),"00"))</f>
        <v>12:06</v>
      </c>
      <c r="AB144" s="9" t="str">
        <f aca="false">IF($Y144=0,"-",INT($Y144/60)&amp;":"&amp;TEXT(MOD($Y144,60),"00"))</f>
        <v>-</v>
      </c>
    </row>
    <row r="145" customFormat="false" ht="15" hidden="false" customHeight="true" outlineLevel="0" collapsed="false">
      <c r="A145" s="11" t="s">
        <v>2224</v>
      </c>
      <c r="B145" s="11" t="s">
        <v>914</v>
      </c>
      <c r="C145" s="11" t="s">
        <v>915</v>
      </c>
      <c r="D145" s="11" t="s">
        <v>1377</v>
      </c>
      <c r="E145" s="11" t="s">
        <v>2061</v>
      </c>
      <c r="F145" s="11" t="s">
        <v>454</v>
      </c>
      <c r="G145" s="11" t="s">
        <v>454</v>
      </c>
      <c r="H145" s="11" t="n">
        <v>12</v>
      </c>
      <c r="I145" s="11" t="n">
        <v>720</v>
      </c>
      <c r="J145" s="11" t="s">
        <v>2059</v>
      </c>
      <c r="K145" s="11" t="s">
        <v>1552</v>
      </c>
      <c r="L145" s="11" t="s">
        <v>1574</v>
      </c>
      <c r="M145" s="11" t="n">
        <v>732</v>
      </c>
      <c r="N145" s="11" t="n">
        <v>60</v>
      </c>
      <c r="O145" s="11" t="n">
        <v>0</v>
      </c>
      <c r="P145" s="11" t="n">
        <v>0</v>
      </c>
      <c r="Q145" s="11" t="s">
        <v>381</v>
      </c>
      <c r="R145" s="11"/>
      <c r="S145" s="11"/>
      <c r="T145" s="11" t="s">
        <v>226</v>
      </c>
      <c r="U145" s="11" t="s">
        <v>226</v>
      </c>
      <c r="V145" s="11"/>
      <c r="W145" s="11"/>
      <c r="X145" s="11" t="n">
        <f aca="false">$M145-$O145+$P145</f>
        <v>732</v>
      </c>
      <c r="Y145" s="11" t="n">
        <f aca="false">IF($M145=0,0,IF($J145="Working",IF($Q145="All",MAX(0,$M145-$I145),0),IF($Q145="None",0,$M145)))</f>
        <v>0</v>
      </c>
      <c r="Z145" s="24" t="str">
        <f aca="false">IF($J145&lt;&gt;"Working",IF($M145&gt;0,$J145&amp;" — worked",$J145),IF($U145="Y","Present",IF($X145&lt;INDEX(08_Attendance_Rules!$C$2:$C$5,MATCH($H145,08_Attendance_Rules!$A$2:$A$5,0)),"Absent",IF($X145&lt;INDEX(08_Attendance_Rules!$B$2:$B$5,MATCH($H145,08_Attendance_Rules!$A$2:$A$5,0)),"Half Day",IF($T145="Y","Half Day","Present")))))</f>
        <v>Present</v>
      </c>
      <c r="AA145" s="11" t="str">
        <f aca="false">IF($X145=0,"-",INT($X145/60)&amp;":"&amp;TEXT(MOD($X145,60),"00"))</f>
        <v>12:12</v>
      </c>
      <c r="AB145" s="11" t="str">
        <f aca="false">IF($Y145=0,"-",INT($Y145/60)&amp;":"&amp;TEXT(MOD($Y145,60),"00"))</f>
        <v>-</v>
      </c>
    </row>
    <row r="146" customFormat="false" ht="15" hidden="false" customHeight="true" outlineLevel="0" collapsed="false">
      <c r="A146" s="9" t="s">
        <v>2225</v>
      </c>
      <c r="B146" s="9" t="s">
        <v>914</v>
      </c>
      <c r="C146" s="9" t="s">
        <v>915</v>
      </c>
      <c r="D146" s="9" t="s">
        <v>1355</v>
      </c>
      <c r="E146" s="9" t="s">
        <v>2063</v>
      </c>
      <c r="F146" s="9" t="s">
        <v>454</v>
      </c>
      <c r="G146" s="9" t="s">
        <v>454</v>
      </c>
      <c r="H146" s="9" t="n">
        <v>12</v>
      </c>
      <c r="I146" s="9" t="n">
        <v>720</v>
      </c>
      <c r="J146" s="9" t="s">
        <v>2059</v>
      </c>
      <c r="K146" s="9" t="s">
        <v>1537</v>
      </c>
      <c r="L146" s="9" t="s">
        <v>1539</v>
      </c>
      <c r="M146" s="9" t="n">
        <v>731</v>
      </c>
      <c r="N146" s="9" t="n">
        <v>60</v>
      </c>
      <c r="O146" s="9" t="n">
        <v>0</v>
      </c>
      <c r="P146" s="9" t="n">
        <v>0</v>
      </c>
      <c r="Q146" s="9" t="s">
        <v>381</v>
      </c>
      <c r="R146" s="9" t="n">
        <v>1</v>
      </c>
      <c r="S146" s="9"/>
      <c r="T146" s="9" t="s">
        <v>226</v>
      </c>
      <c r="U146" s="9" t="s">
        <v>226</v>
      </c>
      <c r="V146" s="9"/>
      <c r="W146" s="9"/>
      <c r="X146" s="9" t="n">
        <f aca="false">$M146-$O146+$P146</f>
        <v>731</v>
      </c>
      <c r="Y146" s="9" t="n">
        <f aca="false">IF($M146=0,0,IF($J146="Working",IF($Q146="All",MAX(0,$M146-$I146),0),IF($Q146="None",0,$M146)))</f>
        <v>0</v>
      </c>
      <c r="Z146" s="23" t="str">
        <f aca="false">IF($J146&lt;&gt;"Working",IF($M146&gt;0,$J146&amp;" — worked",$J146),IF($U146="Y","Present",IF($X146&lt;INDEX(08_Attendance_Rules!$C$2:$C$5,MATCH($H146,08_Attendance_Rules!$A$2:$A$5,0)),"Absent",IF($X146&lt;INDEX(08_Attendance_Rules!$B$2:$B$5,MATCH($H146,08_Attendance_Rules!$A$2:$A$5,0)),"Half Day",IF($T146="Y","Half Day","Present")))))</f>
        <v>Present</v>
      </c>
      <c r="AA146" s="9" t="str">
        <f aca="false">IF($X146=0,"-",INT($X146/60)&amp;":"&amp;TEXT(MOD($X146,60),"00"))</f>
        <v>12:11</v>
      </c>
      <c r="AB146" s="9" t="str">
        <f aca="false">IF($Y146=0,"-",INT($Y146/60)&amp;":"&amp;TEXT(MOD($Y146,60),"00"))</f>
        <v>-</v>
      </c>
    </row>
    <row r="147" customFormat="false" ht="15" hidden="false" customHeight="true" outlineLevel="0" collapsed="false">
      <c r="A147" s="11" t="s">
        <v>2226</v>
      </c>
      <c r="B147" s="11" t="s">
        <v>914</v>
      </c>
      <c r="C147" s="11" t="s">
        <v>915</v>
      </c>
      <c r="D147" s="11" t="s">
        <v>1459</v>
      </c>
      <c r="E147" s="11" t="s">
        <v>2065</v>
      </c>
      <c r="F147" s="11" t="s">
        <v>454</v>
      </c>
      <c r="G147" s="11" t="s">
        <v>454</v>
      </c>
      <c r="H147" s="11" t="n">
        <v>12</v>
      </c>
      <c r="I147" s="11" t="n">
        <v>720</v>
      </c>
      <c r="J147" s="11" t="s">
        <v>2059</v>
      </c>
      <c r="K147" s="11" t="s">
        <v>1541</v>
      </c>
      <c r="L147" s="11" t="s">
        <v>1543</v>
      </c>
      <c r="M147" s="11" t="n">
        <v>732</v>
      </c>
      <c r="N147" s="11" t="n">
        <v>60</v>
      </c>
      <c r="O147" s="11" t="n">
        <v>0</v>
      </c>
      <c r="P147" s="11" t="n">
        <v>0</v>
      </c>
      <c r="Q147" s="11" t="s">
        <v>381</v>
      </c>
      <c r="R147" s="11"/>
      <c r="S147" s="11"/>
      <c r="T147" s="11" t="s">
        <v>226</v>
      </c>
      <c r="U147" s="11" t="s">
        <v>226</v>
      </c>
      <c r="V147" s="11"/>
      <c r="W147" s="11"/>
      <c r="X147" s="11" t="n">
        <f aca="false">$M147-$O147+$P147</f>
        <v>732</v>
      </c>
      <c r="Y147" s="11" t="n">
        <f aca="false">IF($M147=0,0,IF($J147="Working",IF($Q147="All",MAX(0,$M147-$I147),0),IF($Q147="None",0,$M147)))</f>
        <v>0</v>
      </c>
      <c r="Z147" s="24" t="str">
        <f aca="false">IF($J147&lt;&gt;"Working",IF($M147&gt;0,$J147&amp;" — worked",$J147),IF($U147="Y","Present",IF($X147&lt;INDEX(08_Attendance_Rules!$C$2:$C$5,MATCH($H147,08_Attendance_Rules!$A$2:$A$5,0)),"Absent",IF($X147&lt;INDEX(08_Attendance_Rules!$B$2:$B$5,MATCH($H147,08_Attendance_Rules!$A$2:$A$5,0)),"Half Day",IF($T147="Y","Half Day","Present")))))</f>
        <v>Present</v>
      </c>
      <c r="AA147" s="11" t="str">
        <f aca="false">IF($X147=0,"-",INT($X147/60)&amp;":"&amp;TEXT(MOD($X147,60),"00"))</f>
        <v>12:12</v>
      </c>
      <c r="AB147" s="11" t="str">
        <f aca="false">IF($Y147=0,"-",INT($Y147/60)&amp;":"&amp;TEXT(MOD($Y147,60),"00"))</f>
        <v>-</v>
      </c>
    </row>
    <row r="148" customFormat="false" ht="15" hidden="false" customHeight="true" outlineLevel="0" collapsed="false">
      <c r="A148" s="9" t="s">
        <v>2227</v>
      </c>
      <c r="B148" s="9" t="s">
        <v>914</v>
      </c>
      <c r="C148" s="9" t="s">
        <v>915</v>
      </c>
      <c r="D148" s="9" t="s">
        <v>1545</v>
      </c>
      <c r="E148" s="9" t="s">
        <v>2067</v>
      </c>
      <c r="F148" s="9" t="s">
        <v>454</v>
      </c>
      <c r="G148" s="9" t="s">
        <v>454</v>
      </c>
      <c r="H148" s="9" t="n">
        <v>12</v>
      </c>
      <c r="I148" s="9" t="n">
        <v>720</v>
      </c>
      <c r="J148" s="9" t="s">
        <v>2059</v>
      </c>
      <c r="K148" s="9" t="s">
        <v>1546</v>
      </c>
      <c r="L148" s="9" t="s">
        <v>1548</v>
      </c>
      <c r="M148" s="9" t="n">
        <v>737</v>
      </c>
      <c r="N148" s="9" t="n">
        <v>60</v>
      </c>
      <c r="O148" s="9" t="n">
        <v>0</v>
      </c>
      <c r="P148" s="9" t="n">
        <v>0</v>
      </c>
      <c r="Q148" s="9" t="s">
        <v>381</v>
      </c>
      <c r="R148" s="9" t="n">
        <v>2</v>
      </c>
      <c r="S148" s="9"/>
      <c r="T148" s="9" t="s">
        <v>226</v>
      </c>
      <c r="U148" s="9" t="s">
        <v>226</v>
      </c>
      <c r="V148" s="9"/>
      <c r="W148" s="9"/>
      <c r="X148" s="9" t="n">
        <f aca="false">$M148-$O148+$P148</f>
        <v>737</v>
      </c>
      <c r="Y148" s="9" t="n">
        <f aca="false">IF($M148=0,0,IF($J148="Working",IF($Q148="All",MAX(0,$M148-$I148),0),IF($Q148="None",0,$M148)))</f>
        <v>0</v>
      </c>
      <c r="Z148" s="23" t="str">
        <f aca="false">IF($J148&lt;&gt;"Working",IF($M148&gt;0,$J148&amp;" — worked",$J148),IF($U148="Y","Present",IF($X148&lt;INDEX(08_Attendance_Rules!$C$2:$C$5,MATCH($H148,08_Attendance_Rules!$A$2:$A$5,0)),"Absent",IF($X148&lt;INDEX(08_Attendance_Rules!$B$2:$B$5,MATCH($H148,08_Attendance_Rules!$A$2:$A$5,0)),"Half Day",IF($T148="Y","Half Day","Present")))))</f>
        <v>Present</v>
      </c>
      <c r="AA148" s="9" t="str">
        <f aca="false">IF($X148=0,"-",INT($X148/60)&amp;":"&amp;TEXT(MOD($X148,60),"00"))</f>
        <v>12:17</v>
      </c>
      <c r="AB148" s="9" t="str">
        <f aca="false">IF($Y148=0,"-",INT($Y148/60)&amp;":"&amp;TEXT(MOD($Y148,60),"00"))</f>
        <v>-</v>
      </c>
    </row>
    <row r="149" customFormat="false" ht="15" hidden="false" customHeight="true" outlineLevel="0" collapsed="false">
      <c r="A149" s="11" t="s">
        <v>2228</v>
      </c>
      <c r="B149" s="11" t="s">
        <v>914</v>
      </c>
      <c r="C149" s="11" t="s">
        <v>915</v>
      </c>
      <c r="D149" s="11" t="s">
        <v>1409</v>
      </c>
      <c r="E149" s="11" t="s">
        <v>2069</v>
      </c>
      <c r="F149" s="11" t="s">
        <v>454</v>
      </c>
      <c r="G149" s="11" t="s">
        <v>454</v>
      </c>
      <c r="H149" s="11" t="n">
        <v>12</v>
      </c>
      <c r="I149" s="11" t="n">
        <v>720</v>
      </c>
      <c r="J149" s="11" t="s">
        <v>2059</v>
      </c>
      <c r="K149" s="11" t="s">
        <v>1493</v>
      </c>
      <c r="L149" s="11" t="s">
        <v>1777</v>
      </c>
      <c r="M149" s="11" t="n">
        <v>732</v>
      </c>
      <c r="N149" s="11" t="n">
        <v>60</v>
      </c>
      <c r="O149" s="11" t="n">
        <v>0</v>
      </c>
      <c r="P149" s="11" t="n">
        <v>0</v>
      </c>
      <c r="Q149" s="11" t="s">
        <v>381</v>
      </c>
      <c r="R149" s="11"/>
      <c r="S149" s="11"/>
      <c r="T149" s="11" t="s">
        <v>226</v>
      </c>
      <c r="U149" s="11" t="s">
        <v>226</v>
      </c>
      <c r="V149" s="11"/>
      <c r="W149" s="11"/>
      <c r="X149" s="11" t="n">
        <f aca="false">$M149-$O149+$P149</f>
        <v>732</v>
      </c>
      <c r="Y149" s="11" t="n">
        <f aca="false">IF($M149=0,0,IF($J149="Working",IF($Q149="All",MAX(0,$M149-$I149),0),IF($Q149="None",0,$M149)))</f>
        <v>0</v>
      </c>
      <c r="Z149" s="24" t="str">
        <f aca="false">IF($J149&lt;&gt;"Working",IF($M149&gt;0,$J149&amp;" — worked",$J149),IF($U149="Y","Present",IF($X149&lt;INDEX(08_Attendance_Rules!$C$2:$C$5,MATCH($H149,08_Attendance_Rules!$A$2:$A$5,0)),"Absent",IF($X149&lt;INDEX(08_Attendance_Rules!$B$2:$B$5,MATCH($H149,08_Attendance_Rules!$A$2:$A$5,0)),"Half Day",IF($T149="Y","Half Day","Present")))))</f>
        <v>Present</v>
      </c>
      <c r="AA149" s="11" t="str">
        <f aca="false">IF($X149=0,"-",INT($X149/60)&amp;":"&amp;TEXT(MOD($X149,60),"00"))</f>
        <v>12:12</v>
      </c>
      <c r="AB149" s="11" t="str">
        <f aca="false">IF($Y149=0,"-",INT($Y149/60)&amp;":"&amp;TEXT(MOD($Y149,60),"00"))</f>
        <v>-</v>
      </c>
    </row>
    <row r="150" customFormat="false" ht="15" hidden="false" customHeight="true" outlineLevel="0" collapsed="false">
      <c r="A150" s="9" t="s">
        <v>2229</v>
      </c>
      <c r="B150" s="9" t="s">
        <v>914</v>
      </c>
      <c r="C150" s="9" t="s">
        <v>915</v>
      </c>
      <c r="D150" s="9" t="s">
        <v>1337</v>
      </c>
      <c r="E150" s="9" t="s">
        <v>2072</v>
      </c>
      <c r="F150" s="9" t="s">
        <v>454</v>
      </c>
      <c r="G150" s="9" t="s">
        <v>454</v>
      </c>
      <c r="H150" s="9" t="n">
        <v>12</v>
      </c>
      <c r="I150" s="9" t="n">
        <v>720</v>
      </c>
      <c r="J150" s="9" t="s">
        <v>2059</v>
      </c>
      <c r="K150" s="9" t="s">
        <v>457</v>
      </c>
      <c r="L150" s="9" t="s">
        <v>1535</v>
      </c>
      <c r="M150" s="9" t="n">
        <v>730</v>
      </c>
      <c r="N150" s="9" t="n">
        <v>60</v>
      </c>
      <c r="O150" s="9" t="n">
        <v>0</v>
      </c>
      <c r="P150" s="9" t="n">
        <v>0</v>
      </c>
      <c r="Q150" s="9" t="s">
        <v>381</v>
      </c>
      <c r="R150" s="9"/>
      <c r="S150" s="9"/>
      <c r="T150" s="9" t="s">
        <v>226</v>
      </c>
      <c r="U150" s="9" t="s">
        <v>226</v>
      </c>
      <c r="V150" s="9"/>
      <c r="W150" s="9"/>
      <c r="X150" s="9" t="n">
        <f aca="false">$M150-$O150+$P150</f>
        <v>730</v>
      </c>
      <c r="Y150" s="9" t="n">
        <f aca="false">IF($M150=0,0,IF($J150="Working",IF($Q150="All",MAX(0,$M150-$I150),0),IF($Q150="None",0,$M150)))</f>
        <v>0</v>
      </c>
      <c r="Z150" s="23" t="str">
        <f aca="false">IF($J150&lt;&gt;"Working",IF($M150&gt;0,$J150&amp;" — worked",$J150),IF($U150="Y","Present",IF($X150&lt;INDEX(08_Attendance_Rules!$C$2:$C$5,MATCH($H150,08_Attendance_Rules!$A$2:$A$5,0)),"Absent",IF($X150&lt;INDEX(08_Attendance_Rules!$B$2:$B$5,MATCH($H150,08_Attendance_Rules!$A$2:$A$5,0)),"Half Day",IF($T150="Y","Half Day","Present")))))</f>
        <v>Present</v>
      </c>
      <c r="AA150" s="9" t="str">
        <f aca="false">IF($X150=0,"-",INT($X150/60)&amp;":"&amp;TEXT(MOD($X150,60),"00"))</f>
        <v>12:10</v>
      </c>
      <c r="AB150" s="9" t="str">
        <f aca="false">IF($Y150=0,"-",INT($Y150/60)&amp;":"&amp;TEXT(MOD($Y150,60),"00"))</f>
        <v>-</v>
      </c>
    </row>
    <row r="151" customFormat="false" ht="15" hidden="false" customHeight="true" outlineLevel="0" collapsed="false">
      <c r="A151" s="11" t="s">
        <v>2230</v>
      </c>
      <c r="B151" s="11" t="s">
        <v>914</v>
      </c>
      <c r="C151" s="11" t="s">
        <v>915</v>
      </c>
      <c r="D151" s="11" t="s">
        <v>531</v>
      </c>
      <c r="E151" s="11" t="s">
        <v>2058</v>
      </c>
      <c r="F151" s="11" t="s">
        <v>454</v>
      </c>
      <c r="G151" s="11" t="s">
        <v>454</v>
      </c>
      <c r="H151" s="11" t="n">
        <v>12</v>
      </c>
      <c r="I151" s="11" t="n">
        <v>720</v>
      </c>
      <c r="J151" s="11" t="s">
        <v>2059</v>
      </c>
      <c r="K151" s="11" t="s">
        <v>1552</v>
      </c>
      <c r="L151" s="11" t="s">
        <v>1498</v>
      </c>
      <c r="M151" s="11" t="n">
        <v>729</v>
      </c>
      <c r="N151" s="11" t="n">
        <v>60</v>
      </c>
      <c r="O151" s="11" t="n">
        <v>0</v>
      </c>
      <c r="P151" s="11" t="n">
        <v>0</v>
      </c>
      <c r="Q151" s="11" t="s">
        <v>381</v>
      </c>
      <c r="R151" s="11"/>
      <c r="S151" s="11"/>
      <c r="T151" s="11" t="s">
        <v>226</v>
      </c>
      <c r="U151" s="11" t="s">
        <v>226</v>
      </c>
      <c r="V151" s="11"/>
      <c r="W151" s="11"/>
      <c r="X151" s="11" t="n">
        <f aca="false">$M151-$O151+$P151</f>
        <v>729</v>
      </c>
      <c r="Y151" s="11" t="n">
        <f aca="false">IF($M151=0,0,IF($J151="Working",IF($Q151="All",MAX(0,$M151-$I151),0),IF($Q151="None",0,$M151)))</f>
        <v>0</v>
      </c>
      <c r="Z151" s="24" t="str">
        <f aca="false">IF($J151&lt;&gt;"Working",IF($M151&gt;0,$J151&amp;" — worked",$J151),IF($U151="Y","Present",IF($X151&lt;INDEX(08_Attendance_Rules!$C$2:$C$5,MATCH($H151,08_Attendance_Rules!$A$2:$A$5,0)),"Absent",IF($X151&lt;INDEX(08_Attendance_Rules!$B$2:$B$5,MATCH($H151,08_Attendance_Rules!$A$2:$A$5,0)),"Half Day",IF($T151="Y","Half Day","Present")))))</f>
        <v>Present</v>
      </c>
      <c r="AA151" s="11" t="str">
        <f aca="false">IF($X151=0,"-",INT($X151/60)&amp;":"&amp;TEXT(MOD($X151,60),"00"))</f>
        <v>12:09</v>
      </c>
      <c r="AB151" s="11" t="str">
        <f aca="false">IF($Y151=0,"-",INT($Y151/60)&amp;":"&amp;TEXT(MOD($Y151,60),"00"))</f>
        <v>-</v>
      </c>
    </row>
    <row r="152" customFormat="false" ht="15" hidden="false" customHeight="true" outlineLevel="0" collapsed="false">
      <c r="A152" s="9" t="s">
        <v>2231</v>
      </c>
      <c r="B152" s="9" t="s">
        <v>953</v>
      </c>
      <c r="C152" s="9" t="s">
        <v>954</v>
      </c>
      <c r="D152" s="9" t="s">
        <v>1151</v>
      </c>
      <c r="E152" s="9" t="s">
        <v>2058</v>
      </c>
      <c r="F152" s="9" t="s">
        <v>466</v>
      </c>
      <c r="G152" s="9" t="s">
        <v>466</v>
      </c>
      <c r="H152" s="9" t="n">
        <v>10</v>
      </c>
      <c r="I152" s="9" t="n">
        <v>600</v>
      </c>
      <c r="J152" s="9" t="s">
        <v>2059</v>
      </c>
      <c r="K152" s="9" t="s">
        <v>1841</v>
      </c>
      <c r="L152" s="9" t="s">
        <v>1844</v>
      </c>
      <c r="M152" s="9" t="n">
        <v>611</v>
      </c>
      <c r="N152" s="9" t="n">
        <v>45</v>
      </c>
      <c r="O152" s="9" t="n">
        <v>0</v>
      </c>
      <c r="P152" s="9" t="n">
        <v>0</v>
      </c>
      <c r="Q152" s="9" t="s">
        <v>355</v>
      </c>
      <c r="R152" s="9"/>
      <c r="S152" s="9"/>
      <c r="T152" s="9" t="s">
        <v>226</v>
      </c>
      <c r="U152" s="9" t="s">
        <v>226</v>
      </c>
      <c r="V152" s="9"/>
      <c r="W152" s="9"/>
      <c r="X152" s="9" t="n">
        <f aca="false">$M152-$O152+$P152</f>
        <v>611</v>
      </c>
      <c r="Y152" s="9" t="n">
        <f aca="false">IF($M152=0,0,IF($J152="Working",IF($Q152="All",MAX(0,$M152-$I152),0),IF($Q152="None",0,$M152)))</f>
        <v>11</v>
      </c>
      <c r="Z152" s="23" t="str">
        <f aca="false">IF($J152&lt;&gt;"Working",IF($M152&gt;0,$J152&amp;" — worked",$J152),IF($U152="Y","Present",IF($X152&lt;INDEX(08_Attendance_Rules!$C$2:$C$5,MATCH($H152,08_Attendance_Rules!$A$2:$A$5,0)),"Absent",IF($X152&lt;INDEX(08_Attendance_Rules!$B$2:$B$5,MATCH($H152,08_Attendance_Rules!$A$2:$A$5,0)),"Half Day",IF($T152="Y","Half Day","Present")))))</f>
        <v>Present</v>
      </c>
      <c r="AA152" s="9" t="str">
        <f aca="false">IF($X152=0,"-",INT($X152/60)&amp;":"&amp;TEXT(MOD($X152,60),"00"))</f>
        <v>10:11</v>
      </c>
      <c r="AB152" s="9" t="str">
        <f aca="false">IF($Y152=0,"-",INT($Y152/60)&amp;":"&amp;TEXT(MOD($Y152,60),"00"))</f>
        <v>0:11</v>
      </c>
    </row>
    <row r="153" customFormat="false" ht="15" hidden="false" customHeight="true" outlineLevel="0" collapsed="false">
      <c r="A153" s="11" t="s">
        <v>2232</v>
      </c>
      <c r="B153" s="11" t="s">
        <v>953</v>
      </c>
      <c r="C153" s="11" t="s">
        <v>954</v>
      </c>
      <c r="D153" s="11" t="s">
        <v>593</v>
      </c>
      <c r="E153" s="11" t="s">
        <v>2061</v>
      </c>
      <c r="F153" s="11" t="s">
        <v>466</v>
      </c>
      <c r="G153" s="11" t="s">
        <v>466</v>
      </c>
      <c r="H153" s="11" t="n">
        <v>10</v>
      </c>
      <c r="I153" s="11" t="n">
        <v>600</v>
      </c>
      <c r="J153" s="11" t="s">
        <v>2059</v>
      </c>
      <c r="K153" s="11" t="s">
        <v>1846</v>
      </c>
      <c r="L153" s="11" t="s">
        <v>1849</v>
      </c>
      <c r="M153" s="11" t="n">
        <v>613</v>
      </c>
      <c r="N153" s="11" t="n">
        <v>45</v>
      </c>
      <c r="O153" s="11" t="n">
        <v>0</v>
      </c>
      <c r="P153" s="11" t="n">
        <v>0</v>
      </c>
      <c r="Q153" s="11" t="s">
        <v>355</v>
      </c>
      <c r="R153" s="11"/>
      <c r="S153" s="11"/>
      <c r="T153" s="11" t="s">
        <v>226</v>
      </c>
      <c r="U153" s="11" t="s">
        <v>226</v>
      </c>
      <c r="V153" s="11"/>
      <c r="W153" s="11"/>
      <c r="X153" s="11" t="n">
        <f aca="false">$M153-$O153+$P153</f>
        <v>613</v>
      </c>
      <c r="Y153" s="11" t="n">
        <f aca="false">IF($M153=0,0,IF($J153="Working",IF($Q153="All",MAX(0,$M153-$I153),0),IF($Q153="None",0,$M153)))</f>
        <v>13</v>
      </c>
      <c r="Z153" s="24" t="str">
        <f aca="false">IF($J153&lt;&gt;"Working",IF($M153&gt;0,$J153&amp;" — worked",$J153),IF($U153="Y","Present",IF($X153&lt;INDEX(08_Attendance_Rules!$C$2:$C$5,MATCH($H153,08_Attendance_Rules!$A$2:$A$5,0)),"Absent",IF($X153&lt;INDEX(08_Attendance_Rules!$B$2:$B$5,MATCH($H153,08_Attendance_Rules!$A$2:$A$5,0)),"Half Day",IF($T153="Y","Half Day","Present")))))</f>
        <v>Present</v>
      </c>
      <c r="AA153" s="11" t="str">
        <f aca="false">IF($X153=0,"-",INT($X153/60)&amp;":"&amp;TEXT(MOD($X153,60),"00"))</f>
        <v>10:13</v>
      </c>
      <c r="AB153" s="11" t="str">
        <f aca="false">IF($Y153=0,"-",INT($Y153/60)&amp;":"&amp;TEXT(MOD($Y153,60),"00"))</f>
        <v>0:13</v>
      </c>
    </row>
    <row r="154" customFormat="false" ht="15" hidden="false" customHeight="true" outlineLevel="0" collapsed="false">
      <c r="A154" s="9" t="s">
        <v>2233</v>
      </c>
      <c r="B154" s="9" t="s">
        <v>953</v>
      </c>
      <c r="C154" s="9" t="s">
        <v>954</v>
      </c>
      <c r="D154" s="9" t="s">
        <v>1505</v>
      </c>
      <c r="E154" s="9" t="s">
        <v>2063</v>
      </c>
      <c r="F154" s="9" t="s">
        <v>466</v>
      </c>
      <c r="G154" s="9" t="s">
        <v>466</v>
      </c>
      <c r="H154" s="9" t="n">
        <v>10</v>
      </c>
      <c r="I154" s="9" t="n">
        <v>600</v>
      </c>
      <c r="J154" s="9" t="s">
        <v>2059</v>
      </c>
      <c r="K154" s="9" t="s">
        <v>1851</v>
      </c>
      <c r="L154" s="9" t="s">
        <v>1854</v>
      </c>
      <c r="M154" s="9" t="n">
        <v>610</v>
      </c>
      <c r="N154" s="9" t="n">
        <v>45</v>
      </c>
      <c r="O154" s="9" t="n">
        <v>0</v>
      </c>
      <c r="P154" s="9" t="n">
        <v>0</v>
      </c>
      <c r="Q154" s="9" t="s">
        <v>355</v>
      </c>
      <c r="R154" s="9"/>
      <c r="S154" s="9"/>
      <c r="T154" s="9" t="s">
        <v>226</v>
      </c>
      <c r="U154" s="9" t="s">
        <v>226</v>
      </c>
      <c r="V154" s="9"/>
      <c r="W154" s="9"/>
      <c r="X154" s="9" t="n">
        <f aca="false">$M154-$O154+$P154</f>
        <v>610</v>
      </c>
      <c r="Y154" s="9" t="n">
        <f aca="false">IF($M154=0,0,IF($J154="Working",IF($Q154="All",MAX(0,$M154-$I154),0),IF($Q154="None",0,$M154)))</f>
        <v>10</v>
      </c>
      <c r="Z154" s="23" t="str">
        <f aca="false">IF($J154&lt;&gt;"Working",IF($M154&gt;0,$J154&amp;" — worked",$J154),IF($U154="Y","Present",IF($X154&lt;INDEX(08_Attendance_Rules!$C$2:$C$5,MATCH($H154,08_Attendance_Rules!$A$2:$A$5,0)),"Absent",IF($X154&lt;INDEX(08_Attendance_Rules!$B$2:$B$5,MATCH($H154,08_Attendance_Rules!$A$2:$A$5,0)),"Half Day",IF($T154="Y","Half Day","Present")))))</f>
        <v>Present</v>
      </c>
      <c r="AA154" s="9" t="str">
        <f aca="false">IF($X154=0,"-",INT($X154/60)&amp;":"&amp;TEXT(MOD($X154,60),"00"))</f>
        <v>10:10</v>
      </c>
      <c r="AB154" s="9" t="str">
        <f aca="false">IF($Y154=0,"-",INT($Y154/60)&amp;":"&amp;TEXT(MOD($Y154,60),"00"))</f>
        <v>0:10</v>
      </c>
    </row>
    <row r="155" customFormat="false" ht="15" hidden="false" customHeight="true" outlineLevel="0" collapsed="false">
      <c r="A155" s="11" t="s">
        <v>2234</v>
      </c>
      <c r="B155" s="11" t="s">
        <v>953</v>
      </c>
      <c r="C155" s="11" t="s">
        <v>954</v>
      </c>
      <c r="D155" s="11" t="s">
        <v>1511</v>
      </c>
      <c r="E155" s="11" t="s">
        <v>2065</v>
      </c>
      <c r="F155" s="11" t="s">
        <v>466</v>
      </c>
      <c r="G155" s="11" t="s">
        <v>466</v>
      </c>
      <c r="H155" s="11" t="n">
        <v>10</v>
      </c>
      <c r="I155" s="11" t="n">
        <v>600</v>
      </c>
      <c r="J155" s="11" t="s">
        <v>2059</v>
      </c>
      <c r="K155" s="11" t="s">
        <v>469</v>
      </c>
      <c r="L155" s="11" t="s">
        <v>1857</v>
      </c>
      <c r="M155" s="11" t="n">
        <v>614</v>
      </c>
      <c r="N155" s="11" t="n">
        <v>45</v>
      </c>
      <c r="O155" s="11" t="n">
        <v>0</v>
      </c>
      <c r="P155" s="11" t="n">
        <v>0</v>
      </c>
      <c r="Q155" s="11" t="s">
        <v>355</v>
      </c>
      <c r="R155" s="11"/>
      <c r="S155" s="11"/>
      <c r="T155" s="11" t="s">
        <v>226</v>
      </c>
      <c r="U155" s="11" t="s">
        <v>226</v>
      </c>
      <c r="V155" s="11"/>
      <c r="W155" s="11"/>
      <c r="X155" s="11" t="n">
        <f aca="false">$M155-$O155+$P155</f>
        <v>614</v>
      </c>
      <c r="Y155" s="11" t="n">
        <f aca="false">IF($M155=0,0,IF($J155="Working",IF($Q155="All",MAX(0,$M155-$I155),0),IF($Q155="None",0,$M155)))</f>
        <v>14</v>
      </c>
      <c r="Z155" s="24" t="str">
        <f aca="false">IF($J155&lt;&gt;"Working",IF($M155&gt;0,$J155&amp;" — worked",$J155),IF($U155="Y","Present",IF($X155&lt;INDEX(08_Attendance_Rules!$C$2:$C$5,MATCH($H155,08_Attendance_Rules!$A$2:$A$5,0)),"Absent",IF($X155&lt;INDEX(08_Attendance_Rules!$B$2:$B$5,MATCH($H155,08_Attendance_Rules!$A$2:$A$5,0)),"Half Day",IF($T155="Y","Half Day","Present")))))</f>
        <v>Present</v>
      </c>
      <c r="AA155" s="11" t="str">
        <f aca="false">IF($X155=0,"-",INT($X155/60)&amp;":"&amp;TEXT(MOD($X155,60),"00"))</f>
        <v>10:14</v>
      </c>
      <c r="AB155" s="11" t="str">
        <f aca="false">IF($Y155=0,"-",INT($Y155/60)&amp;":"&amp;TEXT(MOD($Y155,60),"00"))</f>
        <v>0:14</v>
      </c>
    </row>
    <row r="156" customFormat="false" ht="15" hidden="false" customHeight="true" outlineLevel="0" collapsed="false">
      <c r="A156" s="9" t="s">
        <v>2235</v>
      </c>
      <c r="B156" s="9" t="s">
        <v>953</v>
      </c>
      <c r="C156" s="9" t="s">
        <v>954</v>
      </c>
      <c r="D156" s="9" t="s">
        <v>1515</v>
      </c>
      <c r="E156" s="9" t="s">
        <v>2067</v>
      </c>
      <c r="F156" s="9" t="s">
        <v>466</v>
      </c>
      <c r="G156" s="9" t="s">
        <v>466</v>
      </c>
      <c r="H156" s="9" t="n">
        <v>10</v>
      </c>
      <c r="I156" s="9" t="n">
        <v>600</v>
      </c>
      <c r="J156" s="9" t="s">
        <v>2059</v>
      </c>
      <c r="K156" s="9" t="s">
        <v>1859</v>
      </c>
      <c r="L156" s="9" t="s">
        <v>1861</v>
      </c>
      <c r="M156" s="9" t="n">
        <v>612</v>
      </c>
      <c r="N156" s="9" t="n">
        <v>45</v>
      </c>
      <c r="O156" s="9" t="n">
        <v>0</v>
      </c>
      <c r="P156" s="9" t="n">
        <v>0</v>
      </c>
      <c r="Q156" s="9" t="s">
        <v>355</v>
      </c>
      <c r="R156" s="9"/>
      <c r="S156" s="9"/>
      <c r="T156" s="9" t="s">
        <v>226</v>
      </c>
      <c r="U156" s="9" t="s">
        <v>226</v>
      </c>
      <c r="V156" s="9"/>
      <c r="W156" s="9"/>
      <c r="X156" s="9" t="n">
        <f aca="false">$M156-$O156+$P156</f>
        <v>612</v>
      </c>
      <c r="Y156" s="9" t="n">
        <f aca="false">IF($M156=0,0,IF($J156="Working",IF($Q156="All",MAX(0,$M156-$I156),0),IF($Q156="None",0,$M156)))</f>
        <v>12</v>
      </c>
      <c r="Z156" s="23" t="str">
        <f aca="false">IF($J156&lt;&gt;"Working",IF($M156&gt;0,$J156&amp;" — worked",$J156),IF($U156="Y","Present",IF($X156&lt;INDEX(08_Attendance_Rules!$C$2:$C$5,MATCH($H156,08_Attendance_Rules!$A$2:$A$5,0)),"Absent",IF($X156&lt;INDEX(08_Attendance_Rules!$B$2:$B$5,MATCH($H156,08_Attendance_Rules!$A$2:$A$5,0)),"Half Day",IF($T156="Y","Half Day","Present")))))</f>
        <v>Present</v>
      </c>
      <c r="AA156" s="9" t="str">
        <f aca="false">IF($X156=0,"-",INT($X156/60)&amp;":"&amp;TEXT(MOD($X156,60),"00"))</f>
        <v>10:12</v>
      </c>
      <c r="AB156" s="9" t="str">
        <f aca="false">IF($Y156=0,"-",INT($Y156/60)&amp;":"&amp;TEXT(MOD($Y156,60),"00"))</f>
        <v>0:12</v>
      </c>
    </row>
    <row r="157" customFormat="false" ht="15" hidden="false" customHeight="true" outlineLevel="0" collapsed="false">
      <c r="A157" s="11" t="s">
        <v>2236</v>
      </c>
      <c r="B157" s="11" t="s">
        <v>953</v>
      </c>
      <c r="C157" s="11" t="s">
        <v>954</v>
      </c>
      <c r="D157" s="11" t="s">
        <v>1359</v>
      </c>
      <c r="E157" s="11" t="s">
        <v>2069</v>
      </c>
      <c r="F157" s="11" t="s">
        <v>466</v>
      </c>
      <c r="G157" s="11" t="s">
        <v>466</v>
      </c>
      <c r="H157" s="11" t="n">
        <v>10</v>
      </c>
      <c r="I157" s="11" t="n">
        <v>600</v>
      </c>
      <c r="J157" s="11" t="s">
        <v>2070</v>
      </c>
      <c r="K157" s="11"/>
      <c r="L157" s="11"/>
      <c r="M157" s="11" t="n">
        <v>0</v>
      </c>
      <c r="N157" s="11" t="n">
        <v>0</v>
      </c>
      <c r="O157" s="11" t="n">
        <v>0</v>
      </c>
      <c r="P157" s="11" t="n">
        <v>0</v>
      </c>
      <c r="Q157" s="11" t="s">
        <v>355</v>
      </c>
      <c r="R157" s="11"/>
      <c r="S157" s="11"/>
      <c r="T157" s="11" t="s">
        <v>226</v>
      </c>
      <c r="U157" s="11" t="s">
        <v>226</v>
      </c>
      <c r="V157" s="11"/>
      <c r="W157" s="11"/>
      <c r="X157" s="11" t="n">
        <f aca="false">$M157-$O157+$P157</f>
        <v>0</v>
      </c>
      <c r="Y157" s="11" t="n">
        <f aca="false">IF($M157=0,0,IF($J157="Working",IF($Q157="All",MAX(0,$M157-$I157),0),IF($Q157="None",0,$M157)))</f>
        <v>0</v>
      </c>
      <c r="Z157" s="24" t="str">
        <f aca="false">IF($J157&lt;&gt;"Working",IF($M157&gt;0,$J157&amp;" — worked",$J157),IF($U157="Y","Present",IF($X157&lt;INDEX(08_Attendance_Rules!$C$2:$C$5,MATCH($H157,08_Attendance_Rules!$A$2:$A$5,0)),"Absent",IF($X157&lt;INDEX(08_Attendance_Rules!$B$2:$B$5,MATCH($H157,08_Attendance_Rules!$A$2:$A$5,0)),"Half Day",IF($T157="Y","Half Day","Present")))))</f>
        <v>Weekly Off</v>
      </c>
      <c r="AA157" s="11" t="str">
        <f aca="false">IF($X157=0,"-",INT($X157/60)&amp;":"&amp;TEXT(MOD($X157,60),"00"))</f>
        <v>-</v>
      </c>
      <c r="AB157" s="11" t="str">
        <f aca="false">IF($Y157=0,"-",INT($Y157/60)&amp;":"&amp;TEXT(MOD($Y157,60),"00"))</f>
        <v>-</v>
      </c>
    </row>
    <row r="158" customFormat="false" ht="15" hidden="false" customHeight="true" outlineLevel="0" collapsed="false">
      <c r="A158" s="9" t="s">
        <v>2237</v>
      </c>
      <c r="B158" s="9" t="s">
        <v>953</v>
      </c>
      <c r="C158" s="9" t="s">
        <v>954</v>
      </c>
      <c r="D158" s="9" t="s">
        <v>1332</v>
      </c>
      <c r="E158" s="9" t="s">
        <v>2072</v>
      </c>
      <c r="F158" s="9" t="s">
        <v>466</v>
      </c>
      <c r="G158" s="9" t="s">
        <v>466</v>
      </c>
      <c r="H158" s="9" t="n">
        <v>10</v>
      </c>
      <c r="I158" s="9" t="n">
        <v>600</v>
      </c>
      <c r="J158" s="9" t="s">
        <v>2059</v>
      </c>
      <c r="K158" s="9" t="s">
        <v>1863</v>
      </c>
      <c r="L158" s="9" t="s">
        <v>1865</v>
      </c>
      <c r="M158" s="9" t="n">
        <v>495</v>
      </c>
      <c r="N158" s="9" t="n">
        <v>45</v>
      </c>
      <c r="O158" s="9" t="n">
        <v>0</v>
      </c>
      <c r="P158" s="9" t="n">
        <v>0</v>
      </c>
      <c r="Q158" s="9" t="s">
        <v>355</v>
      </c>
      <c r="R158" s="9" t="n">
        <v>5</v>
      </c>
      <c r="S158" s="9"/>
      <c r="T158" s="9" t="s">
        <v>226</v>
      </c>
      <c r="U158" s="9" t="s">
        <v>226</v>
      </c>
      <c r="V158" s="9" t="s">
        <v>2238</v>
      </c>
      <c r="W158" s="9"/>
      <c r="X158" s="9" t="n">
        <f aca="false">$M158-$O158+$P158</f>
        <v>495</v>
      </c>
      <c r="Y158" s="9" t="n">
        <f aca="false">IF($M158=0,0,IF($J158="Working",IF($Q158="All",MAX(0,$M158-$I158),0),IF($Q158="None",0,$M158)))</f>
        <v>0</v>
      </c>
      <c r="Z158" s="23" t="str">
        <f aca="false">IF($J158&lt;&gt;"Working",IF($M158&gt;0,$J158&amp;" — worked",$J158),IF($U158="Y","Present",IF($X158&lt;INDEX(08_Attendance_Rules!$C$2:$C$5,MATCH($H158,08_Attendance_Rules!$A$2:$A$5,0)),"Absent",IF($X158&lt;INDEX(08_Attendance_Rules!$B$2:$B$5,MATCH($H158,08_Attendance_Rules!$A$2:$A$5,0)),"Half Day",IF($T158="Y","Half Day","Present")))))</f>
        <v>Half Day</v>
      </c>
      <c r="AA158" s="9" t="str">
        <f aca="false">IF($X158=0,"-",INT($X158/60)&amp;":"&amp;TEXT(MOD($X158,60),"00"))</f>
        <v>8:15</v>
      </c>
      <c r="AB158" s="9" t="str">
        <f aca="false">IF($Y158=0,"-",INT($Y158/60)&amp;":"&amp;TEXT(MOD($Y158,60),"00"))</f>
        <v>-</v>
      </c>
    </row>
    <row r="159" customFormat="false" ht="15" hidden="false" customHeight="true" outlineLevel="0" collapsed="false">
      <c r="A159" s="11" t="s">
        <v>2239</v>
      </c>
      <c r="B159" s="11" t="s">
        <v>953</v>
      </c>
      <c r="C159" s="11" t="s">
        <v>954</v>
      </c>
      <c r="D159" s="11" t="s">
        <v>1524</v>
      </c>
      <c r="E159" s="11" t="s">
        <v>2058</v>
      </c>
      <c r="F159" s="11" t="s">
        <v>466</v>
      </c>
      <c r="G159" s="11" t="s">
        <v>466</v>
      </c>
      <c r="H159" s="11" t="n">
        <v>10</v>
      </c>
      <c r="I159" s="11" t="n">
        <v>600</v>
      </c>
      <c r="J159" s="11" t="s">
        <v>2059</v>
      </c>
      <c r="K159" s="11" t="s">
        <v>1867</v>
      </c>
      <c r="L159" s="11" t="s">
        <v>1869</v>
      </c>
      <c r="M159" s="11" t="n">
        <v>606</v>
      </c>
      <c r="N159" s="11" t="n">
        <v>45</v>
      </c>
      <c r="O159" s="11" t="n">
        <v>0</v>
      </c>
      <c r="P159" s="11" t="n">
        <v>0</v>
      </c>
      <c r="Q159" s="11" t="s">
        <v>355</v>
      </c>
      <c r="R159" s="11"/>
      <c r="S159" s="11"/>
      <c r="T159" s="11" t="s">
        <v>226</v>
      </c>
      <c r="U159" s="11" t="s">
        <v>226</v>
      </c>
      <c r="V159" s="11"/>
      <c r="W159" s="11"/>
      <c r="X159" s="11" t="n">
        <f aca="false">$M159-$O159+$P159</f>
        <v>606</v>
      </c>
      <c r="Y159" s="11" t="n">
        <f aca="false">IF($M159=0,0,IF($J159="Working",IF($Q159="All",MAX(0,$M159-$I159),0),IF($Q159="None",0,$M159)))</f>
        <v>6</v>
      </c>
      <c r="Z159" s="24" t="str">
        <f aca="false">IF($J159&lt;&gt;"Working",IF($M159&gt;0,$J159&amp;" — worked",$J159),IF($U159="Y","Present",IF($X159&lt;INDEX(08_Attendance_Rules!$C$2:$C$5,MATCH($H159,08_Attendance_Rules!$A$2:$A$5,0)),"Absent",IF($X159&lt;INDEX(08_Attendance_Rules!$B$2:$B$5,MATCH($H159,08_Attendance_Rules!$A$2:$A$5,0)),"Half Day",IF($T159="Y","Half Day","Present")))))</f>
        <v>Present</v>
      </c>
      <c r="AA159" s="11" t="str">
        <f aca="false">IF($X159=0,"-",INT($X159/60)&amp;":"&amp;TEXT(MOD($X159,60),"00"))</f>
        <v>10:06</v>
      </c>
      <c r="AB159" s="11" t="str">
        <f aca="false">IF($Y159=0,"-",INT($Y159/60)&amp;":"&amp;TEXT(MOD($Y159,60),"00"))</f>
        <v>0:06</v>
      </c>
    </row>
    <row r="160" customFormat="false" ht="15" hidden="false" customHeight="true" outlineLevel="0" collapsed="false">
      <c r="A160" s="9" t="s">
        <v>2240</v>
      </c>
      <c r="B160" s="9" t="s">
        <v>953</v>
      </c>
      <c r="C160" s="9" t="s">
        <v>954</v>
      </c>
      <c r="D160" s="9" t="s">
        <v>1377</v>
      </c>
      <c r="E160" s="9" t="s">
        <v>2061</v>
      </c>
      <c r="F160" s="9" t="s">
        <v>466</v>
      </c>
      <c r="G160" s="9" t="s">
        <v>466</v>
      </c>
      <c r="H160" s="9" t="n">
        <v>10</v>
      </c>
      <c r="I160" s="9" t="n">
        <v>600</v>
      </c>
      <c r="J160" s="9" t="s">
        <v>2059</v>
      </c>
      <c r="K160" s="9" t="s">
        <v>1871</v>
      </c>
      <c r="L160" s="9" t="s">
        <v>1873</v>
      </c>
      <c r="M160" s="9" t="n">
        <v>612</v>
      </c>
      <c r="N160" s="9" t="n">
        <v>45</v>
      </c>
      <c r="O160" s="9" t="n">
        <v>0</v>
      </c>
      <c r="P160" s="9" t="n">
        <v>0</v>
      </c>
      <c r="Q160" s="9" t="s">
        <v>355</v>
      </c>
      <c r="R160" s="9"/>
      <c r="S160" s="9"/>
      <c r="T160" s="9" t="s">
        <v>226</v>
      </c>
      <c r="U160" s="9" t="s">
        <v>226</v>
      </c>
      <c r="V160" s="9"/>
      <c r="W160" s="9"/>
      <c r="X160" s="9" t="n">
        <f aca="false">$M160-$O160+$P160</f>
        <v>612</v>
      </c>
      <c r="Y160" s="9" t="n">
        <f aca="false">IF($M160=0,0,IF($J160="Working",IF($Q160="All",MAX(0,$M160-$I160),0),IF($Q160="None",0,$M160)))</f>
        <v>12</v>
      </c>
      <c r="Z160" s="23" t="str">
        <f aca="false">IF($J160&lt;&gt;"Working",IF($M160&gt;0,$J160&amp;" — worked",$J160),IF($U160="Y","Present",IF($X160&lt;INDEX(08_Attendance_Rules!$C$2:$C$5,MATCH($H160,08_Attendance_Rules!$A$2:$A$5,0)),"Absent",IF($X160&lt;INDEX(08_Attendance_Rules!$B$2:$B$5,MATCH($H160,08_Attendance_Rules!$A$2:$A$5,0)),"Half Day",IF($T160="Y","Half Day","Present")))))</f>
        <v>Present</v>
      </c>
      <c r="AA160" s="9" t="str">
        <f aca="false">IF($X160=0,"-",INT($X160/60)&amp;":"&amp;TEXT(MOD($X160,60),"00"))</f>
        <v>10:12</v>
      </c>
      <c r="AB160" s="9" t="str">
        <f aca="false">IF($Y160=0,"-",INT($Y160/60)&amp;":"&amp;TEXT(MOD($Y160,60),"00"))</f>
        <v>0:12</v>
      </c>
    </row>
    <row r="161" customFormat="false" ht="15" hidden="false" customHeight="true" outlineLevel="0" collapsed="false">
      <c r="A161" s="11" t="s">
        <v>2241</v>
      </c>
      <c r="B161" s="11" t="s">
        <v>953</v>
      </c>
      <c r="C161" s="11" t="s">
        <v>954</v>
      </c>
      <c r="D161" s="11" t="s">
        <v>1355</v>
      </c>
      <c r="E161" s="11" t="s">
        <v>2063</v>
      </c>
      <c r="F161" s="11" t="s">
        <v>466</v>
      </c>
      <c r="G161" s="11" t="s">
        <v>466</v>
      </c>
      <c r="H161" s="11" t="n">
        <v>10</v>
      </c>
      <c r="I161" s="11" t="n">
        <v>600</v>
      </c>
      <c r="J161" s="11" t="s">
        <v>2059</v>
      </c>
      <c r="K161" s="11" t="s">
        <v>1875</v>
      </c>
      <c r="L161" s="11" t="s">
        <v>1877</v>
      </c>
      <c r="M161" s="11" t="n">
        <v>611</v>
      </c>
      <c r="N161" s="11" t="n">
        <v>45</v>
      </c>
      <c r="O161" s="11" t="n">
        <v>0</v>
      </c>
      <c r="P161" s="11" t="n">
        <v>0</v>
      </c>
      <c r="Q161" s="11" t="s">
        <v>355</v>
      </c>
      <c r="R161" s="11" t="n">
        <v>1</v>
      </c>
      <c r="S161" s="11"/>
      <c r="T161" s="11" t="s">
        <v>226</v>
      </c>
      <c r="U161" s="11" t="s">
        <v>226</v>
      </c>
      <c r="V161" s="11"/>
      <c r="W161" s="11"/>
      <c r="X161" s="11" t="n">
        <f aca="false">$M161-$O161+$P161</f>
        <v>611</v>
      </c>
      <c r="Y161" s="11" t="n">
        <f aca="false">IF($M161=0,0,IF($J161="Working",IF($Q161="All",MAX(0,$M161-$I161),0),IF($Q161="None",0,$M161)))</f>
        <v>11</v>
      </c>
      <c r="Z161" s="24" t="str">
        <f aca="false">IF($J161&lt;&gt;"Working",IF($M161&gt;0,$J161&amp;" — worked",$J161),IF($U161="Y","Present",IF($X161&lt;INDEX(08_Attendance_Rules!$C$2:$C$5,MATCH($H161,08_Attendance_Rules!$A$2:$A$5,0)),"Absent",IF($X161&lt;INDEX(08_Attendance_Rules!$B$2:$B$5,MATCH($H161,08_Attendance_Rules!$A$2:$A$5,0)),"Half Day",IF($T161="Y","Half Day","Present")))))</f>
        <v>Present</v>
      </c>
      <c r="AA161" s="11" t="str">
        <f aca="false">IF($X161=0,"-",INT($X161/60)&amp;":"&amp;TEXT(MOD($X161,60),"00"))</f>
        <v>10:11</v>
      </c>
      <c r="AB161" s="11" t="str">
        <f aca="false">IF($Y161=0,"-",INT($Y161/60)&amp;":"&amp;TEXT(MOD($Y161,60),"00"))</f>
        <v>0:11</v>
      </c>
    </row>
    <row r="162" customFormat="false" ht="15" hidden="false" customHeight="true" outlineLevel="0" collapsed="false">
      <c r="A162" s="9" t="s">
        <v>2242</v>
      </c>
      <c r="B162" s="9" t="s">
        <v>953</v>
      </c>
      <c r="C162" s="9" t="s">
        <v>954</v>
      </c>
      <c r="D162" s="9" t="s">
        <v>1459</v>
      </c>
      <c r="E162" s="9" t="s">
        <v>2065</v>
      </c>
      <c r="F162" s="9" t="s">
        <v>466</v>
      </c>
      <c r="G162" s="9" t="s">
        <v>466</v>
      </c>
      <c r="H162" s="9" t="n">
        <v>10</v>
      </c>
      <c r="I162" s="9" t="n">
        <v>600</v>
      </c>
      <c r="J162" s="9" t="s">
        <v>2059</v>
      </c>
      <c r="K162" s="9" t="s">
        <v>1879</v>
      </c>
      <c r="L162" s="9" t="s">
        <v>1881</v>
      </c>
      <c r="M162" s="9" t="n">
        <v>612</v>
      </c>
      <c r="N162" s="9" t="n">
        <v>45</v>
      </c>
      <c r="O162" s="9" t="n">
        <v>0</v>
      </c>
      <c r="P162" s="9" t="n">
        <v>0</v>
      </c>
      <c r="Q162" s="9" t="s">
        <v>355</v>
      </c>
      <c r="R162" s="9"/>
      <c r="S162" s="9"/>
      <c r="T162" s="9" t="s">
        <v>226</v>
      </c>
      <c r="U162" s="9" t="s">
        <v>226</v>
      </c>
      <c r="V162" s="9"/>
      <c r="W162" s="9"/>
      <c r="X162" s="9" t="n">
        <f aca="false">$M162-$O162+$P162</f>
        <v>612</v>
      </c>
      <c r="Y162" s="9" t="n">
        <f aca="false">IF($M162=0,0,IF($J162="Working",IF($Q162="All",MAX(0,$M162-$I162),0),IF($Q162="None",0,$M162)))</f>
        <v>12</v>
      </c>
      <c r="Z162" s="23" t="str">
        <f aca="false">IF($J162&lt;&gt;"Working",IF($M162&gt;0,$J162&amp;" — worked",$J162),IF($U162="Y","Present",IF($X162&lt;INDEX(08_Attendance_Rules!$C$2:$C$5,MATCH($H162,08_Attendance_Rules!$A$2:$A$5,0)),"Absent",IF($X162&lt;INDEX(08_Attendance_Rules!$B$2:$B$5,MATCH($H162,08_Attendance_Rules!$A$2:$A$5,0)),"Half Day",IF($T162="Y","Half Day","Present")))))</f>
        <v>Present</v>
      </c>
      <c r="AA162" s="9" t="str">
        <f aca="false">IF($X162=0,"-",INT($X162/60)&amp;":"&amp;TEXT(MOD($X162,60),"00"))</f>
        <v>10:12</v>
      </c>
      <c r="AB162" s="9" t="str">
        <f aca="false">IF($Y162=0,"-",INT($Y162/60)&amp;":"&amp;TEXT(MOD($Y162,60),"00"))</f>
        <v>0:12</v>
      </c>
    </row>
    <row r="163" customFormat="false" ht="15" hidden="false" customHeight="true" outlineLevel="0" collapsed="false">
      <c r="A163" s="11" t="s">
        <v>2243</v>
      </c>
      <c r="B163" s="11" t="s">
        <v>953</v>
      </c>
      <c r="C163" s="11" t="s">
        <v>954</v>
      </c>
      <c r="D163" s="11" t="s">
        <v>1545</v>
      </c>
      <c r="E163" s="11" t="s">
        <v>2067</v>
      </c>
      <c r="F163" s="11" t="s">
        <v>466</v>
      </c>
      <c r="G163" s="11" t="s">
        <v>466</v>
      </c>
      <c r="H163" s="11" t="n">
        <v>10</v>
      </c>
      <c r="I163" s="11" t="n">
        <v>600</v>
      </c>
      <c r="J163" s="11" t="s">
        <v>2059</v>
      </c>
      <c r="K163" s="11" t="s">
        <v>1883</v>
      </c>
      <c r="L163" s="11" t="s">
        <v>1885</v>
      </c>
      <c r="M163" s="11" t="n">
        <v>617</v>
      </c>
      <c r="N163" s="11" t="n">
        <v>45</v>
      </c>
      <c r="O163" s="11" t="n">
        <v>0</v>
      </c>
      <c r="P163" s="11" t="n">
        <v>0</v>
      </c>
      <c r="Q163" s="11" t="s">
        <v>355</v>
      </c>
      <c r="R163" s="11" t="n">
        <v>2</v>
      </c>
      <c r="S163" s="11"/>
      <c r="T163" s="11" t="s">
        <v>226</v>
      </c>
      <c r="U163" s="11" t="s">
        <v>226</v>
      </c>
      <c r="V163" s="11"/>
      <c r="W163" s="11"/>
      <c r="X163" s="11" t="n">
        <f aca="false">$M163-$O163+$P163</f>
        <v>617</v>
      </c>
      <c r="Y163" s="11" t="n">
        <f aca="false">IF($M163=0,0,IF($J163="Working",IF($Q163="All",MAX(0,$M163-$I163),0),IF($Q163="None",0,$M163)))</f>
        <v>17</v>
      </c>
      <c r="Z163" s="24" t="str">
        <f aca="false">IF($J163&lt;&gt;"Working",IF($M163&gt;0,$J163&amp;" — worked",$J163),IF($U163="Y","Present",IF($X163&lt;INDEX(08_Attendance_Rules!$C$2:$C$5,MATCH($H163,08_Attendance_Rules!$A$2:$A$5,0)),"Absent",IF($X163&lt;INDEX(08_Attendance_Rules!$B$2:$B$5,MATCH($H163,08_Attendance_Rules!$A$2:$A$5,0)),"Half Day",IF($T163="Y","Half Day","Present")))))</f>
        <v>Present</v>
      </c>
      <c r="AA163" s="11" t="str">
        <f aca="false">IF($X163=0,"-",INT($X163/60)&amp;":"&amp;TEXT(MOD($X163,60),"00"))</f>
        <v>10:17</v>
      </c>
      <c r="AB163" s="11" t="str">
        <f aca="false">IF($Y163=0,"-",INT($Y163/60)&amp;":"&amp;TEXT(MOD($Y163,60),"00"))</f>
        <v>0:17</v>
      </c>
    </row>
    <row r="164" customFormat="false" ht="15" hidden="false" customHeight="true" outlineLevel="0" collapsed="false">
      <c r="A164" s="9" t="s">
        <v>2244</v>
      </c>
      <c r="B164" s="9" t="s">
        <v>953</v>
      </c>
      <c r="C164" s="9" t="s">
        <v>954</v>
      </c>
      <c r="D164" s="9" t="s">
        <v>1409</v>
      </c>
      <c r="E164" s="9" t="s">
        <v>2069</v>
      </c>
      <c r="F164" s="9" t="s">
        <v>466</v>
      </c>
      <c r="G164" s="9" t="s">
        <v>466</v>
      </c>
      <c r="H164" s="9" t="n">
        <v>10</v>
      </c>
      <c r="I164" s="9" t="n">
        <v>600</v>
      </c>
      <c r="J164" s="9" t="s">
        <v>2070</v>
      </c>
      <c r="K164" s="9"/>
      <c r="L164" s="9"/>
      <c r="M164" s="9" t="n">
        <v>0</v>
      </c>
      <c r="N164" s="9" t="n">
        <v>0</v>
      </c>
      <c r="O164" s="9" t="n">
        <v>0</v>
      </c>
      <c r="P164" s="9" t="n">
        <v>0</v>
      </c>
      <c r="Q164" s="9" t="s">
        <v>355</v>
      </c>
      <c r="R164" s="9"/>
      <c r="S164" s="9"/>
      <c r="T164" s="9" t="s">
        <v>226</v>
      </c>
      <c r="U164" s="9" t="s">
        <v>226</v>
      </c>
      <c r="V164" s="9"/>
      <c r="W164" s="9"/>
      <c r="X164" s="9" t="n">
        <f aca="false">$M164-$O164+$P164</f>
        <v>0</v>
      </c>
      <c r="Y164" s="9" t="n">
        <f aca="false">IF($M164=0,0,IF($J164="Working",IF($Q164="All",MAX(0,$M164-$I164),0),IF($Q164="None",0,$M164)))</f>
        <v>0</v>
      </c>
      <c r="Z164" s="23" t="str">
        <f aca="false">IF($J164&lt;&gt;"Working",IF($M164&gt;0,$J164&amp;" — worked",$J164),IF($U164="Y","Present",IF($X164&lt;INDEX(08_Attendance_Rules!$C$2:$C$5,MATCH($H164,08_Attendance_Rules!$A$2:$A$5,0)),"Absent",IF($X164&lt;INDEX(08_Attendance_Rules!$B$2:$B$5,MATCH($H164,08_Attendance_Rules!$A$2:$A$5,0)),"Half Day",IF($T164="Y","Half Day","Present")))))</f>
        <v>Weekly Off</v>
      </c>
      <c r="AA164" s="9" t="str">
        <f aca="false">IF($X164=0,"-",INT($X164/60)&amp;":"&amp;TEXT(MOD($X164,60),"00"))</f>
        <v>-</v>
      </c>
      <c r="AB164" s="9" t="str">
        <f aca="false">IF($Y164=0,"-",INT($Y164/60)&amp;":"&amp;TEXT(MOD($Y164,60),"00"))</f>
        <v>-</v>
      </c>
    </row>
    <row r="165" customFormat="false" ht="15" hidden="false" customHeight="true" outlineLevel="0" collapsed="false">
      <c r="A165" s="11" t="s">
        <v>2245</v>
      </c>
      <c r="B165" s="11" t="s">
        <v>953</v>
      </c>
      <c r="C165" s="11" t="s">
        <v>954</v>
      </c>
      <c r="D165" s="11" t="s">
        <v>1337</v>
      </c>
      <c r="E165" s="11" t="s">
        <v>2072</v>
      </c>
      <c r="F165" s="11" t="s">
        <v>466</v>
      </c>
      <c r="G165" s="11" t="s">
        <v>466</v>
      </c>
      <c r="H165" s="11" t="n">
        <v>10</v>
      </c>
      <c r="I165" s="11" t="n">
        <v>600</v>
      </c>
      <c r="J165" s="11" t="s">
        <v>2059</v>
      </c>
      <c r="K165" s="11" t="s">
        <v>469</v>
      </c>
      <c r="L165" s="11" t="s">
        <v>1888</v>
      </c>
      <c r="M165" s="11" t="n">
        <v>610</v>
      </c>
      <c r="N165" s="11" t="n">
        <v>45</v>
      </c>
      <c r="O165" s="11" t="n">
        <v>0</v>
      </c>
      <c r="P165" s="11" t="n">
        <v>0</v>
      </c>
      <c r="Q165" s="11" t="s">
        <v>355</v>
      </c>
      <c r="R165" s="11"/>
      <c r="S165" s="11"/>
      <c r="T165" s="11" t="s">
        <v>226</v>
      </c>
      <c r="U165" s="11" t="s">
        <v>226</v>
      </c>
      <c r="V165" s="11"/>
      <c r="W165" s="11"/>
      <c r="X165" s="11" t="n">
        <f aca="false">$M165-$O165+$P165</f>
        <v>610</v>
      </c>
      <c r="Y165" s="11" t="n">
        <f aca="false">IF($M165=0,0,IF($J165="Working",IF($Q165="All",MAX(0,$M165-$I165),0),IF($Q165="None",0,$M165)))</f>
        <v>10</v>
      </c>
      <c r="Z165" s="24" t="str">
        <f aca="false">IF($J165&lt;&gt;"Working",IF($M165&gt;0,$J165&amp;" — worked",$J165),IF($U165="Y","Present",IF($X165&lt;INDEX(08_Attendance_Rules!$C$2:$C$5,MATCH($H165,08_Attendance_Rules!$A$2:$A$5,0)),"Absent",IF($X165&lt;INDEX(08_Attendance_Rules!$B$2:$B$5,MATCH($H165,08_Attendance_Rules!$A$2:$A$5,0)),"Half Day",IF($T165="Y","Half Day","Present")))))</f>
        <v>Present</v>
      </c>
      <c r="AA165" s="11" t="str">
        <f aca="false">IF($X165=0,"-",INT($X165/60)&amp;":"&amp;TEXT(MOD($X165,60),"00"))</f>
        <v>10:10</v>
      </c>
      <c r="AB165" s="11" t="str">
        <f aca="false">IF($Y165=0,"-",INT($Y165/60)&amp;":"&amp;TEXT(MOD($Y165,60),"00"))</f>
        <v>0:10</v>
      </c>
    </row>
    <row r="166" customFormat="false" ht="15" hidden="false" customHeight="true" outlineLevel="0" collapsed="false">
      <c r="A166" s="9" t="s">
        <v>2246</v>
      </c>
      <c r="B166" s="9" t="s">
        <v>953</v>
      </c>
      <c r="C166" s="9" t="s">
        <v>954</v>
      </c>
      <c r="D166" s="9" t="s">
        <v>531</v>
      </c>
      <c r="E166" s="9" t="s">
        <v>2058</v>
      </c>
      <c r="F166" s="9" t="s">
        <v>466</v>
      </c>
      <c r="G166" s="9" t="s">
        <v>466</v>
      </c>
      <c r="H166" s="9" t="n">
        <v>10</v>
      </c>
      <c r="I166" s="9" t="n">
        <v>600</v>
      </c>
      <c r="J166" s="9" t="s">
        <v>2059</v>
      </c>
      <c r="K166" s="9" t="s">
        <v>1871</v>
      </c>
      <c r="L166" s="9" t="s">
        <v>1844</v>
      </c>
      <c r="M166" s="9" t="n">
        <v>609</v>
      </c>
      <c r="N166" s="9" t="n">
        <v>45</v>
      </c>
      <c r="O166" s="9" t="n">
        <v>0</v>
      </c>
      <c r="P166" s="9" t="n">
        <v>0</v>
      </c>
      <c r="Q166" s="9" t="s">
        <v>355</v>
      </c>
      <c r="R166" s="9"/>
      <c r="S166" s="9"/>
      <c r="T166" s="9" t="s">
        <v>226</v>
      </c>
      <c r="U166" s="9" t="s">
        <v>226</v>
      </c>
      <c r="V166" s="9"/>
      <c r="W166" s="9"/>
      <c r="X166" s="9" t="n">
        <f aca="false">$M166-$O166+$P166</f>
        <v>609</v>
      </c>
      <c r="Y166" s="9" t="n">
        <f aca="false">IF($M166=0,0,IF($J166="Working",IF($Q166="All",MAX(0,$M166-$I166),0),IF($Q166="None",0,$M166)))</f>
        <v>9</v>
      </c>
      <c r="Z166" s="23" t="str">
        <f aca="false">IF($J166&lt;&gt;"Working",IF($M166&gt;0,$J166&amp;" — worked",$J166),IF($U166="Y","Present",IF($X166&lt;INDEX(08_Attendance_Rules!$C$2:$C$5,MATCH($H166,08_Attendance_Rules!$A$2:$A$5,0)),"Absent",IF($X166&lt;INDEX(08_Attendance_Rules!$B$2:$B$5,MATCH($H166,08_Attendance_Rules!$A$2:$A$5,0)),"Half Day",IF($T166="Y","Half Day","Present")))))</f>
        <v>Present</v>
      </c>
      <c r="AA166" s="9" t="str">
        <f aca="false">IF($X166=0,"-",INT($X166/60)&amp;":"&amp;TEXT(MOD($X166,60),"00"))</f>
        <v>10:09</v>
      </c>
      <c r="AB166" s="9" t="str">
        <f aca="false">IF($Y166=0,"-",INT($Y166/60)&amp;":"&amp;TEXT(MOD($Y166,60),"00"))</f>
        <v>0:09</v>
      </c>
    </row>
    <row r="167" customFormat="false" ht="15" hidden="false" customHeight="true" outlineLevel="0" collapsed="false">
      <c r="A167" s="11" t="s">
        <v>2247</v>
      </c>
      <c r="B167" s="11" t="s">
        <v>970</v>
      </c>
      <c r="C167" s="11" t="s">
        <v>971</v>
      </c>
      <c r="D167" s="11" t="s">
        <v>1151</v>
      </c>
      <c r="E167" s="11" t="s">
        <v>2058</v>
      </c>
      <c r="F167" s="11" t="s">
        <v>478</v>
      </c>
      <c r="G167" s="11" t="s">
        <v>478</v>
      </c>
      <c r="H167" s="11" t="n">
        <v>9</v>
      </c>
      <c r="I167" s="11" t="n">
        <v>540</v>
      </c>
      <c r="J167" s="11" t="s">
        <v>2059</v>
      </c>
      <c r="K167" s="11" t="s">
        <v>1892</v>
      </c>
      <c r="L167" s="11" t="s">
        <v>1894</v>
      </c>
      <c r="M167" s="11" t="n">
        <v>551</v>
      </c>
      <c r="N167" s="11" t="n">
        <v>45</v>
      </c>
      <c r="O167" s="11" t="n">
        <v>0</v>
      </c>
      <c r="P167" s="11" t="n">
        <v>0</v>
      </c>
      <c r="Q167" s="11" t="s">
        <v>355</v>
      </c>
      <c r="R167" s="11"/>
      <c r="S167" s="11"/>
      <c r="T167" s="11" t="s">
        <v>226</v>
      </c>
      <c r="U167" s="11" t="s">
        <v>226</v>
      </c>
      <c r="V167" s="11"/>
      <c r="W167" s="11"/>
      <c r="X167" s="11" t="n">
        <f aca="false">$M167-$O167+$P167</f>
        <v>551</v>
      </c>
      <c r="Y167" s="11" t="n">
        <f aca="false">IF($M167=0,0,IF($J167="Working",IF($Q167="All",MAX(0,$M167-$I167),0),IF($Q167="None",0,$M167)))</f>
        <v>11</v>
      </c>
      <c r="Z167" s="24" t="str">
        <f aca="false">IF($J167&lt;&gt;"Working",IF($M167&gt;0,$J167&amp;" — worked",$J167),IF($U167="Y","Present",IF($X167&lt;INDEX(08_Attendance_Rules!$C$2:$C$5,MATCH($H167,08_Attendance_Rules!$A$2:$A$5,0)),"Absent",IF($X167&lt;INDEX(08_Attendance_Rules!$B$2:$B$5,MATCH($H167,08_Attendance_Rules!$A$2:$A$5,0)),"Half Day",IF($T167="Y","Half Day","Present")))))</f>
        <v>Present</v>
      </c>
      <c r="AA167" s="11" t="str">
        <f aca="false">IF($X167=0,"-",INT($X167/60)&amp;":"&amp;TEXT(MOD($X167,60),"00"))</f>
        <v>9:11</v>
      </c>
      <c r="AB167" s="11" t="str">
        <f aca="false">IF($Y167=0,"-",INT($Y167/60)&amp;":"&amp;TEXT(MOD($Y167,60),"00"))</f>
        <v>0:11</v>
      </c>
    </row>
    <row r="168" customFormat="false" ht="15" hidden="false" customHeight="true" outlineLevel="0" collapsed="false">
      <c r="A168" s="9" t="s">
        <v>2248</v>
      </c>
      <c r="B168" s="9" t="s">
        <v>970</v>
      </c>
      <c r="C168" s="9" t="s">
        <v>971</v>
      </c>
      <c r="D168" s="9" t="s">
        <v>593</v>
      </c>
      <c r="E168" s="9" t="s">
        <v>2061</v>
      </c>
      <c r="F168" s="9" t="s">
        <v>478</v>
      </c>
      <c r="G168" s="9" t="s">
        <v>478</v>
      </c>
      <c r="H168" s="9" t="n">
        <v>9</v>
      </c>
      <c r="I168" s="9" t="n">
        <v>540</v>
      </c>
      <c r="J168" s="9" t="s">
        <v>2059</v>
      </c>
      <c r="K168" s="9" t="s">
        <v>1896</v>
      </c>
      <c r="L168" s="9" t="s">
        <v>1898</v>
      </c>
      <c r="M168" s="9" t="n">
        <v>553</v>
      </c>
      <c r="N168" s="9" t="n">
        <v>45</v>
      </c>
      <c r="O168" s="9" t="n">
        <v>0</v>
      </c>
      <c r="P168" s="9" t="n">
        <v>0</v>
      </c>
      <c r="Q168" s="9" t="s">
        <v>355</v>
      </c>
      <c r="R168" s="9"/>
      <c r="S168" s="9"/>
      <c r="T168" s="9" t="s">
        <v>226</v>
      </c>
      <c r="U168" s="9" t="s">
        <v>226</v>
      </c>
      <c r="V168" s="9"/>
      <c r="W168" s="9"/>
      <c r="X168" s="9" t="n">
        <f aca="false">$M168-$O168+$P168</f>
        <v>553</v>
      </c>
      <c r="Y168" s="9" t="n">
        <f aca="false">IF($M168=0,0,IF($J168="Working",IF($Q168="All",MAX(0,$M168-$I168),0),IF($Q168="None",0,$M168)))</f>
        <v>13</v>
      </c>
      <c r="Z168" s="23" t="str">
        <f aca="false">IF($J168&lt;&gt;"Working",IF($M168&gt;0,$J168&amp;" — worked",$J168),IF($U168="Y","Present",IF($X168&lt;INDEX(08_Attendance_Rules!$C$2:$C$5,MATCH($H168,08_Attendance_Rules!$A$2:$A$5,0)),"Absent",IF($X168&lt;INDEX(08_Attendance_Rules!$B$2:$B$5,MATCH($H168,08_Attendance_Rules!$A$2:$A$5,0)),"Half Day",IF($T168="Y","Half Day","Present")))))</f>
        <v>Present</v>
      </c>
      <c r="AA168" s="9" t="str">
        <f aca="false">IF($X168=0,"-",INT($X168/60)&amp;":"&amp;TEXT(MOD($X168,60),"00"))</f>
        <v>9:13</v>
      </c>
      <c r="AB168" s="9" t="str">
        <f aca="false">IF($Y168=0,"-",INT($Y168/60)&amp;":"&amp;TEXT(MOD($Y168,60),"00"))</f>
        <v>0:13</v>
      </c>
    </row>
    <row r="169" customFormat="false" ht="15" hidden="false" customHeight="true" outlineLevel="0" collapsed="false">
      <c r="A169" s="11" t="s">
        <v>2249</v>
      </c>
      <c r="B169" s="11" t="s">
        <v>970</v>
      </c>
      <c r="C169" s="11" t="s">
        <v>971</v>
      </c>
      <c r="D169" s="11" t="s">
        <v>1505</v>
      </c>
      <c r="E169" s="11" t="s">
        <v>2063</v>
      </c>
      <c r="F169" s="11" t="s">
        <v>478</v>
      </c>
      <c r="G169" s="11" t="s">
        <v>478</v>
      </c>
      <c r="H169" s="11" t="n">
        <v>9</v>
      </c>
      <c r="I169" s="11" t="n">
        <v>540</v>
      </c>
      <c r="J169" s="11" t="s">
        <v>2059</v>
      </c>
      <c r="K169" s="11" t="s">
        <v>1900</v>
      </c>
      <c r="L169" s="11" t="s">
        <v>1902</v>
      </c>
      <c r="M169" s="11" t="n">
        <v>550</v>
      </c>
      <c r="N169" s="11" t="n">
        <v>45</v>
      </c>
      <c r="O169" s="11" t="n">
        <v>0</v>
      </c>
      <c r="P169" s="11" t="n">
        <v>0</v>
      </c>
      <c r="Q169" s="11" t="s">
        <v>355</v>
      </c>
      <c r="R169" s="11"/>
      <c r="S169" s="11"/>
      <c r="T169" s="11" t="s">
        <v>226</v>
      </c>
      <c r="U169" s="11" t="s">
        <v>226</v>
      </c>
      <c r="V169" s="11"/>
      <c r="W169" s="11"/>
      <c r="X169" s="11" t="n">
        <f aca="false">$M169-$O169+$P169</f>
        <v>550</v>
      </c>
      <c r="Y169" s="11" t="n">
        <f aca="false">IF($M169=0,0,IF($J169="Working",IF($Q169="All",MAX(0,$M169-$I169),0),IF($Q169="None",0,$M169)))</f>
        <v>10</v>
      </c>
      <c r="Z169" s="24" t="str">
        <f aca="false">IF($J169&lt;&gt;"Working",IF($M169&gt;0,$J169&amp;" — worked",$J169),IF($U169="Y","Present",IF($X169&lt;INDEX(08_Attendance_Rules!$C$2:$C$5,MATCH($H169,08_Attendance_Rules!$A$2:$A$5,0)),"Absent",IF($X169&lt;INDEX(08_Attendance_Rules!$B$2:$B$5,MATCH($H169,08_Attendance_Rules!$A$2:$A$5,0)),"Half Day",IF($T169="Y","Half Day","Present")))))</f>
        <v>Present</v>
      </c>
      <c r="AA169" s="11" t="str">
        <f aca="false">IF($X169=0,"-",INT($X169/60)&amp;":"&amp;TEXT(MOD($X169,60),"00"))</f>
        <v>9:10</v>
      </c>
      <c r="AB169" s="11" t="str">
        <f aca="false">IF($Y169=0,"-",INT($Y169/60)&amp;":"&amp;TEXT(MOD($Y169,60),"00"))</f>
        <v>0:10</v>
      </c>
    </row>
    <row r="170" customFormat="false" ht="15" hidden="false" customHeight="true" outlineLevel="0" collapsed="false">
      <c r="A170" s="9" t="s">
        <v>2250</v>
      </c>
      <c r="B170" s="9" t="s">
        <v>970</v>
      </c>
      <c r="C170" s="9" t="s">
        <v>971</v>
      </c>
      <c r="D170" s="9" t="s">
        <v>1511</v>
      </c>
      <c r="E170" s="9" t="s">
        <v>2065</v>
      </c>
      <c r="F170" s="9" t="s">
        <v>478</v>
      </c>
      <c r="G170" s="9" t="s">
        <v>478</v>
      </c>
      <c r="H170" s="9" t="n">
        <v>9</v>
      </c>
      <c r="I170" s="9" t="n">
        <v>540</v>
      </c>
      <c r="J170" s="9" t="s">
        <v>2059</v>
      </c>
      <c r="K170" s="9" t="s">
        <v>481</v>
      </c>
      <c r="L170" s="9" t="s">
        <v>1905</v>
      </c>
      <c r="M170" s="9" t="n">
        <v>554</v>
      </c>
      <c r="N170" s="9" t="n">
        <v>45</v>
      </c>
      <c r="O170" s="9" t="n">
        <v>0</v>
      </c>
      <c r="P170" s="9" t="n">
        <v>0</v>
      </c>
      <c r="Q170" s="9" t="s">
        <v>355</v>
      </c>
      <c r="R170" s="9"/>
      <c r="S170" s="9"/>
      <c r="T170" s="9" t="s">
        <v>226</v>
      </c>
      <c r="U170" s="9" t="s">
        <v>226</v>
      </c>
      <c r="V170" s="9"/>
      <c r="W170" s="9"/>
      <c r="X170" s="9" t="n">
        <f aca="false">$M170-$O170+$P170</f>
        <v>554</v>
      </c>
      <c r="Y170" s="9" t="n">
        <f aca="false">IF($M170=0,0,IF($J170="Working",IF($Q170="All",MAX(0,$M170-$I170),0),IF($Q170="None",0,$M170)))</f>
        <v>14</v>
      </c>
      <c r="Z170" s="23" t="str">
        <f aca="false">IF($J170&lt;&gt;"Working",IF($M170&gt;0,$J170&amp;" — worked",$J170),IF($U170="Y","Present",IF($X170&lt;INDEX(08_Attendance_Rules!$C$2:$C$5,MATCH($H170,08_Attendance_Rules!$A$2:$A$5,0)),"Absent",IF($X170&lt;INDEX(08_Attendance_Rules!$B$2:$B$5,MATCH($H170,08_Attendance_Rules!$A$2:$A$5,0)),"Half Day",IF($T170="Y","Half Day","Present")))))</f>
        <v>Present</v>
      </c>
      <c r="AA170" s="9" t="str">
        <f aca="false">IF($X170=0,"-",INT($X170/60)&amp;":"&amp;TEXT(MOD($X170,60),"00"))</f>
        <v>9:14</v>
      </c>
      <c r="AB170" s="9" t="str">
        <f aca="false">IF($Y170=0,"-",INT($Y170/60)&amp;":"&amp;TEXT(MOD($Y170,60),"00"))</f>
        <v>0:14</v>
      </c>
    </row>
    <row r="171" customFormat="false" ht="15" hidden="false" customHeight="true" outlineLevel="0" collapsed="false">
      <c r="A171" s="11" t="s">
        <v>2251</v>
      </c>
      <c r="B171" s="11" t="s">
        <v>970</v>
      </c>
      <c r="C171" s="11" t="s">
        <v>971</v>
      </c>
      <c r="D171" s="11" t="s">
        <v>1515</v>
      </c>
      <c r="E171" s="11" t="s">
        <v>2067</v>
      </c>
      <c r="F171" s="11" t="s">
        <v>478</v>
      </c>
      <c r="G171" s="11" t="s">
        <v>478</v>
      </c>
      <c r="H171" s="11" t="n">
        <v>9</v>
      </c>
      <c r="I171" s="11" t="n">
        <v>540</v>
      </c>
      <c r="J171" s="11" t="s">
        <v>2059</v>
      </c>
      <c r="K171" s="11" t="s">
        <v>1907</v>
      </c>
      <c r="L171" s="11" t="s">
        <v>1909</v>
      </c>
      <c r="M171" s="11" t="n">
        <v>552</v>
      </c>
      <c r="N171" s="11" t="n">
        <v>45</v>
      </c>
      <c r="O171" s="11" t="n">
        <v>0</v>
      </c>
      <c r="P171" s="11" t="n">
        <v>0</v>
      </c>
      <c r="Q171" s="11" t="s">
        <v>355</v>
      </c>
      <c r="R171" s="11"/>
      <c r="S171" s="11"/>
      <c r="T171" s="11" t="s">
        <v>226</v>
      </c>
      <c r="U171" s="11" t="s">
        <v>226</v>
      </c>
      <c r="V171" s="11"/>
      <c r="W171" s="11"/>
      <c r="X171" s="11" t="n">
        <f aca="false">$M171-$O171+$P171</f>
        <v>552</v>
      </c>
      <c r="Y171" s="11" t="n">
        <f aca="false">IF($M171=0,0,IF($J171="Working",IF($Q171="All",MAX(0,$M171-$I171),0),IF($Q171="None",0,$M171)))</f>
        <v>12</v>
      </c>
      <c r="Z171" s="24" t="str">
        <f aca="false">IF($J171&lt;&gt;"Working",IF($M171&gt;0,$J171&amp;" — worked",$J171),IF($U171="Y","Present",IF($X171&lt;INDEX(08_Attendance_Rules!$C$2:$C$5,MATCH($H171,08_Attendance_Rules!$A$2:$A$5,0)),"Absent",IF($X171&lt;INDEX(08_Attendance_Rules!$B$2:$B$5,MATCH($H171,08_Attendance_Rules!$A$2:$A$5,0)),"Half Day",IF($T171="Y","Half Day","Present")))))</f>
        <v>Present</v>
      </c>
      <c r="AA171" s="11" t="str">
        <f aca="false">IF($X171=0,"-",INT($X171/60)&amp;":"&amp;TEXT(MOD($X171,60),"00"))</f>
        <v>9:12</v>
      </c>
      <c r="AB171" s="11" t="str">
        <f aca="false">IF($Y171=0,"-",INT($Y171/60)&amp;":"&amp;TEXT(MOD($Y171,60),"00"))</f>
        <v>0:12</v>
      </c>
    </row>
    <row r="172" customFormat="false" ht="15" hidden="false" customHeight="true" outlineLevel="0" collapsed="false">
      <c r="A172" s="9" t="s">
        <v>2252</v>
      </c>
      <c r="B172" s="9" t="s">
        <v>970</v>
      </c>
      <c r="C172" s="9" t="s">
        <v>971</v>
      </c>
      <c r="D172" s="9" t="s">
        <v>1359</v>
      </c>
      <c r="E172" s="9" t="s">
        <v>2069</v>
      </c>
      <c r="F172" s="9" t="s">
        <v>478</v>
      </c>
      <c r="G172" s="9" t="s">
        <v>478</v>
      </c>
      <c r="H172" s="9" t="n">
        <v>9</v>
      </c>
      <c r="I172" s="9" t="n">
        <v>540</v>
      </c>
      <c r="J172" s="9" t="s">
        <v>2070</v>
      </c>
      <c r="K172" s="9"/>
      <c r="L172" s="9"/>
      <c r="M172" s="9" t="n">
        <v>0</v>
      </c>
      <c r="N172" s="9" t="n">
        <v>0</v>
      </c>
      <c r="O172" s="9" t="n">
        <v>0</v>
      </c>
      <c r="P172" s="9" t="n">
        <v>0</v>
      </c>
      <c r="Q172" s="9" t="s">
        <v>355</v>
      </c>
      <c r="R172" s="9"/>
      <c r="S172" s="9"/>
      <c r="T172" s="9" t="s">
        <v>226</v>
      </c>
      <c r="U172" s="9" t="s">
        <v>226</v>
      </c>
      <c r="V172" s="9"/>
      <c r="W172" s="9"/>
      <c r="X172" s="9" t="n">
        <f aca="false">$M172-$O172+$P172</f>
        <v>0</v>
      </c>
      <c r="Y172" s="9" t="n">
        <f aca="false">IF($M172=0,0,IF($J172="Working",IF($Q172="All",MAX(0,$M172-$I172),0),IF($Q172="None",0,$M172)))</f>
        <v>0</v>
      </c>
      <c r="Z172" s="23" t="str">
        <f aca="false">IF($J172&lt;&gt;"Working",IF($M172&gt;0,$J172&amp;" — worked",$J172),IF($U172="Y","Present",IF($X172&lt;INDEX(08_Attendance_Rules!$C$2:$C$5,MATCH($H172,08_Attendance_Rules!$A$2:$A$5,0)),"Absent",IF($X172&lt;INDEX(08_Attendance_Rules!$B$2:$B$5,MATCH($H172,08_Attendance_Rules!$A$2:$A$5,0)),"Half Day",IF($T172="Y","Half Day","Present")))))</f>
        <v>Weekly Off</v>
      </c>
      <c r="AA172" s="9" t="str">
        <f aca="false">IF($X172=0,"-",INT($X172/60)&amp;":"&amp;TEXT(MOD($X172,60),"00"))</f>
        <v>-</v>
      </c>
      <c r="AB172" s="9" t="str">
        <f aca="false">IF($Y172=0,"-",INT($Y172/60)&amp;":"&amp;TEXT(MOD($Y172,60),"00"))</f>
        <v>-</v>
      </c>
    </row>
    <row r="173" customFormat="false" ht="15" hidden="false" customHeight="true" outlineLevel="0" collapsed="false">
      <c r="A173" s="11" t="s">
        <v>2253</v>
      </c>
      <c r="B173" s="11" t="s">
        <v>970</v>
      </c>
      <c r="C173" s="11" t="s">
        <v>971</v>
      </c>
      <c r="D173" s="11" t="s">
        <v>1332</v>
      </c>
      <c r="E173" s="11" t="s">
        <v>2072</v>
      </c>
      <c r="F173" s="11" t="s">
        <v>478</v>
      </c>
      <c r="G173" s="11" t="s">
        <v>478</v>
      </c>
      <c r="H173" s="11" t="n">
        <v>9</v>
      </c>
      <c r="I173" s="11" t="n">
        <v>540</v>
      </c>
      <c r="J173" s="11" t="s">
        <v>2254</v>
      </c>
      <c r="K173" s="11"/>
      <c r="L173" s="11"/>
      <c r="M173" s="11" t="n">
        <v>0</v>
      </c>
      <c r="N173" s="11" t="n">
        <v>0</v>
      </c>
      <c r="O173" s="11" t="n">
        <v>0</v>
      </c>
      <c r="P173" s="11" t="n">
        <v>0</v>
      </c>
      <c r="Q173" s="11" t="s">
        <v>355</v>
      </c>
      <c r="R173" s="11"/>
      <c r="S173" s="11"/>
      <c r="T173" s="11" t="s">
        <v>226</v>
      </c>
      <c r="U173" s="11" t="s">
        <v>226</v>
      </c>
      <c r="V173" s="11" t="s">
        <v>2255</v>
      </c>
      <c r="W173" s="11"/>
      <c r="X173" s="11" t="n">
        <f aca="false">$M173-$O173+$P173</f>
        <v>0</v>
      </c>
      <c r="Y173" s="11" t="n">
        <f aca="false">IF($M173=0,0,IF($J173="Working",IF($Q173="All",MAX(0,$M173-$I173),0),IF($Q173="None",0,$M173)))</f>
        <v>0</v>
      </c>
      <c r="Z173" s="24" t="str">
        <f aca="false">IF($J173&lt;&gt;"Working",IF($M173&gt;0,$J173&amp;" — worked",$J173),IF($U173="Y","Present",IF($X173&lt;INDEX(08_Attendance_Rules!$C$2:$C$5,MATCH($H173,08_Attendance_Rules!$A$2:$A$5,0)),"Absent",IF($X173&lt;INDEX(08_Attendance_Rules!$B$2:$B$5,MATCH($H173,08_Attendance_Rules!$A$2:$A$5,0)),"Half Day",IF($T173="Y","Half Day","Present")))))</f>
        <v>On Leave</v>
      </c>
      <c r="AA173" s="11" t="str">
        <f aca="false">IF($X173=0,"-",INT($X173/60)&amp;":"&amp;TEXT(MOD($X173,60),"00"))</f>
        <v>-</v>
      </c>
      <c r="AB173" s="11" t="str">
        <f aca="false">IF($Y173=0,"-",INT($Y173/60)&amp;":"&amp;TEXT(MOD($Y173,60),"00"))</f>
        <v>-</v>
      </c>
    </row>
    <row r="174" customFormat="false" ht="15" hidden="false" customHeight="true" outlineLevel="0" collapsed="false">
      <c r="A174" s="9" t="s">
        <v>2256</v>
      </c>
      <c r="B174" s="9" t="s">
        <v>970</v>
      </c>
      <c r="C174" s="9" t="s">
        <v>971</v>
      </c>
      <c r="D174" s="9" t="s">
        <v>1524</v>
      </c>
      <c r="E174" s="9" t="s">
        <v>2058</v>
      </c>
      <c r="F174" s="9" t="s">
        <v>478</v>
      </c>
      <c r="G174" s="9" t="s">
        <v>478</v>
      </c>
      <c r="H174" s="9" t="n">
        <v>9</v>
      </c>
      <c r="I174" s="9" t="n">
        <v>540</v>
      </c>
      <c r="J174" s="9" t="s">
        <v>2254</v>
      </c>
      <c r="K174" s="9"/>
      <c r="L174" s="9"/>
      <c r="M174" s="9" t="n">
        <v>0</v>
      </c>
      <c r="N174" s="9" t="n">
        <v>0</v>
      </c>
      <c r="O174" s="9" t="n">
        <v>0</v>
      </c>
      <c r="P174" s="9" t="n">
        <v>0</v>
      </c>
      <c r="Q174" s="9" t="s">
        <v>355</v>
      </c>
      <c r="R174" s="9"/>
      <c r="S174" s="9"/>
      <c r="T174" s="9" t="s">
        <v>226</v>
      </c>
      <c r="U174" s="9" t="s">
        <v>226</v>
      </c>
      <c r="V174" s="9" t="s">
        <v>2255</v>
      </c>
      <c r="W174" s="9"/>
      <c r="X174" s="9" t="n">
        <f aca="false">$M174-$O174+$P174</f>
        <v>0</v>
      </c>
      <c r="Y174" s="9" t="n">
        <f aca="false">IF($M174=0,0,IF($J174="Working",IF($Q174="All",MAX(0,$M174-$I174),0),IF($Q174="None",0,$M174)))</f>
        <v>0</v>
      </c>
      <c r="Z174" s="23" t="str">
        <f aca="false">IF($J174&lt;&gt;"Working",IF($M174&gt;0,$J174&amp;" — worked",$J174),IF($U174="Y","Present",IF($X174&lt;INDEX(08_Attendance_Rules!$C$2:$C$5,MATCH($H174,08_Attendance_Rules!$A$2:$A$5,0)),"Absent",IF($X174&lt;INDEX(08_Attendance_Rules!$B$2:$B$5,MATCH($H174,08_Attendance_Rules!$A$2:$A$5,0)),"Half Day",IF($T174="Y","Half Day","Present")))))</f>
        <v>On Leave</v>
      </c>
      <c r="AA174" s="9" t="str">
        <f aca="false">IF($X174=0,"-",INT($X174/60)&amp;":"&amp;TEXT(MOD($X174,60),"00"))</f>
        <v>-</v>
      </c>
      <c r="AB174" s="9" t="str">
        <f aca="false">IF($Y174=0,"-",INT($Y174/60)&amp;":"&amp;TEXT(MOD($Y174,60),"00"))</f>
        <v>-</v>
      </c>
    </row>
    <row r="175" customFormat="false" ht="15" hidden="false" customHeight="true" outlineLevel="0" collapsed="false">
      <c r="A175" s="11" t="s">
        <v>2257</v>
      </c>
      <c r="B175" s="11" t="s">
        <v>970</v>
      </c>
      <c r="C175" s="11" t="s">
        <v>971</v>
      </c>
      <c r="D175" s="11" t="s">
        <v>1377</v>
      </c>
      <c r="E175" s="11" t="s">
        <v>2061</v>
      </c>
      <c r="F175" s="11" t="s">
        <v>478</v>
      </c>
      <c r="G175" s="11" t="s">
        <v>478</v>
      </c>
      <c r="H175" s="11" t="n">
        <v>9</v>
      </c>
      <c r="I175" s="11" t="n">
        <v>540</v>
      </c>
      <c r="J175" s="11" t="s">
        <v>2254</v>
      </c>
      <c r="K175" s="11"/>
      <c r="L175" s="11"/>
      <c r="M175" s="11" t="n">
        <v>0</v>
      </c>
      <c r="N175" s="11" t="n">
        <v>0</v>
      </c>
      <c r="O175" s="11" t="n">
        <v>0</v>
      </c>
      <c r="P175" s="11" t="n">
        <v>0</v>
      </c>
      <c r="Q175" s="11" t="s">
        <v>355</v>
      </c>
      <c r="R175" s="11"/>
      <c r="S175" s="11"/>
      <c r="T175" s="11" t="s">
        <v>226</v>
      </c>
      <c r="U175" s="11" t="s">
        <v>226</v>
      </c>
      <c r="V175" s="11" t="s">
        <v>2255</v>
      </c>
      <c r="W175" s="11"/>
      <c r="X175" s="11" t="n">
        <f aca="false">$M175-$O175+$P175</f>
        <v>0</v>
      </c>
      <c r="Y175" s="11" t="n">
        <f aca="false">IF($M175=0,0,IF($J175="Working",IF($Q175="All",MAX(0,$M175-$I175),0),IF($Q175="None",0,$M175)))</f>
        <v>0</v>
      </c>
      <c r="Z175" s="24" t="str">
        <f aca="false">IF($J175&lt;&gt;"Working",IF($M175&gt;0,$J175&amp;" — worked",$J175),IF($U175="Y","Present",IF($X175&lt;INDEX(08_Attendance_Rules!$C$2:$C$5,MATCH($H175,08_Attendance_Rules!$A$2:$A$5,0)),"Absent",IF($X175&lt;INDEX(08_Attendance_Rules!$B$2:$B$5,MATCH($H175,08_Attendance_Rules!$A$2:$A$5,0)),"Half Day",IF($T175="Y","Half Day","Present")))))</f>
        <v>On Leave</v>
      </c>
      <c r="AA175" s="11" t="str">
        <f aca="false">IF($X175=0,"-",INT($X175/60)&amp;":"&amp;TEXT(MOD($X175,60),"00"))</f>
        <v>-</v>
      </c>
      <c r="AB175" s="11" t="str">
        <f aca="false">IF($Y175=0,"-",INT($Y175/60)&amp;":"&amp;TEXT(MOD($Y175,60),"00"))</f>
        <v>-</v>
      </c>
    </row>
    <row r="176" customFormat="false" ht="15" hidden="false" customHeight="true" outlineLevel="0" collapsed="false">
      <c r="A176" s="9" t="s">
        <v>2258</v>
      </c>
      <c r="B176" s="9" t="s">
        <v>970</v>
      </c>
      <c r="C176" s="9" t="s">
        <v>971</v>
      </c>
      <c r="D176" s="9" t="s">
        <v>1355</v>
      </c>
      <c r="E176" s="9" t="s">
        <v>2063</v>
      </c>
      <c r="F176" s="9" t="s">
        <v>478</v>
      </c>
      <c r="G176" s="9" t="s">
        <v>478</v>
      </c>
      <c r="H176" s="9" t="n">
        <v>9</v>
      </c>
      <c r="I176" s="9" t="n">
        <v>540</v>
      </c>
      <c r="J176" s="9" t="s">
        <v>2254</v>
      </c>
      <c r="K176" s="9"/>
      <c r="L176" s="9"/>
      <c r="M176" s="9" t="n">
        <v>0</v>
      </c>
      <c r="N176" s="9" t="n">
        <v>0</v>
      </c>
      <c r="O176" s="9" t="n">
        <v>0</v>
      </c>
      <c r="P176" s="9" t="n">
        <v>0</v>
      </c>
      <c r="Q176" s="9" t="s">
        <v>355</v>
      </c>
      <c r="R176" s="9"/>
      <c r="S176" s="9"/>
      <c r="T176" s="9" t="s">
        <v>226</v>
      </c>
      <c r="U176" s="9" t="s">
        <v>226</v>
      </c>
      <c r="V176" s="9" t="s">
        <v>2255</v>
      </c>
      <c r="W176" s="9"/>
      <c r="X176" s="9" t="n">
        <f aca="false">$M176-$O176+$P176</f>
        <v>0</v>
      </c>
      <c r="Y176" s="9" t="n">
        <f aca="false">IF($M176=0,0,IF($J176="Working",IF($Q176="All",MAX(0,$M176-$I176),0),IF($Q176="None",0,$M176)))</f>
        <v>0</v>
      </c>
      <c r="Z176" s="23" t="str">
        <f aca="false">IF($J176&lt;&gt;"Working",IF($M176&gt;0,$J176&amp;" — worked",$J176),IF($U176="Y","Present",IF($X176&lt;INDEX(08_Attendance_Rules!$C$2:$C$5,MATCH($H176,08_Attendance_Rules!$A$2:$A$5,0)),"Absent",IF($X176&lt;INDEX(08_Attendance_Rules!$B$2:$B$5,MATCH($H176,08_Attendance_Rules!$A$2:$A$5,0)),"Half Day",IF($T176="Y","Half Day","Present")))))</f>
        <v>On Leave</v>
      </c>
      <c r="AA176" s="9" t="str">
        <f aca="false">IF($X176=0,"-",INT($X176/60)&amp;":"&amp;TEXT(MOD($X176,60),"00"))</f>
        <v>-</v>
      </c>
      <c r="AB176" s="9" t="str">
        <f aca="false">IF($Y176=0,"-",INT($Y176/60)&amp;":"&amp;TEXT(MOD($Y176,60),"00"))</f>
        <v>-</v>
      </c>
    </row>
    <row r="177" customFormat="false" ht="15" hidden="false" customHeight="true" outlineLevel="0" collapsed="false">
      <c r="A177" s="11" t="s">
        <v>2259</v>
      </c>
      <c r="B177" s="11" t="s">
        <v>970</v>
      </c>
      <c r="C177" s="11" t="s">
        <v>971</v>
      </c>
      <c r="D177" s="11" t="s">
        <v>1459</v>
      </c>
      <c r="E177" s="11" t="s">
        <v>2065</v>
      </c>
      <c r="F177" s="11" t="s">
        <v>478</v>
      </c>
      <c r="G177" s="11" t="s">
        <v>478</v>
      </c>
      <c r="H177" s="11" t="n">
        <v>9</v>
      </c>
      <c r="I177" s="11" t="n">
        <v>540</v>
      </c>
      <c r="J177" s="11" t="s">
        <v>2254</v>
      </c>
      <c r="K177" s="11"/>
      <c r="L177" s="11"/>
      <c r="M177" s="11" t="n">
        <v>0</v>
      </c>
      <c r="N177" s="11" t="n">
        <v>0</v>
      </c>
      <c r="O177" s="11" t="n">
        <v>0</v>
      </c>
      <c r="P177" s="11" t="n">
        <v>0</v>
      </c>
      <c r="Q177" s="11" t="s">
        <v>355</v>
      </c>
      <c r="R177" s="11"/>
      <c r="S177" s="11"/>
      <c r="T177" s="11" t="s">
        <v>226</v>
      </c>
      <c r="U177" s="11" t="s">
        <v>226</v>
      </c>
      <c r="V177" s="11" t="s">
        <v>2255</v>
      </c>
      <c r="W177" s="11"/>
      <c r="X177" s="11" t="n">
        <f aca="false">$M177-$O177+$P177</f>
        <v>0</v>
      </c>
      <c r="Y177" s="11" t="n">
        <f aca="false">IF($M177=0,0,IF($J177="Working",IF($Q177="All",MAX(0,$M177-$I177),0),IF($Q177="None",0,$M177)))</f>
        <v>0</v>
      </c>
      <c r="Z177" s="24" t="str">
        <f aca="false">IF($J177&lt;&gt;"Working",IF($M177&gt;0,$J177&amp;" — worked",$J177),IF($U177="Y","Present",IF($X177&lt;INDEX(08_Attendance_Rules!$C$2:$C$5,MATCH($H177,08_Attendance_Rules!$A$2:$A$5,0)),"Absent",IF($X177&lt;INDEX(08_Attendance_Rules!$B$2:$B$5,MATCH($H177,08_Attendance_Rules!$A$2:$A$5,0)),"Half Day",IF($T177="Y","Half Day","Present")))))</f>
        <v>On Leave</v>
      </c>
      <c r="AA177" s="11" t="str">
        <f aca="false">IF($X177=0,"-",INT($X177/60)&amp;":"&amp;TEXT(MOD($X177,60),"00"))</f>
        <v>-</v>
      </c>
      <c r="AB177" s="11" t="str">
        <f aca="false">IF($Y177=0,"-",INT($Y177/60)&amp;":"&amp;TEXT(MOD($Y177,60),"00"))</f>
        <v>-</v>
      </c>
    </row>
    <row r="178" customFormat="false" ht="15" hidden="false" customHeight="true" outlineLevel="0" collapsed="false">
      <c r="A178" s="9" t="s">
        <v>2260</v>
      </c>
      <c r="B178" s="9" t="s">
        <v>970</v>
      </c>
      <c r="C178" s="9" t="s">
        <v>971</v>
      </c>
      <c r="D178" s="9" t="s">
        <v>1545</v>
      </c>
      <c r="E178" s="9" t="s">
        <v>2067</v>
      </c>
      <c r="F178" s="9" t="s">
        <v>478</v>
      </c>
      <c r="G178" s="9" t="s">
        <v>478</v>
      </c>
      <c r="H178" s="9" t="n">
        <v>9</v>
      </c>
      <c r="I178" s="9" t="n">
        <v>540</v>
      </c>
      <c r="J178" s="9" t="s">
        <v>2059</v>
      </c>
      <c r="K178" s="9" t="s">
        <v>1911</v>
      </c>
      <c r="L178" s="9" t="s">
        <v>1913</v>
      </c>
      <c r="M178" s="9" t="n">
        <v>557</v>
      </c>
      <c r="N178" s="9" t="n">
        <v>45</v>
      </c>
      <c r="O178" s="9" t="n">
        <v>0</v>
      </c>
      <c r="P178" s="9" t="n">
        <v>0</v>
      </c>
      <c r="Q178" s="9" t="s">
        <v>355</v>
      </c>
      <c r="R178" s="9" t="n">
        <v>2</v>
      </c>
      <c r="S178" s="9"/>
      <c r="T178" s="9" t="s">
        <v>226</v>
      </c>
      <c r="U178" s="9" t="s">
        <v>226</v>
      </c>
      <c r="V178" s="9"/>
      <c r="W178" s="9"/>
      <c r="X178" s="9" t="n">
        <f aca="false">$M178-$O178+$P178</f>
        <v>557</v>
      </c>
      <c r="Y178" s="9" t="n">
        <f aca="false">IF($M178=0,0,IF($J178="Working",IF($Q178="All",MAX(0,$M178-$I178),0),IF($Q178="None",0,$M178)))</f>
        <v>17</v>
      </c>
      <c r="Z178" s="23" t="str">
        <f aca="false">IF($J178&lt;&gt;"Working",IF($M178&gt;0,$J178&amp;" — worked",$J178),IF($U178="Y","Present",IF($X178&lt;INDEX(08_Attendance_Rules!$C$2:$C$5,MATCH($H178,08_Attendance_Rules!$A$2:$A$5,0)),"Absent",IF($X178&lt;INDEX(08_Attendance_Rules!$B$2:$B$5,MATCH($H178,08_Attendance_Rules!$A$2:$A$5,0)),"Half Day",IF($T178="Y","Half Day","Present")))))</f>
        <v>Present</v>
      </c>
      <c r="AA178" s="9" t="str">
        <f aca="false">IF($X178=0,"-",INT($X178/60)&amp;":"&amp;TEXT(MOD($X178,60),"00"))</f>
        <v>9:17</v>
      </c>
      <c r="AB178" s="9" t="str">
        <f aca="false">IF($Y178=0,"-",INT($Y178/60)&amp;":"&amp;TEXT(MOD($Y178,60),"00"))</f>
        <v>0:17</v>
      </c>
    </row>
    <row r="179" customFormat="false" ht="15" hidden="false" customHeight="true" outlineLevel="0" collapsed="false">
      <c r="A179" s="11" t="s">
        <v>2261</v>
      </c>
      <c r="B179" s="11" t="s">
        <v>970</v>
      </c>
      <c r="C179" s="11" t="s">
        <v>971</v>
      </c>
      <c r="D179" s="11" t="s">
        <v>1409</v>
      </c>
      <c r="E179" s="11" t="s">
        <v>2069</v>
      </c>
      <c r="F179" s="11" t="s">
        <v>478</v>
      </c>
      <c r="G179" s="11" t="s">
        <v>478</v>
      </c>
      <c r="H179" s="11" t="n">
        <v>9</v>
      </c>
      <c r="I179" s="11" t="n">
        <v>540</v>
      </c>
      <c r="J179" s="11" t="s">
        <v>2070</v>
      </c>
      <c r="K179" s="11"/>
      <c r="L179" s="11"/>
      <c r="M179" s="11" t="n">
        <v>0</v>
      </c>
      <c r="N179" s="11" t="n">
        <v>0</v>
      </c>
      <c r="O179" s="11" t="n">
        <v>0</v>
      </c>
      <c r="P179" s="11" t="n">
        <v>0</v>
      </c>
      <c r="Q179" s="11" t="s">
        <v>355</v>
      </c>
      <c r="R179" s="11"/>
      <c r="S179" s="11"/>
      <c r="T179" s="11" t="s">
        <v>226</v>
      </c>
      <c r="U179" s="11" t="s">
        <v>226</v>
      </c>
      <c r="V179" s="11"/>
      <c r="W179" s="11"/>
      <c r="X179" s="11" t="n">
        <f aca="false">$M179-$O179+$P179</f>
        <v>0</v>
      </c>
      <c r="Y179" s="11" t="n">
        <f aca="false">IF($M179=0,0,IF($J179="Working",IF($Q179="All",MAX(0,$M179-$I179),0),IF($Q179="None",0,$M179)))</f>
        <v>0</v>
      </c>
      <c r="Z179" s="24" t="str">
        <f aca="false">IF($J179&lt;&gt;"Working",IF($M179&gt;0,$J179&amp;" — worked",$J179),IF($U179="Y","Present",IF($X179&lt;INDEX(08_Attendance_Rules!$C$2:$C$5,MATCH($H179,08_Attendance_Rules!$A$2:$A$5,0)),"Absent",IF($X179&lt;INDEX(08_Attendance_Rules!$B$2:$B$5,MATCH($H179,08_Attendance_Rules!$A$2:$A$5,0)),"Half Day",IF($T179="Y","Half Day","Present")))))</f>
        <v>Weekly Off</v>
      </c>
      <c r="AA179" s="11" t="str">
        <f aca="false">IF($X179=0,"-",INT($X179/60)&amp;":"&amp;TEXT(MOD($X179,60),"00"))</f>
        <v>-</v>
      </c>
      <c r="AB179" s="11" t="str">
        <f aca="false">IF($Y179=0,"-",INT($Y179/60)&amp;":"&amp;TEXT(MOD($Y179,60),"00"))</f>
        <v>-</v>
      </c>
    </row>
    <row r="180" customFormat="false" ht="15" hidden="false" customHeight="true" outlineLevel="0" collapsed="false">
      <c r="A180" s="9" t="s">
        <v>2262</v>
      </c>
      <c r="B180" s="9" t="s">
        <v>970</v>
      </c>
      <c r="C180" s="9" t="s">
        <v>971</v>
      </c>
      <c r="D180" s="9" t="s">
        <v>1337</v>
      </c>
      <c r="E180" s="9" t="s">
        <v>2072</v>
      </c>
      <c r="F180" s="9" t="s">
        <v>478</v>
      </c>
      <c r="G180" s="9" t="s">
        <v>478</v>
      </c>
      <c r="H180" s="9" t="n">
        <v>9</v>
      </c>
      <c r="I180" s="9" t="n">
        <v>540</v>
      </c>
      <c r="J180" s="9" t="s">
        <v>2059</v>
      </c>
      <c r="K180" s="9" t="s">
        <v>481</v>
      </c>
      <c r="L180" s="9" t="s">
        <v>1916</v>
      </c>
      <c r="M180" s="9" t="n">
        <v>550</v>
      </c>
      <c r="N180" s="9" t="n">
        <v>45</v>
      </c>
      <c r="O180" s="9" t="n">
        <v>0</v>
      </c>
      <c r="P180" s="9" t="n">
        <v>0</v>
      </c>
      <c r="Q180" s="9" t="s">
        <v>355</v>
      </c>
      <c r="R180" s="9"/>
      <c r="S180" s="9"/>
      <c r="T180" s="9" t="s">
        <v>226</v>
      </c>
      <c r="U180" s="9" t="s">
        <v>226</v>
      </c>
      <c r="V180" s="9"/>
      <c r="W180" s="9"/>
      <c r="X180" s="9" t="n">
        <f aca="false">$M180-$O180+$P180</f>
        <v>550</v>
      </c>
      <c r="Y180" s="9" t="n">
        <f aca="false">IF($M180=0,0,IF($J180="Working",IF($Q180="All",MAX(0,$M180-$I180),0),IF($Q180="None",0,$M180)))</f>
        <v>10</v>
      </c>
      <c r="Z180" s="23" t="str">
        <f aca="false">IF($J180&lt;&gt;"Working",IF($M180&gt;0,$J180&amp;" — worked",$J180),IF($U180="Y","Present",IF($X180&lt;INDEX(08_Attendance_Rules!$C$2:$C$5,MATCH($H180,08_Attendance_Rules!$A$2:$A$5,0)),"Absent",IF($X180&lt;INDEX(08_Attendance_Rules!$B$2:$B$5,MATCH($H180,08_Attendance_Rules!$A$2:$A$5,0)),"Half Day",IF($T180="Y","Half Day","Present")))))</f>
        <v>Present</v>
      </c>
      <c r="AA180" s="9" t="str">
        <f aca="false">IF($X180=0,"-",INT($X180/60)&amp;":"&amp;TEXT(MOD($X180,60),"00"))</f>
        <v>9:10</v>
      </c>
      <c r="AB180" s="9" t="str">
        <f aca="false">IF($Y180=0,"-",INT($Y180/60)&amp;":"&amp;TEXT(MOD($Y180,60),"00"))</f>
        <v>0:10</v>
      </c>
    </row>
    <row r="181" customFormat="false" ht="15" hidden="false" customHeight="true" outlineLevel="0" collapsed="false">
      <c r="A181" s="11" t="s">
        <v>2263</v>
      </c>
      <c r="B181" s="11" t="s">
        <v>970</v>
      </c>
      <c r="C181" s="11" t="s">
        <v>971</v>
      </c>
      <c r="D181" s="11" t="s">
        <v>531</v>
      </c>
      <c r="E181" s="11" t="s">
        <v>2058</v>
      </c>
      <c r="F181" s="11" t="s">
        <v>478</v>
      </c>
      <c r="G181" s="11" t="s">
        <v>478</v>
      </c>
      <c r="H181" s="11" t="n">
        <v>9</v>
      </c>
      <c r="I181" s="11" t="n">
        <v>540</v>
      </c>
      <c r="J181" s="11" t="s">
        <v>2059</v>
      </c>
      <c r="K181" s="11" t="s">
        <v>1918</v>
      </c>
      <c r="L181" s="11" t="s">
        <v>1894</v>
      </c>
      <c r="M181" s="11" t="n">
        <v>549</v>
      </c>
      <c r="N181" s="11" t="n">
        <v>45</v>
      </c>
      <c r="O181" s="11" t="n">
        <v>0</v>
      </c>
      <c r="P181" s="11" t="n">
        <v>0</v>
      </c>
      <c r="Q181" s="11" t="s">
        <v>355</v>
      </c>
      <c r="R181" s="11"/>
      <c r="S181" s="11"/>
      <c r="T181" s="11" t="s">
        <v>226</v>
      </c>
      <c r="U181" s="11" t="s">
        <v>226</v>
      </c>
      <c r="V181" s="11"/>
      <c r="W181" s="11"/>
      <c r="X181" s="11" t="n">
        <f aca="false">$M181-$O181+$P181</f>
        <v>549</v>
      </c>
      <c r="Y181" s="11" t="n">
        <f aca="false">IF($M181=0,0,IF($J181="Working",IF($Q181="All",MAX(0,$M181-$I181),0),IF($Q181="None",0,$M181)))</f>
        <v>9</v>
      </c>
      <c r="Z181" s="24" t="str">
        <f aca="false">IF($J181&lt;&gt;"Working",IF($M181&gt;0,$J181&amp;" — worked",$J181),IF($U181="Y","Present",IF($X181&lt;INDEX(08_Attendance_Rules!$C$2:$C$5,MATCH($H181,08_Attendance_Rules!$A$2:$A$5,0)),"Absent",IF($X181&lt;INDEX(08_Attendance_Rules!$B$2:$B$5,MATCH($H181,08_Attendance_Rules!$A$2:$A$5,0)),"Half Day",IF($T181="Y","Half Day","Present")))))</f>
        <v>Present</v>
      </c>
      <c r="AA181" s="11" t="str">
        <f aca="false">IF($X181=0,"-",INT($X181/60)&amp;":"&amp;TEXT(MOD($X181,60),"00"))</f>
        <v>9:09</v>
      </c>
      <c r="AB181" s="11" t="str">
        <f aca="false">IF($Y181=0,"-",INT($Y181/60)&amp;":"&amp;TEXT(MOD($Y181,60),"00"))</f>
        <v>0:09</v>
      </c>
    </row>
    <row r="182" customFormat="false" ht="15" hidden="false" customHeight="true" outlineLevel="0" collapsed="false">
      <c r="A182" s="9" t="s">
        <v>2264</v>
      </c>
      <c r="B182" s="9" t="s">
        <v>986</v>
      </c>
      <c r="C182" s="9" t="s">
        <v>987</v>
      </c>
      <c r="D182" s="9" t="s">
        <v>1151</v>
      </c>
      <c r="E182" s="9" t="s">
        <v>2058</v>
      </c>
      <c r="F182" s="9" t="s">
        <v>473</v>
      </c>
      <c r="G182" s="9" t="s">
        <v>473</v>
      </c>
      <c r="H182" s="9" t="n">
        <v>10</v>
      </c>
      <c r="I182" s="9" t="n">
        <v>600</v>
      </c>
      <c r="J182" s="9" t="s">
        <v>2059</v>
      </c>
      <c r="K182" s="9" t="s">
        <v>1921</v>
      </c>
      <c r="L182" s="9" t="s">
        <v>1923</v>
      </c>
      <c r="M182" s="9" t="n">
        <v>611</v>
      </c>
      <c r="N182" s="9" t="n">
        <v>45</v>
      </c>
      <c r="O182" s="9" t="n">
        <v>0</v>
      </c>
      <c r="P182" s="9" t="n">
        <v>0</v>
      </c>
      <c r="Q182" s="9" t="s">
        <v>355</v>
      </c>
      <c r="R182" s="9"/>
      <c r="S182" s="9"/>
      <c r="T182" s="9" t="s">
        <v>226</v>
      </c>
      <c r="U182" s="9" t="s">
        <v>226</v>
      </c>
      <c r="V182" s="9"/>
      <c r="W182" s="9"/>
      <c r="X182" s="9" t="n">
        <f aca="false">$M182-$O182+$P182</f>
        <v>611</v>
      </c>
      <c r="Y182" s="9" t="n">
        <f aca="false">IF($M182=0,0,IF($J182="Working",IF($Q182="All",MAX(0,$M182-$I182),0),IF($Q182="None",0,$M182)))</f>
        <v>11</v>
      </c>
      <c r="Z182" s="23" t="str">
        <f aca="false">IF($J182&lt;&gt;"Working",IF($M182&gt;0,$J182&amp;" — worked",$J182),IF($U182="Y","Present",IF($X182&lt;INDEX(08_Attendance_Rules!$C$2:$C$5,MATCH($H182,08_Attendance_Rules!$A$2:$A$5,0)),"Absent",IF($X182&lt;INDEX(08_Attendance_Rules!$B$2:$B$5,MATCH($H182,08_Attendance_Rules!$A$2:$A$5,0)),"Half Day",IF($T182="Y","Half Day","Present")))))</f>
        <v>Present</v>
      </c>
      <c r="AA182" s="9" t="str">
        <f aca="false">IF($X182=0,"-",INT($X182/60)&amp;":"&amp;TEXT(MOD($X182,60),"00"))</f>
        <v>10:11</v>
      </c>
      <c r="AB182" s="9" t="str">
        <f aca="false">IF($Y182=0,"-",INT($Y182/60)&amp;":"&amp;TEXT(MOD($Y182,60),"00"))</f>
        <v>0:11</v>
      </c>
    </row>
    <row r="183" customFormat="false" ht="15" hidden="false" customHeight="true" outlineLevel="0" collapsed="false">
      <c r="A183" s="11" t="s">
        <v>2265</v>
      </c>
      <c r="B183" s="11" t="s">
        <v>986</v>
      </c>
      <c r="C183" s="11" t="s">
        <v>987</v>
      </c>
      <c r="D183" s="11" t="s">
        <v>593</v>
      </c>
      <c r="E183" s="11" t="s">
        <v>2061</v>
      </c>
      <c r="F183" s="11" t="s">
        <v>473</v>
      </c>
      <c r="G183" s="11" t="s">
        <v>473</v>
      </c>
      <c r="H183" s="11" t="n">
        <v>10</v>
      </c>
      <c r="I183" s="11" t="n">
        <v>600</v>
      </c>
      <c r="J183" s="11" t="s">
        <v>2059</v>
      </c>
      <c r="K183" s="11" t="s">
        <v>1925</v>
      </c>
      <c r="L183" s="11" t="s">
        <v>1927</v>
      </c>
      <c r="M183" s="11" t="n">
        <v>613</v>
      </c>
      <c r="N183" s="11" t="n">
        <v>45</v>
      </c>
      <c r="O183" s="11" t="n">
        <v>0</v>
      </c>
      <c r="P183" s="11" t="n">
        <v>0</v>
      </c>
      <c r="Q183" s="11" t="s">
        <v>355</v>
      </c>
      <c r="R183" s="11"/>
      <c r="S183" s="11"/>
      <c r="T183" s="11" t="s">
        <v>226</v>
      </c>
      <c r="U183" s="11" t="s">
        <v>226</v>
      </c>
      <c r="V183" s="11"/>
      <c r="W183" s="11"/>
      <c r="X183" s="11" t="n">
        <f aca="false">$M183-$O183+$P183</f>
        <v>613</v>
      </c>
      <c r="Y183" s="11" t="n">
        <f aca="false">IF($M183=0,0,IF($J183="Working",IF($Q183="All",MAX(0,$M183-$I183),0),IF($Q183="None",0,$M183)))</f>
        <v>13</v>
      </c>
      <c r="Z183" s="24" t="str">
        <f aca="false">IF($J183&lt;&gt;"Working",IF($M183&gt;0,$J183&amp;" — worked",$J183),IF($U183="Y","Present",IF($X183&lt;INDEX(08_Attendance_Rules!$C$2:$C$5,MATCH($H183,08_Attendance_Rules!$A$2:$A$5,0)),"Absent",IF($X183&lt;INDEX(08_Attendance_Rules!$B$2:$B$5,MATCH($H183,08_Attendance_Rules!$A$2:$A$5,0)),"Half Day",IF($T183="Y","Half Day","Present")))))</f>
        <v>Present</v>
      </c>
      <c r="AA183" s="11" t="str">
        <f aca="false">IF($X183=0,"-",INT($X183/60)&amp;":"&amp;TEXT(MOD($X183,60),"00"))</f>
        <v>10:13</v>
      </c>
      <c r="AB183" s="11" t="str">
        <f aca="false">IF($Y183=0,"-",INT($Y183/60)&amp;":"&amp;TEXT(MOD($Y183,60),"00"))</f>
        <v>0:13</v>
      </c>
    </row>
    <row r="184" customFormat="false" ht="15" hidden="false" customHeight="true" outlineLevel="0" collapsed="false">
      <c r="A184" s="9" t="s">
        <v>2266</v>
      </c>
      <c r="B184" s="9" t="s">
        <v>986</v>
      </c>
      <c r="C184" s="9" t="s">
        <v>987</v>
      </c>
      <c r="D184" s="9" t="s">
        <v>1505</v>
      </c>
      <c r="E184" s="9" t="s">
        <v>2063</v>
      </c>
      <c r="F184" s="9" t="s">
        <v>473</v>
      </c>
      <c r="G184" s="9" t="s">
        <v>473</v>
      </c>
      <c r="H184" s="9" t="n">
        <v>10</v>
      </c>
      <c r="I184" s="9" t="n">
        <v>600</v>
      </c>
      <c r="J184" s="9" t="s">
        <v>2059</v>
      </c>
      <c r="K184" s="9" t="s">
        <v>1929</v>
      </c>
      <c r="L184" s="9" t="s">
        <v>1931</v>
      </c>
      <c r="M184" s="9" t="n">
        <v>610</v>
      </c>
      <c r="N184" s="9" t="n">
        <v>45</v>
      </c>
      <c r="O184" s="9" t="n">
        <v>0</v>
      </c>
      <c r="P184" s="9" t="n">
        <v>0</v>
      </c>
      <c r="Q184" s="9" t="s">
        <v>355</v>
      </c>
      <c r="R184" s="9"/>
      <c r="S184" s="9"/>
      <c r="T184" s="9" t="s">
        <v>226</v>
      </c>
      <c r="U184" s="9" t="s">
        <v>226</v>
      </c>
      <c r="V184" s="9"/>
      <c r="W184" s="9"/>
      <c r="X184" s="9" t="n">
        <f aca="false">$M184-$O184+$P184</f>
        <v>610</v>
      </c>
      <c r="Y184" s="9" t="n">
        <f aca="false">IF($M184=0,0,IF($J184="Working",IF($Q184="All",MAX(0,$M184-$I184),0),IF($Q184="None",0,$M184)))</f>
        <v>10</v>
      </c>
      <c r="Z184" s="23" t="str">
        <f aca="false">IF($J184&lt;&gt;"Working",IF($M184&gt;0,$J184&amp;" — worked",$J184),IF($U184="Y","Present",IF($X184&lt;INDEX(08_Attendance_Rules!$C$2:$C$5,MATCH($H184,08_Attendance_Rules!$A$2:$A$5,0)),"Absent",IF($X184&lt;INDEX(08_Attendance_Rules!$B$2:$B$5,MATCH($H184,08_Attendance_Rules!$A$2:$A$5,0)),"Half Day",IF($T184="Y","Half Day","Present")))))</f>
        <v>Present</v>
      </c>
      <c r="AA184" s="9" t="str">
        <f aca="false">IF($X184=0,"-",INT($X184/60)&amp;":"&amp;TEXT(MOD($X184,60),"00"))</f>
        <v>10:10</v>
      </c>
      <c r="AB184" s="9" t="str">
        <f aca="false">IF($Y184=0,"-",INT($Y184/60)&amp;":"&amp;TEXT(MOD($Y184,60),"00"))</f>
        <v>0:10</v>
      </c>
    </row>
    <row r="185" customFormat="false" ht="15" hidden="false" customHeight="true" outlineLevel="0" collapsed="false">
      <c r="A185" s="11" t="s">
        <v>2267</v>
      </c>
      <c r="B185" s="11" t="s">
        <v>986</v>
      </c>
      <c r="C185" s="11" t="s">
        <v>987</v>
      </c>
      <c r="D185" s="11" t="s">
        <v>1511</v>
      </c>
      <c r="E185" s="11" t="s">
        <v>2065</v>
      </c>
      <c r="F185" s="11" t="s">
        <v>473</v>
      </c>
      <c r="G185" s="11" t="s">
        <v>473</v>
      </c>
      <c r="H185" s="11" t="n">
        <v>10</v>
      </c>
      <c r="I185" s="11" t="n">
        <v>600</v>
      </c>
      <c r="J185" s="11" t="s">
        <v>2059</v>
      </c>
      <c r="K185" s="11" t="s">
        <v>470</v>
      </c>
      <c r="L185" s="11" t="s">
        <v>1934</v>
      </c>
      <c r="M185" s="11" t="n">
        <v>614</v>
      </c>
      <c r="N185" s="11" t="n">
        <v>45</v>
      </c>
      <c r="O185" s="11" t="n">
        <v>0</v>
      </c>
      <c r="P185" s="11" t="n">
        <v>0</v>
      </c>
      <c r="Q185" s="11" t="s">
        <v>355</v>
      </c>
      <c r="R185" s="11"/>
      <c r="S185" s="11"/>
      <c r="T185" s="11" t="s">
        <v>226</v>
      </c>
      <c r="U185" s="11" t="s">
        <v>226</v>
      </c>
      <c r="V185" s="11"/>
      <c r="W185" s="11"/>
      <c r="X185" s="11" t="n">
        <f aca="false">$M185-$O185+$P185</f>
        <v>614</v>
      </c>
      <c r="Y185" s="11" t="n">
        <f aca="false">IF($M185=0,0,IF($J185="Working",IF($Q185="All",MAX(0,$M185-$I185),0),IF($Q185="None",0,$M185)))</f>
        <v>14</v>
      </c>
      <c r="Z185" s="24" t="str">
        <f aca="false">IF($J185&lt;&gt;"Working",IF($M185&gt;0,$J185&amp;" — worked",$J185),IF($U185="Y","Present",IF($X185&lt;INDEX(08_Attendance_Rules!$C$2:$C$5,MATCH($H185,08_Attendance_Rules!$A$2:$A$5,0)),"Absent",IF($X185&lt;INDEX(08_Attendance_Rules!$B$2:$B$5,MATCH($H185,08_Attendance_Rules!$A$2:$A$5,0)),"Half Day",IF($T185="Y","Half Day","Present")))))</f>
        <v>Present</v>
      </c>
      <c r="AA185" s="11" t="str">
        <f aca="false">IF($X185=0,"-",INT($X185/60)&amp;":"&amp;TEXT(MOD($X185,60),"00"))</f>
        <v>10:14</v>
      </c>
      <c r="AB185" s="11" t="str">
        <f aca="false">IF($Y185=0,"-",INT($Y185/60)&amp;":"&amp;TEXT(MOD($Y185,60),"00"))</f>
        <v>0:14</v>
      </c>
    </row>
    <row r="186" customFormat="false" ht="15" hidden="false" customHeight="true" outlineLevel="0" collapsed="false">
      <c r="A186" s="9" t="s">
        <v>2268</v>
      </c>
      <c r="B186" s="9" t="s">
        <v>986</v>
      </c>
      <c r="C186" s="9" t="s">
        <v>987</v>
      </c>
      <c r="D186" s="9" t="s">
        <v>1515</v>
      </c>
      <c r="E186" s="9" t="s">
        <v>2067</v>
      </c>
      <c r="F186" s="9" t="s">
        <v>473</v>
      </c>
      <c r="G186" s="9" t="s">
        <v>473</v>
      </c>
      <c r="H186" s="9" t="n">
        <v>10</v>
      </c>
      <c r="I186" s="9" t="n">
        <v>600</v>
      </c>
      <c r="J186" s="9" t="s">
        <v>2059</v>
      </c>
      <c r="K186" s="9" t="s">
        <v>1936</v>
      </c>
      <c r="L186" s="9" t="s">
        <v>1938</v>
      </c>
      <c r="M186" s="9" t="n">
        <v>612</v>
      </c>
      <c r="N186" s="9" t="n">
        <v>45</v>
      </c>
      <c r="O186" s="9" t="n">
        <v>0</v>
      </c>
      <c r="P186" s="9" t="n">
        <v>0</v>
      </c>
      <c r="Q186" s="9" t="s">
        <v>355</v>
      </c>
      <c r="R186" s="9"/>
      <c r="S186" s="9"/>
      <c r="T186" s="9" t="s">
        <v>226</v>
      </c>
      <c r="U186" s="9" t="s">
        <v>226</v>
      </c>
      <c r="V186" s="9"/>
      <c r="W186" s="9"/>
      <c r="X186" s="9" t="n">
        <f aca="false">$M186-$O186+$P186</f>
        <v>612</v>
      </c>
      <c r="Y186" s="9" t="n">
        <f aca="false">IF($M186=0,0,IF($J186="Working",IF($Q186="All",MAX(0,$M186-$I186),0),IF($Q186="None",0,$M186)))</f>
        <v>12</v>
      </c>
      <c r="Z186" s="23" t="str">
        <f aca="false">IF($J186&lt;&gt;"Working",IF($M186&gt;0,$J186&amp;" — worked",$J186),IF($U186="Y","Present",IF($X186&lt;INDEX(08_Attendance_Rules!$C$2:$C$5,MATCH($H186,08_Attendance_Rules!$A$2:$A$5,0)),"Absent",IF($X186&lt;INDEX(08_Attendance_Rules!$B$2:$B$5,MATCH($H186,08_Attendance_Rules!$A$2:$A$5,0)),"Half Day",IF($T186="Y","Half Day","Present")))))</f>
        <v>Present</v>
      </c>
      <c r="AA186" s="9" t="str">
        <f aca="false">IF($X186=0,"-",INT($X186/60)&amp;":"&amp;TEXT(MOD($X186,60),"00"))</f>
        <v>10:12</v>
      </c>
      <c r="AB186" s="9" t="str">
        <f aca="false">IF($Y186=0,"-",INT($Y186/60)&amp;":"&amp;TEXT(MOD($Y186,60),"00"))</f>
        <v>0:12</v>
      </c>
    </row>
    <row r="187" customFormat="false" ht="15" hidden="false" customHeight="true" outlineLevel="0" collapsed="false">
      <c r="A187" s="11" t="s">
        <v>2269</v>
      </c>
      <c r="B187" s="11" t="s">
        <v>986</v>
      </c>
      <c r="C187" s="11" t="s">
        <v>987</v>
      </c>
      <c r="D187" s="11" t="s">
        <v>1359</v>
      </c>
      <c r="E187" s="11" t="s">
        <v>2069</v>
      </c>
      <c r="F187" s="11" t="s">
        <v>473</v>
      </c>
      <c r="G187" s="11" t="s">
        <v>473</v>
      </c>
      <c r="H187" s="11" t="n">
        <v>10</v>
      </c>
      <c r="I187" s="11" t="n">
        <v>600</v>
      </c>
      <c r="J187" s="11" t="s">
        <v>2070</v>
      </c>
      <c r="K187" s="11"/>
      <c r="L187" s="11"/>
      <c r="M187" s="11" t="n">
        <v>0</v>
      </c>
      <c r="N187" s="11" t="n">
        <v>0</v>
      </c>
      <c r="O187" s="11" t="n">
        <v>0</v>
      </c>
      <c r="P187" s="11" t="n">
        <v>0</v>
      </c>
      <c r="Q187" s="11" t="s">
        <v>355</v>
      </c>
      <c r="R187" s="11"/>
      <c r="S187" s="11"/>
      <c r="T187" s="11" t="s">
        <v>226</v>
      </c>
      <c r="U187" s="11" t="s">
        <v>226</v>
      </c>
      <c r="V187" s="11"/>
      <c r="W187" s="11"/>
      <c r="X187" s="11" t="n">
        <f aca="false">$M187-$O187+$P187</f>
        <v>0</v>
      </c>
      <c r="Y187" s="11" t="n">
        <f aca="false">IF($M187=0,0,IF($J187="Working",IF($Q187="All",MAX(0,$M187-$I187),0),IF($Q187="None",0,$M187)))</f>
        <v>0</v>
      </c>
      <c r="Z187" s="24" t="str">
        <f aca="false">IF($J187&lt;&gt;"Working",IF($M187&gt;0,$J187&amp;" — worked",$J187),IF($U187="Y","Present",IF($X187&lt;INDEX(08_Attendance_Rules!$C$2:$C$5,MATCH($H187,08_Attendance_Rules!$A$2:$A$5,0)),"Absent",IF($X187&lt;INDEX(08_Attendance_Rules!$B$2:$B$5,MATCH($H187,08_Attendance_Rules!$A$2:$A$5,0)),"Half Day",IF($T187="Y","Half Day","Present")))))</f>
        <v>Weekly Off</v>
      </c>
      <c r="AA187" s="11" t="str">
        <f aca="false">IF($X187=0,"-",INT($X187/60)&amp;":"&amp;TEXT(MOD($X187,60),"00"))</f>
        <v>-</v>
      </c>
      <c r="AB187" s="11" t="str">
        <f aca="false">IF($Y187=0,"-",INT($Y187/60)&amp;":"&amp;TEXT(MOD($Y187,60),"00"))</f>
        <v>-</v>
      </c>
    </row>
    <row r="188" customFormat="false" ht="15" hidden="false" customHeight="true" outlineLevel="0" collapsed="false">
      <c r="A188" s="9" t="s">
        <v>2270</v>
      </c>
      <c r="B188" s="9" t="s">
        <v>986</v>
      </c>
      <c r="C188" s="9" t="s">
        <v>987</v>
      </c>
      <c r="D188" s="9" t="s">
        <v>1332</v>
      </c>
      <c r="E188" s="9" t="s">
        <v>2072</v>
      </c>
      <c r="F188" s="9" t="s">
        <v>473</v>
      </c>
      <c r="G188" s="9" t="s">
        <v>473</v>
      </c>
      <c r="H188" s="9" t="n">
        <v>10</v>
      </c>
      <c r="I188" s="9" t="n">
        <v>600</v>
      </c>
      <c r="J188" s="9" t="s">
        <v>2059</v>
      </c>
      <c r="K188" s="9" t="s">
        <v>1940</v>
      </c>
      <c r="L188" s="9" t="s">
        <v>1942</v>
      </c>
      <c r="M188" s="9" t="n">
        <v>623</v>
      </c>
      <c r="N188" s="9" t="n">
        <v>45</v>
      </c>
      <c r="O188" s="9" t="n">
        <v>0</v>
      </c>
      <c r="P188" s="9" t="n">
        <v>0</v>
      </c>
      <c r="Q188" s="9" t="s">
        <v>355</v>
      </c>
      <c r="R188" s="9"/>
      <c r="S188" s="9"/>
      <c r="T188" s="9" t="s">
        <v>226</v>
      </c>
      <c r="U188" s="9" t="s">
        <v>226</v>
      </c>
      <c r="V188" s="9"/>
      <c r="W188" s="9"/>
      <c r="X188" s="9" t="n">
        <f aca="false">$M188-$O188+$P188</f>
        <v>623</v>
      </c>
      <c r="Y188" s="9" t="n">
        <f aca="false">IF($M188=0,0,IF($J188="Working",IF($Q188="All",MAX(0,$M188-$I188),0),IF($Q188="None",0,$M188)))</f>
        <v>23</v>
      </c>
      <c r="Z188" s="23" t="str">
        <f aca="false">IF($J188&lt;&gt;"Working",IF($M188&gt;0,$J188&amp;" — worked",$J188),IF($U188="Y","Present",IF($X188&lt;INDEX(08_Attendance_Rules!$C$2:$C$5,MATCH($H188,08_Attendance_Rules!$A$2:$A$5,0)),"Absent",IF($X188&lt;INDEX(08_Attendance_Rules!$B$2:$B$5,MATCH($H188,08_Attendance_Rules!$A$2:$A$5,0)),"Half Day",IF($T188="Y","Half Day","Present")))))</f>
        <v>Present</v>
      </c>
      <c r="AA188" s="9" t="str">
        <f aca="false">IF($X188=0,"-",INT($X188/60)&amp;":"&amp;TEXT(MOD($X188,60),"00"))</f>
        <v>10:23</v>
      </c>
      <c r="AB188" s="9" t="str">
        <f aca="false">IF($Y188=0,"-",INT($Y188/60)&amp;":"&amp;TEXT(MOD($Y188,60),"00"))</f>
        <v>0:23</v>
      </c>
    </row>
    <row r="189" customFormat="false" ht="15" hidden="false" customHeight="true" outlineLevel="0" collapsed="false">
      <c r="A189" s="11" t="s">
        <v>2271</v>
      </c>
      <c r="B189" s="11" t="s">
        <v>986</v>
      </c>
      <c r="C189" s="11" t="s">
        <v>987</v>
      </c>
      <c r="D189" s="11" t="s">
        <v>1524</v>
      </c>
      <c r="E189" s="11" t="s">
        <v>2058</v>
      </c>
      <c r="F189" s="11" t="s">
        <v>473</v>
      </c>
      <c r="G189" s="11" t="s">
        <v>473</v>
      </c>
      <c r="H189" s="11" t="n">
        <v>10</v>
      </c>
      <c r="I189" s="11" t="n">
        <v>600</v>
      </c>
      <c r="J189" s="11" t="s">
        <v>2059</v>
      </c>
      <c r="K189" s="11" t="s">
        <v>1944</v>
      </c>
      <c r="L189" s="11" t="s">
        <v>1946</v>
      </c>
      <c r="M189" s="11" t="n">
        <v>606</v>
      </c>
      <c r="N189" s="11" t="n">
        <v>45</v>
      </c>
      <c r="O189" s="11" t="n">
        <v>0</v>
      </c>
      <c r="P189" s="11" t="n">
        <v>0</v>
      </c>
      <c r="Q189" s="11" t="s">
        <v>355</v>
      </c>
      <c r="R189" s="11"/>
      <c r="S189" s="11"/>
      <c r="T189" s="11" t="s">
        <v>226</v>
      </c>
      <c r="U189" s="11" t="s">
        <v>226</v>
      </c>
      <c r="V189" s="11"/>
      <c r="W189" s="11"/>
      <c r="X189" s="11" t="n">
        <f aca="false">$M189-$O189+$P189</f>
        <v>606</v>
      </c>
      <c r="Y189" s="11" t="n">
        <f aca="false">IF($M189=0,0,IF($J189="Working",IF($Q189="All",MAX(0,$M189-$I189),0),IF($Q189="None",0,$M189)))</f>
        <v>6</v>
      </c>
      <c r="Z189" s="24" t="str">
        <f aca="false">IF($J189&lt;&gt;"Working",IF($M189&gt;0,$J189&amp;" — worked",$J189),IF($U189="Y","Present",IF($X189&lt;INDEX(08_Attendance_Rules!$C$2:$C$5,MATCH($H189,08_Attendance_Rules!$A$2:$A$5,0)),"Absent",IF($X189&lt;INDEX(08_Attendance_Rules!$B$2:$B$5,MATCH($H189,08_Attendance_Rules!$A$2:$A$5,0)),"Half Day",IF($T189="Y","Half Day","Present")))))</f>
        <v>Present</v>
      </c>
      <c r="AA189" s="11" t="str">
        <f aca="false">IF($X189=0,"-",INT($X189/60)&amp;":"&amp;TEXT(MOD($X189,60),"00"))</f>
        <v>10:06</v>
      </c>
      <c r="AB189" s="11" t="str">
        <f aca="false">IF($Y189=0,"-",INT($Y189/60)&amp;":"&amp;TEXT(MOD($Y189,60),"00"))</f>
        <v>0:06</v>
      </c>
    </row>
    <row r="190" customFormat="false" ht="15" hidden="false" customHeight="true" outlineLevel="0" collapsed="false">
      <c r="A190" s="9" t="s">
        <v>2272</v>
      </c>
      <c r="B190" s="9" t="s">
        <v>986</v>
      </c>
      <c r="C190" s="9" t="s">
        <v>987</v>
      </c>
      <c r="D190" s="9" t="s">
        <v>1377</v>
      </c>
      <c r="E190" s="9" t="s">
        <v>2061</v>
      </c>
      <c r="F190" s="9" t="s">
        <v>473</v>
      </c>
      <c r="G190" s="9" t="s">
        <v>473</v>
      </c>
      <c r="H190" s="9" t="n">
        <v>10</v>
      </c>
      <c r="I190" s="9" t="n">
        <v>600</v>
      </c>
      <c r="J190" s="9" t="s">
        <v>2059</v>
      </c>
      <c r="K190" s="9" t="s">
        <v>1948</v>
      </c>
      <c r="L190" s="9" t="s">
        <v>1950</v>
      </c>
      <c r="M190" s="9" t="n">
        <v>612</v>
      </c>
      <c r="N190" s="9" t="n">
        <v>45</v>
      </c>
      <c r="O190" s="9" t="n">
        <v>0</v>
      </c>
      <c r="P190" s="9" t="n">
        <v>0</v>
      </c>
      <c r="Q190" s="9" t="s">
        <v>355</v>
      </c>
      <c r="R190" s="9"/>
      <c r="S190" s="9"/>
      <c r="T190" s="9" t="s">
        <v>226</v>
      </c>
      <c r="U190" s="9" t="s">
        <v>226</v>
      </c>
      <c r="V190" s="9"/>
      <c r="W190" s="9"/>
      <c r="X190" s="9" t="n">
        <f aca="false">$M190-$O190+$P190</f>
        <v>612</v>
      </c>
      <c r="Y190" s="9" t="n">
        <f aca="false">IF($M190=0,0,IF($J190="Working",IF($Q190="All",MAX(0,$M190-$I190),0),IF($Q190="None",0,$M190)))</f>
        <v>12</v>
      </c>
      <c r="Z190" s="23" t="str">
        <f aca="false">IF($J190&lt;&gt;"Working",IF($M190&gt;0,$J190&amp;" — worked",$J190),IF($U190="Y","Present",IF($X190&lt;INDEX(08_Attendance_Rules!$C$2:$C$5,MATCH($H190,08_Attendance_Rules!$A$2:$A$5,0)),"Absent",IF($X190&lt;INDEX(08_Attendance_Rules!$B$2:$B$5,MATCH($H190,08_Attendance_Rules!$A$2:$A$5,0)),"Half Day",IF($T190="Y","Half Day","Present")))))</f>
        <v>Present</v>
      </c>
      <c r="AA190" s="9" t="str">
        <f aca="false">IF($X190=0,"-",INT($X190/60)&amp;":"&amp;TEXT(MOD($X190,60),"00"))</f>
        <v>10:12</v>
      </c>
      <c r="AB190" s="9" t="str">
        <f aca="false">IF($Y190=0,"-",INT($Y190/60)&amp;":"&amp;TEXT(MOD($Y190,60),"00"))</f>
        <v>0:12</v>
      </c>
    </row>
    <row r="191" customFormat="false" ht="15" hidden="false" customHeight="true" outlineLevel="0" collapsed="false">
      <c r="A191" s="11" t="s">
        <v>2273</v>
      </c>
      <c r="B191" s="11" t="s">
        <v>986</v>
      </c>
      <c r="C191" s="11" t="s">
        <v>987</v>
      </c>
      <c r="D191" s="11" t="s">
        <v>1355</v>
      </c>
      <c r="E191" s="11" t="s">
        <v>2063</v>
      </c>
      <c r="F191" s="11" t="s">
        <v>473</v>
      </c>
      <c r="G191" s="11" t="s">
        <v>473</v>
      </c>
      <c r="H191" s="11" t="n">
        <v>10</v>
      </c>
      <c r="I191" s="11" t="n">
        <v>600</v>
      </c>
      <c r="J191" s="11" t="s">
        <v>2059</v>
      </c>
      <c r="K191" s="11" t="s">
        <v>1952</v>
      </c>
      <c r="L191" s="11" t="s">
        <v>1954</v>
      </c>
      <c r="M191" s="11" t="n">
        <v>611</v>
      </c>
      <c r="N191" s="11" t="n">
        <v>45</v>
      </c>
      <c r="O191" s="11" t="n">
        <v>0</v>
      </c>
      <c r="P191" s="11" t="n">
        <v>0</v>
      </c>
      <c r="Q191" s="11" t="s">
        <v>355</v>
      </c>
      <c r="R191" s="11" t="n">
        <v>1</v>
      </c>
      <c r="S191" s="11"/>
      <c r="T191" s="11" t="s">
        <v>226</v>
      </c>
      <c r="U191" s="11" t="s">
        <v>226</v>
      </c>
      <c r="V191" s="11"/>
      <c r="W191" s="11"/>
      <c r="X191" s="11" t="n">
        <f aca="false">$M191-$O191+$P191</f>
        <v>611</v>
      </c>
      <c r="Y191" s="11" t="n">
        <f aca="false">IF($M191=0,0,IF($J191="Working",IF($Q191="All",MAX(0,$M191-$I191),0),IF($Q191="None",0,$M191)))</f>
        <v>11</v>
      </c>
      <c r="Z191" s="24" t="str">
        <f aca="false">IF($J191&lt;&gt;"Working",IF($M191&gt;0,$J191&amp;" — worked",$J191),IF($U191="Y","Present",IF($X191&lt;INDEX(08_Attendance_Rules!$C$2:$C$5,MATCH($H191,08_Attendance_Rules!$A$2:$A$5,0)),"Absent",IF($X191&lt;INDEX(08_Attendance_Rules!$B$2:$B$5,MATCH($H191,08_Attendance_Rules!$A$2:$A$5,0)),"Half Day",IF($T191="Y","Half Day","Present")))))</f>
        <v>Present</v>
      </c>
      <c r="AA191" s="11" t="str">
        <f aca="false">IF($X191=0,"-",INT($X191/60)&amp;":"&amp;TEXT(MOD($X191,60),"00"))</f>
        <v>10:11</v>
      </c>
      <c r="AB191" s="11" t="str">
        <f aca="false">IF($Y191=0,"-",INT($Y191/60)&amp;":"&amp;TEXT(MOD($Y191,60),"00"))</f>
        <v>0:11</v>
      </c>
    </row>
    <row r="192" customFormat="false" ht="15" hidden="false" customHeight="true" outlineLevel="0" collapsed="false">
      <c r="A192" s="9" t="s">
        <v>2274</v>
      </c>
      <c r="B192" s="9" t="s">
        <v>986</v>
      </c>
      <c r="C192" s="9" t="s">
        <v>987</v>
      </c>
      <c r="D192" s="9" t="s">
        <v>1459</v>
      </c>
      <c r="E192" s="9" t="s">
        <v>2065</v>
      </c>
      <c r="F192" s="9" t="s">
        <v>473</v>
      </c>
      <c r="G192" s="9" t="s">
        <v>473</v>
      </c>
      <c r="H192" s="9" t="n">
        <v>10</v>
      </c>
      <c r="I192" s="9" t="n">
        <v>600</v>
      </c>
      <c r="J192" s="9" t="s">
        <v>2059</v>
      </c>
      <c r="K192" s="9" t="s">
        <v>1956</v>
      </c>
      <c r="L192" s="9" t="s">
        <v>1958</v>
      </c>
      <c r="M192" s="9" t="n">
        <v>612</v>
      </c>
      <c r="N192" s="9" t="n">
        <v>45</v>
      </c>
      <c r="O192" s="9" t="n">
        <v>0</v>
      </c>
      <c r="P192" s="9" t="n">
        <v>0</v>
      </c>
      <c r="Q192" s="9" t="s">
        <v>355</v>
      </c>
      <c r="R192" s="9"/>
      <c r="S192" s="9"/>
      <c r="T192" s="9" t="s">
        <v>226</v>
      </c>
      <c r="U192" s="9" t="s">
        <v>226</v>
      </c>
      <c r="V192" s="9"/>
      <c r="W192" s="9"/>
      <c r="X192" s="9" t="n">
        <f aca="false">$M192-$O192+$P192</f>
        <v>612</v>
      </c>
      <c r="Y192" s="9" t="n">
        <f aca="false">IF($M192=0,0,IF($J192="Working",IF($Q192="All",MAX(0,$M192-$I192),0),IF($Q192="None",0,$M192)))</f>
        <v>12</v>
      </c>
      <c r="Z192" s="23" t="str">
        <f aca="false">IF($J192&lt;&gt;"Working",IF($M192&gt;0,$J192&amp;" — worked",$J192),IF($U192="Y","Present",IF($X192&lt;INDEX(08_Attendance_Rules!$C$2:$C$5,MATCH($H192,08_Attendance_Rules!$A$2:$A$5,0)),"Absent",IF($X192&lt;INDEX(08_Attendance_Rules!$B$2:$B$5,MATCH($H192,08_Attendance_Rules!$A$2:$A$5,0)),"Half Day",IF($T192="Y","Half Day","Present")))))</f>
        <v>Present</v>
      </c>
      <c r="AA192" s="9" t="str">
        <f aca="false">IF($X192=0,"-",INT($X192/60)&amp;":"&amp;TEXT(MOD($X192,60),"00"))</f>
        <v>10:12</v>
      </c>
      <c r="AB192" s="9" t="str">
        <f aca="false">IF($Y192=0,"-",INT($Y192/60)&amp;":"&amp;TEXT(MOD($Y192,60),"00"))</f>
        <v>0:12</v>
      </c>
    </row>
    <row r="193" customFormat="false" ht="15" hidden="false" customHeight="true" outlineLevel="0" collapsed="false">
      <c r="A193" s="11" t="s">
        <v>2275</v>
      </c>
      <c r="B193" s="11" t="s">
        <v>986</v>
      </c>
      <c r="C193" s="11" t="s">
        <v>987</v>
      </c>
      <c r="D193" s="11" t="s">
        <v>1545</v>
      </c>
      <c r="E193" s="11" t="s">
        <v>2067</v>
      </c>
      <c r="F193" s="11" t="s">
        <v>473</v>
      </c>
      <c r="G193" s="11" t="s">
        <v>473</v>
      </c>
      <c r="H193" s="11" t="n">
        <v>10</v>
      </c>
      <c r="I193" s="11" t="n">
        <v>600</v>
      </c>
      <c r="J193" s="11" t="s">
        <v>2059</v>
      </c>
      <c r="K193" s="11" t="s">
        <v>1960</v>
      </c>
      <c r="L193" s="11" t="s">
        <v>1962</v>
      </c>
      <c r="M193" s="11" t="n">
        <v>617</v>
      </c>
      <c r="N193" s="11" t="n">
        <v>45</v>
      </c>
      <c r="O193" s="11" t="n">
        <v>0</v>
      </c>
      <c r="P193" s="11" t="n">
        <v>0</v>
      </c>
      <c r="Q193" s="11" t="s">
        <v>355</v>
      </c>
      <c r="R193" s="11" t="n">
        <v>2</v>
      </c>
      <c r="S193" s="11"/>
      <c r="T193" s="11" t="s">
        <v>226</v>
      </c>
      <c r="U193" s="11" t="s">
        <v>226</v>
      </c>
      <c r="V193" s="11"/>
      <c r="W193" s="11"/>
      <c r="X193" s="11" t="n">
        <f aca="false">$M193-$O193+$P193</f>
        <v>617</v>
      </c>
      <c r="Y193" s="11" t="n">
        <f aca="false">IF($M193=0,0,IF($J193="Working",IF($Q193="All",MAX(0,$M193-$I193),0),IF($Q193="None",0,$M193)))</f>
        <v>17</v>
      </c>
      <c r="Z193" s="24" t="str">
        <f aca="false">IF($J193&lt;&gt;"Working",IF($M193&gt;0,$J193&amp;" — worked",$J193),IF($U193="Y","Present",IF($X193&lt;INDEX(08_Attendance_Rules!$C$2:$C$5,MATCH($H193,08_Attendance_Rules!$A$2:$A$5,0)),"Absent",IF($X193&lt;INDEX(08_Attendance_Rules!$B$2:$B$5,MATCH($H193,08_Attendance_Rules!$A$2:$A$5,0)),"Half Day",IF($T193="Y","Half Day","Present")))))</f>
        <v>Present</v>
      </c>
      <c r="AA193" s="11" t="str">
        <f aca="false">IF($X193=0,"-",INT($X193/60)&amp;":"&amp;TEXT(MOD($X193,60),"00"))</f>
        <v>10:17</v>
      </c>
      <c r="AB193" s="11" t="str">
        <f aca="false">IF($Y193=0,"-",INT($Y193/60)&amp;":"&amp;TEXT(MOD($Y193,60),"00"))</f>
        <v>0:17</v>
      </c>
    </row>
    <row r="194" customFormat="false" ht="15" hidden="false" customHeight="true" outlineLevel="0" collapsed="false">
      <c r="A194" s="9" t="s">
        <v>2276</v>
      </c>
      <c r="B194" s="9" t="s">
        <v>986</v>
      </c>
      <c r="C194" s="9" t="s">
        <v>987</v>
      </c>
      <c r="D194" s="9" t="s">
        <v>1409</v>
      </c>
      <c r="E194" s="9" t="s">
        <v>2069</v>
      </c>
      <c r="F194" s="9" t="s">
        <v>473</v>
      </c>
      <c r="G194" s="9" t="s">
        <v>473</v>
      </c>
      <c r="H194" s="9" t="n">
        <v>10</v>
      </c>
      <c r="I194" s="9" t="n">
        <v>600</v>
      </c>
      <c r="J194" s="9" t="s">
        <v>2070</v>
      </c>
      <c r="K194" s="9"/>
      <c r="L194" s="9"/>
      <c r="M194" s="9" t="n">
        <v>0</v>
      </c>
      <c r="N194" s="9" t="n">
        <v>0</v>
      </c>
      <c r="O194" s="9" t="n">
        <v>0</v>
      </c>
      <c r="P194" s="9" t="n">
        <v>0</v>
      </c>
      <c r="Q194" s="9" t="s">
        <v>355</v>
      </c>
      <c r="R194" s="9"/>
      <c r="S194" s="9"/>
      <c r="T194" s="9" t="s">
        <v>226</v>
      </c>
      <c r="U194" s="9" t="s">
        <v>226</v>
      </c>
      <c r="V194" s="9"/>
      <c r="W194" s="9"/>
      <c r="X194" s="9" t="n">
        <f aca="false">$M194-$O194+$P194</f>
        <v>0</v>
      </c>
      <c r="Y194" s="9" t="n">
        <f aca="false">IF($M194=0,0,IF($J194="Working",IF($Q194="All",MAX(0,$M194-$I194),0),IF($Q194="None",0,$M194)))</f>
        <v>0</v>
      </c>
      <c r="Z194" s="23" t="str">
        <f aca="false">IF($J194&lt;&gt;"Working",IF($M194&gt;0,$J194&amp;" — worked",$J194),IF($U194="Y","Present",IF($X194&lt;INDEX(08_Attendance_Rules!$C$2:$C$5,MATCH($H194,08_Attendance_Rules!$A$2:$A$5,0)),"Absent",IF($X194&lt;INDEX(08_Attendance_Rules!$B$2:$B$5,MATCH($H194,08_Attendance_Rules!$A$2:$A$5,0)),"Half Day",IF($T194="Y","Half Day","Present")))))</f>
        <v>Weekly Off</v>
      </c>
      <c r="AA194" s="9" t="str">
        <f aca="false">IF($X194=0,"-",INT($X194/60)&amp;":"&amp;TEXT(MOD($X194,60),"00"))</f>
        <v>-</v>
      </c>
      <c r="AB194" s="9" t="str">
        <f aca="false">IF($Y194=0,"-",INT($Y194/60)&amp;":"&amp;TEXT(MOD($Y194,60),"00"))</f>
        <v>-</v>
      </c>
    </row>
    <row r="195" customFormat="false" ht="15" hidden="false" customHeight="true" outlineLevel="0" collapsed="false">
      <c r="A195" s="11" t="s">
        <v>2277</v>
      </c>
      <c r="B195" s="11" t="s">
        <v>986</v>
      </c>
      <c r="C195" s="11" t="s">
        <v>987</v>
      </c>
      <c r="D195" s="11" t="s">
        <v>1337</v>
      </c>
      <c r="E195" s="11" t="s">
        <v>2072</v>
      </c>
      <c r="F195" s="11" t="s">
        <v>473</v>
      </c>
      <c r="G195" s="11" t="s">
        <v>473</v>
      </c>
      <c r="H195" s="11" t="n">
        <v>10</v>
      </c>
      <c r="I195" s="11" t="n">
        <v>600</v>
      </c>
      <c r="J195" s="11" t="s">
        <v>2059</v>
      </c>
      <c r="K195" s="11" t="s">
        <v>470</v>
      </c>
      <c r="L195" s="11" t="s">
        <v>1965</v>
      </c>
      <c r="M195" s="11" t="n">
        <v>610</v>
      </c>
      <c r="N195" s="11" t="n">
        <v>45</v>
      </c>
      <c r="O195" s="11" t="n">
        <v>0</v>
      </c>
      <c r="P195" s="11" t="n">
        <v>0</v>
      </c>
      <c r="Q195" s="11" t="s">
        <v>355</v>
      </c>
      <c r="R195" s="11"/>
      <c r="S195" s="11"/>
      <c r="T195" s="11" t="s">
        <v>226</v>
      </c>
      <c r="U195" s="11" t="s">
        <v>226</v>
      </c>
      <c r="V195" s="11"/>
      <c r="W195" s="11"/>
      <c r="X195" s="11" t="n">
        <f aca="false">$M195-$O195+$P195</f>
        <v>610</v>
      </c>
      <c r="Y195" s="11" t="n">
        <f aca="false">IF($M195=0,0,IF($J195="Working",IF($Q195="All",MAX(0,$M195-$I195),0),IF($Q195="None",0,$M195)))</f>
        <v>10</v>
      </c>
      <c r="Z195" s="24" t="str">
        <f aca="false">IF($J195&lt;&gt;"Working",IF($M195&gt;0,$J195&amp;" — worked",$J195),IF($U195="Y","Present",IF($X195&lt;INDEX(08_Attendance_Rules!$C$2:$C$5,MATCH($H195,08_Attendance_Rules!$A$2:$A$5,0)),"Absent",IF($X195&lt;INDEX(08_Attendance_Rules!$B$2:$B$5,MATCH($H195,08_Attendance_Rules!$A$2:$A$5,0)),"Half Day",IF($T195="Y","Half Day","Present")))))</f>
        <v>Present</v>
      </c>
      <c r="AA195" s="11" t="str">
        <f aca="false">IF($X195=0,"-",INT($X195/60)&amp;":"&amp;TEXT(MOD($X195,60),"00"))</f>
        <v>10:10</v>
      </c>
      <c r="AB195" s="11" t="str">
        <f aca="false">IF($Y195=0,"-",INT($Y195/60)&amp;":"&amp;TEXT(MOD($Y195,60),"00"))</f>
        <v>0:10</v>
      </c>
    </row>
    <row r="196" customFormat="false" ht="15" hidden="false" customHeight="true" outlineLevel="0" collapsed="false">
      <c r="A196" s="9" t="s">
        <v>2278</v>
      </c>
      <c r="B196" s="9" t="s">
        <v>986</v>
      </c>
      <c r="C196" s="9" t="s">
        <v>987</v>
      </c>
      <c r="D196" s="9" t="s">
        <v>531</v>
      </c>
      <c r="E196" s="9" t="s">
        <v>2058</v>
      </c>
      <c r="F196" s="9" t="s">
        <v>473</v>
      </c>
      <c r="G196" s="9" t="s">
        <v>473</v>
      </c>
      <c r="H196" s="9" t="n">
        <v>10</v>
      </c>
      <c r="I196" s="9" t="n">
        <v>600</v>
      </c>
      <c r="J196" s="9" t="s">
        <v>2059</v>
      </c>
      <c r="K196" s="9" t="s">
        <v>1948</v>
      </c>
      <c r="L196" s="9" t="s">
        <v>1923</v>
      </c>
      <c r="M196" s="9" t="n">
        <v>609</v>
      </c>
      <c r="N196" s="9" t="n">
        <v>45</v>
      </c>
      <c r="O196" s="9" t="n">
        <v>0</v>
      </c>
      <c r="P196" s="9" t="n">
        <v>0</v>
      </c>
      <c r="Q196" s="9" t="s">
        <v>355</v>
      </c>
      <c r="R196" s="9"/>
      <c r="S196" s="9"/>
      <c r="T196" s="9" t="s">
        <v>226</v>
      </c>
      <c r="U196" s="9" t="s">
        <v>226</v>
      </c>
      <c r="V196" s="9"/>
      <c r="W196" s="9"/>
      <c r="X196" s="9" t="n">
        <f aca="false">$M196-$O196+$P196</f>
        <v>609</v>
      </c>
      <c r="Y196" s="9" t="n">
        <f aca="false">IF($M196=0,0,IF($J196="Working",IF($Q196="All",MAX(0,$M196-$I196),0),IF($Q196="None",0,$M196)))</f>
        <v>9</v>
      </c>
      <c r="Z196" s="23" t="str">
        <f aca="false">IF($J196&lt;&gt;"Working",IF($M196&gt;0,$J196&amp;" — worked",$J196),IF($U196="Y","Present",IF($X196&lt;INDEX(08_Attendance_Rules!$C$2:$C$5,MATCH($H196,08_Attendance_Rules!$A$2:$A$5,0)),"Absent",IF($X196&lt;INDEX(08_Attendance_Rules!$B$2:$B$5,MATCH($H196,08_Attendance_Rules!$A$2:$A$5,0)),"Half Day",IF($T196="Y","Half Day","Present")))))</f>
        <v>Present</v>
      </c>
      <c r="AA196" s="9" t="str">
        <f aca="false">IF($X196=0,"-",INT($X196/60)&amp;":"&amp;TEXT(MOD($X196,60),"00"))</f>
        <v>10:09</v>
      </c>
      <c r="AB196" s="9" t="str">
        <f aca="false">IF($Y196=0,"-",INT($Y196/60)&amp;":"&amp;TEXT(MOD($Y196,60),"00"))</f>
        <v>0:09</v>
      </c>
    </row>
    <row r="197" customFormat="false" ht="15" hidden="false" customHeight="true" outlineLevel="0" collapsed="false">
      <c r="A197" s="11" t="s">
        <v>2279</v>
      </c>
      <c r="B197" s="11" t="s">
        <v>1068</v>
      </c>
      <c r="C197" s="11" t="s">
        <v>1069</v>
      </c>
      <c r="D197" s="11" t="s">
        <v>1151</v>
      </c>
      <c r="E197" s="11" t="s">
        <v>2058</v>
      </c>
      <c r="F197" s="11" t="s">
        <v>454</v>
      </c>
      <c r="G197" s="11" t="s">
        <v>454</v>
      </c>
      <c r="H197" s="11" t="n">
        <v>12</v>
      </c>
      <c r="I197" s="11" t="n">
        <v>720</v>
      </c>
      <c r="J197" s="11" t="s">
        <v>2059</v>
      </c>
      <c r="K197" s="11" t="s">
        <v>1493</v>
      </c>
      <c r="L197" s="11" t="s">
        <v>1498</v>
      </c>
      <c r="M197" s="11" t="n">
        <v>731</v>
      </c>
      <c r="N197" s="11" t="n">
        <v>60</v>
      </c>
      <c r="O197" s="11" t="n">
        <v>0</v>
      </c>
      <c r="P197" s="11" t="n">
        <v>0</v>
      </c>
      <c r="Q197" s="11" t="s">
        <v>355</v>
      </c>
      <c r="R197" s="11"/>
      <c r="S197" s="11"/>
      <c r="T197" s="11" t="s">
        <v>226</v>
      </c>
      <c r="U197" s="11" t="s">
        <v>226</v>
      </c>
      <c r="V197" s="11"/>
      <c r="W197" s="11"/>
      <c r="X197" s="11" t="n">
        <f aca="false">$M197-$O197+$P197</f>
        <v>731</v>
      </c>
      <c r="Y197" s="11" t="n">
        <f aca="false">IF($M197=0,0,IF($J197="Working",IF($Q197="All",MAX(0,$M197-$I197),0),IF($Q197="None",0,$M197)))</f>
        <v>11</v>
      </c>
      <c r="Z197" s="24" t="str">
        <f aca="false">IF($J197&lt;&gt;"Working",IF($M197&gt;0,$J197&amp;" — worked",$J197),IF($U197="Y","Present",IF($X197&lt;INDEX(08_Attendance_Rules!$C$2:$C$5,MATCH($H197,08_Attendance_Rules!$A$2:$A$5,0)),"Absent",IF($X197&lt;INDEX(08_Attendance_Rules!$B$2:$B$5,MATCH($H197,08_Attendance_Rules!$A$2:$A$5,0)),"Half Day",IF($T197="Y","Half Day","Present")))))</f>
        <v>Present</v>
      </c>
      <c r="AA197" s="11" t="str">
        <f aca="false">IF($X197=0,"-",INT($X197/60)&amp;":"&amp;TEXT(MOD($X197,60),"00"))</f>
        <v>12:11</v>
      </c>
      <c r="AB197" s="11" t="str">
        <f aca="false">IF($Y197=0,"-",INT($Y197/60)&amp;":"&amp;TEXT(MOD($Y197,60),"00"))</f>
        <v>0:11</v>
      </c>
    </row>
    <row r="198" customFormat="false" ht="15" hidden="false" customHeight="true" outlineLevel="0" collapsed="false">
      <c r="A198" s="9" t="s">
        <v>2280</v>
      </c>
      <c r="B198" s="9" t="s">
        <v>1068</v>
      </c>
      <c r="C198" s="9" t="s">
        <v>1069</v>
      </c>
      <c r="D198" s="9" t="s">
        <v>593</v>
      </c>
      <c r="E198" s="9" t="s">
        <v>2061</v>
      </c>
      <c r="F198" s="9" t="s">
        <v>454</v>
      </c>
      <c r="G198" s="9" t="s">
        <v>454</v>
      </c>
      <c r="H198" s="9" t="n">
        <v>12</v>
      </c>
      <c r="I198" s="9" t="n">
        <v>720</v>
      </c>
      <c r="J198" s="9" t="s">
        <v>2059</v>
      </c>
      <c r="K198" s="9" t="s">
        <v>1500</v>
      </c>
      <c r="L198" s="9" t="s">
        <v>1503</v>
      </c>
      <c r="M198" s="9" t="n">
        <v>733</v>
      </c>
      <c r="N198" s="9" t="n">
        <v>60</v>
      </c>
      <c r="O198" s="9" t="n">
        <v>0</v>
      </c>
      <c r="P198" s="9" t="n">
        <v>0</v>
      </c>
      <c r="Q198" s="9" t="s">
        <v>355</v>
      </c>
      <c r="R198" s="9"/>
      <c r="S198" s="9"/>
      <c r="T198" s="9" t="s">
        <v>226</v>
      </c>
      <c r="U198" s="9" t="s">
        <v>226</v>
      </c>
      <c r="V198" s="9"/>
      <c r="W198" s="9"/>
      <c r="X198" s="9" t="n">
        <f aca="false">$M198-$O198+$P198</f>
        <v>733</v>
      </c>
      <c r="Y198" s="9" t="n">
        <f aca="false">IF($M198=0,0,IF($J198="Working",IF($Q198="All",MAX(0,$M198-$I198),0),IF($Q198="None",0,$M198)))</f>
        <v>13</v>
      </c>
      <c r="Z198" s="23" t="str">
        <f aca="false">IF($J198&lt;&gt;"Working",IF($M198&gt;0,$J198&amp;" — worked",$J198),IF($U198="Y","Present",IF($X198&lt;INDEX(08_Attendance_Rules!$C$2:$C$5,MATCH($H198,08_Attendance_Rules!$A$2:$A$5,0)),"Absent",IF($X198&lt;INDEX(08_Attendance_Rules!$B$2:$B$5,MATCH($H198,08_Attendance_Rules!$A$2:$A$5,0)),"Half Day",IF($T198="Y","Half Day","Present")))))</f>
        <v>Present</v>
      </c>
      <c r="AA198" s="9" t="str">
        <f aca="false">IF($X198=0,"-",INT($X198/60)&amp;":"&amp;TEXT(MOD($X198,60),"00"))</f>
        <v>12:13</v>
      </c>
      <c r="AB198" s="9" t="str">
        <f aca="false">IF($Y198=0,"-",INT($Y198/60)&amp;":"&amp;TEXT(MOD($Y198,60),"00"))</f>
        <v>0:13</v>
      </c>
    </row>
    <row r="199" customFormat="false" ht="15" hidden="false" customHeight="true" outlineLevel="0" collapsed="false">
      <c r="A199" s="11" t="s">
        <v>2281</v>
      </c>
      <c r="B199" s="11" t="s">
        <v>1068</v>
      </c>
      <c r="C199" s="11" t="s">
        <v>1069</v>
      </c>
      <c r="D199" s="11" t="s">
        <v>1505</v>
      </c>
      <c r="E199" s="11" t="s">
        <v>2063</v>
      </c>
      <c r="F199" s="11" t="s">
        <v>454</v>
      </c>
      <c r="G199" s="11" t="s">
        <v>454</v>
      </c>
      <c r="H199" s="11" t="n">
        <v>12</v>
      </c>
      <c r="I199" s="11" t="n">
        <v>720</v>
      </c>
      <c r="J199" s="11" t="s">
        <v>2059</v>
      </c>
      <c r="K199" s="11" t="s">
        <v>1506</v>
      </c>
      <c r="L199" s="11" t="s">
        <v>1509</v>
      </c>
      <c r="M199" s="11" t="n">
        <v>730</v>
      </c>
      <c r="N199" s="11" t="n">
        <v>60</v>
      </c>
      <c r="O199" s="11" t="n">
        <v>0</v>
      </c>
      <c r="P199" s="11" t="n">
        <v>0</v>
      </c>
      <c r="Q199" s="11" t="s">
        <v>355</v>
      </c>
      <c r="R199" s="11"/>
      <c r="S199" s="11"/>
      <c r="T199" s="11" t="s">
        <v>226</v>
      </c>
      <c r="U199" s="11" t="s">
        <v>226</v>
      </c>
      <c r="V199" s="11"/>
      <c r="W199" s="11"/>
      <c r="X199" s="11" t="n">
        <f aca="false">$M199-$O199+$P199</f>
        <v>730</v>
      </c>
      <c r="Y199" s="11" t="n">
        <f aca="false">IF($M199=0,0,IF($J199="Working",IF($Q199="All",MAX(0,$M199-$I199),0),IF($Q199="None",0,$M199)))</f>
        <v>10</v>
      </c>
      <c r="Z199" s="24" t="str">
        <f aca="false">IF($J199&lt;&gt;"Working",IF($M199&gt;0,$J199&amp;" — worked",$J199),IF($U199="Y","Present",IF($X199&lt;INDEX(08_Attendance_Rules!$C$2:$C$5,MATCH($H199,08_Attendance_Rules!$A$2:$A$5,0)),"Absent",IF($X199&lt;INDEX(08_Attendance_Rules!$B$2:$B$5,MATCH($H199,08_Attendance_Rules!$A$2:$A$5,0)),"Half Day",IF($T199="Y","Half Day","Present")))))</f>
        <v>Present</v>
      </c>
      <c r="AA199" s="11" t="str">
        <f aca="false">IF($X199=0,"-",INT($X199/60)&amp;":"&amp;TEXT(MOD($X199,60),"00"))</f>
        <v>12:10</v>
      </c>
      <c r="AB199" s="11" t="str">
        <f aca="false">IF($Y199=0,"-",INT($Y199/60)&amp;":"&amp;TEXT(MOD($Y199,60),"00"))</f>
        <v>0:10</v>
      </c>
    </row>
    <row r="200" customFormat="false" ht="15" hidden="false" customHeight="true" outlineLevel="0" collapsed="false">
      <c r="A200" s="9" t="s">
        <v>2282</v>
      </c>
      <c r="B200" s="9" t="s">
        <v>1068</v>
      </c>
      <c r="C200" s="9" t="s">
        <v>1069</v>
      </c>
      <c r="D200" s="9" t="s">
        <v>1511</v>
      </c>
      <c r="E200" s="9" t="s">
        <v>2065</v>
      </c>
      <c r="F200" s="9" t="s">
        <v>454</v>
      </c>
      <c r="G200" s="9" t="s">
        <v>454</v>
      </c>
      <c r="H200" s="9" t="n">
        <v>12</v>
      </c>
      <c r="I200" s="9" t="n">
        <v>720</v>
      </c>
      <c r="J200" s="9" t="s">
        <v>2059</v>
      </c>
      <c r="K200" s="9" t="s">
        <v>457</v>
      </c>
      <c r="L200" s="9" t="s">
        <v>1513</v>
      </c>
      <c r="M200" s="9" t="n">
        <v>734</v>
      </c>
      <c r="N200" s="9" t="n">
        <v>60</v>
      </c>
      <c r="O200" s="9" t="n">
        <v>0</v>
      </c>
      <c r="P200" s="9" t="n">
        <v>0</v>
      </c>
      <c r="Q200" s="9" t="s">
        <v>355</v>
      </c>
      <c r="R200" s="9"/>
      <c r="S200" s="9"/>
      <c r="T200" s="9" t="s">
        <v>226</v>
      </c>
      <c r="U200" s="9" t="s">
        <v>226</v>
      </c>
      <c r="V200" s="9"/>
      <c r="W200" s="9"/>
      <c r="X200" s="9" t="n">
        <f aca="false">$M200-$O200+$P200</f>
        <v>734</v>
      </c>
      <c r="Y200" s="9" t="n">
        <f aca="false">IF($M200=0,0,IF($J200="Working",IF($Q200="All",MAX(0,$M200-$I200),0),IF($Q200="None",0,$M200)))</f>
        <v>14</v>
      </c>
      <c r="Z200" s="23" t="str">
        <f aca="false">IF($J200&lt;&gt;"Working",IF($M200&gt;0,$J200&amp;" — worked",$J200),IF($U200="Y","Present",IF($X200&lt;INDEX(08_Attendance_Rules!$C$2:$C$5,MATCH($H200,08_Attendance_Rules!$A$2:$A$5,0)),"Absent",IF($X200&lt;INDEX(08_Attendance_Rules!$B$2:$B$5,MATCH($H200,08_Attendance_Rules!$A$2:$A$5,0)),"Half Day",IF($T200="Y","Half Day","Present")))))</f>
        <v>Present</v>
      </c>
      <c r="AA200" s="9" t="str">
        <f aca="false">IF($X200=0,"-",INT($X200/60)&amp;":"&amp;TEXT(MOD($X200,60),"00"))</f>
        <v>12:14</v>
      </c>
      <c r="AB200" s="9" t="str">
        <f aca="false">IF($Y200=0,"-",INT($Y200/60)&amp;":"&amp;TEXT(MOD($Y200,60),"00"))</f>
        <v>0:14</v>
      </c>
    </row>
    <row r="201" customFormat="false" ht="15" hidden="false" customHeight="true" outlineLevel="0" collapsed="false">
      <c r="A201" s="11" t="s">
        <v>2283</v>
      </c>
      <c r="B201" s="11" t="s">
        <v>1068</v>
      </c>
      <c r="C201" s="11" t="s">
        <v>1069</v>
      </c>
      <c r="D201" s="11" t="s">
        <v>1515</v>
      </c>
      <c r="E201" s="11" t="s">
        <v>2067</v>
      </c>
      <c r="F201" s="11" t="s">
        <v>454</v>
      </c>
      <c r="G201" s="11" t="s">
        <v>454</v>
      </c>
      <c r="H201" s="11" t="n">
        <v>12</v>
      </c>
      <c r="I201" s="11" t="n">
        <v>720</v>
      </c>
      <c r="J201" s="11" t="s">
        <v>2059</v>
      </c>
      <c r="K201" s="11" t="s">
        <v>1516</v>
      </c>
      <c r="L201" s="11" t="s">
        <v>1518</v>
      </c>
      <c r="M201" s="11" t="n">
        <v>732</v>
      </c>
      <c r="N201" s="11" t="n">
        <v>60</v>
      </c>
      <c r="O201" s="11" t="n">
        <v>0</v>
      </c>
      <c r="P201" s="11" t="n">
        <v>0</v>
      </c>
      <c r="Q201" s="11" t="s">
        <v>355</v>
      </c>
      <c r="R201" s="11"/>
      <c r="S201" s="11"/>
      <c r="T201" s="11" t="s">
        <v>226</v>
      </c>
      <c r="U201" s="11" t="s">
        <v>226</v>
      </c>
      <c r="V201" s="11"/>
      <c r="W201" s="11"/>
      <c r="X201" s="11" t="n">
        <f aca="false">$M201-$O201+$P201</f>
        <v>732</v>
      </c>
      <c r="Y201" s="11" t="n">
        <f aca="false">IF($M201=0,0,IF($J201="Working",IF($Q201="All",MAX(0,$M201-$I201),0),IF($Q201="None",0,$M201)))</f>
        <v>12</v>
      </c>
      <c r="Z201" s="24" t="str">
        <f aca="false">IF($J201&lt;&gt;"Working",IF($M201&gt;0,$J201&amp;" — worked",$J201),IF($U201="Y","Present",IF($X201&lt;INDEX(08_Attendance_Rules!$C$2:$C$5,MATCH($H201,08_Attendance_Rules!$A$2:$A$5,0)),"Absent",IF($X201&lt;INDEX(08_Attendance_Rules!$B$2:$B$5,MATCH($H201,08_Attendance_Rules!$A$2:$A$5,0)),"Half Day",IF($T201="Y","Half Day","Present")))))</f>
        <v>Present</v>
      </c>
      <c r="AA201" s="11" t="str">
        <f aca="false">IF($X201=0,"-",INT($X201/60)&amp;":"&amp;TEXT(MOD($X201,60),"00"))</f>
        <v>12:12</v>
      </c>
      <c r="AB201" s="11" t="str">
        <f aca="false">IF($Y201=0,"-",INT($Y201/60)&amp;":"&amp;TEXT(MOD($Y201,60),"00"))</f>
        <v>0:12</v>
      </c>
    </row>
    <row r="202" customFormat="false" ht="15" hidden="false" customHeight="true" outlineLevel="0" collapsed="false">
      <c r="A202" s="9" t="s">
        <v>2284</v>
      </c>
      <c r="B202" s="9" t="s">
        <v>1068</v>
      </c>
      <c r="C202" s="9" t="s">
        <v>1069</v>
      </c>
      <c r="D202" s="9" t="s">
        <v>1359</v>
      </c>
      <c r="E202" s="9" t="s">
        <v>2069</v>
      </c>
      <c r="F202" s="9" t="s">
        <v>454</v>
      </c>
      <c r="G202" s="9" t="s">
        <v>454</v>
      </c>
      <c r="H202" s="9" t="n">
        <v>12</v>
      </c>
      <c r="I202" s="9" t="n">
        <v>720</v>
      </c>
      <c r="J202" s="9" t="s">
        <v>2070</v>
      </c>
      <c r="K202" s="9"/>
      <c r="L202" s="9"/>
      <c r="M202" s="9" t="n">
        <v>0</v>
      </c>
      <c r="N202" s="9" t="n">
        <v>0</v>
      </c>
      <c r="O202" s="9" t="n">
        <v>0</v>
      </c>
      <c r="P202" s="9" t="n">
        <v>0</v>
      </c>
      <c r="Q202" s="9" t="s">
        <v>355</v>
      </c>
      <c r="R202" s="9"/>
      <c r="S202" s="9"/>
      <c r="T202" s="9" t="s">
        <v>226</v>
      </c>
      <c r="U202" s="9" t="s">
        <v>226</v>
      </c>
      <c r="V202" s="9"/>
      <c r="W202" s="9"/>
      <c r="X202" s="9" t="n">
        <f aca="false">$M202-$O202+$P202</f>
        <v>0</v>
      </c>
      <c r="Y202" s="9" t="n">
        <f aca="false">IF($M202=0,0,IF($J202="Working",IF($Q202="All",MAX(0,$M202-$I202),0),IF($Q202="None",0,$M202)))</f>
        <v>0</v>
      </c>
      <c r="Z202" s="23" t="str">
        <f aca="false">IF($J202&lt;&gt;"Working",IF($M202&gt;0,$J202&amp;" — worked",$J202),IF($U202="Y","Present",IF($X202&lt;INDEX(08_Attendance_Rules!$C$2:$C$5,MATCH($H202,08_Attendance_Rules!$A$2:$A$5,0)),"Absent",IF($X202&lt;INDEX(08_Attendance_Rules!$B$2:$B$5,MATCH($H202,08_Attendance_Rules!$A$2:$A$5,0)),"Half Day",IF($T202="Y","Half Day","Present")))))</f>
        <v>Weekly Off</v>
      </c>
      <c r="AA202" s="9" t="str">
        <f aca="false">IF($X202=0,"-",INT($X202/60)&amp;":"&amp;TEXT(MOD($X202,60),"00"))</f>
        <v>-</v>
      </c>
      <c r="AB202" s="9" t="str">
        <f aca="false">IF($Y202=0,"-",INT($Y202/60)&amp;":"&amp;TEXT(MOD($Y202,60),"00"))</f>
        <v>-</v>
      </c>
    </row>
    <row r="203" customFormat="false" ht="15" hidden="false" customHeight="true" outlineLevel="0" collapsed="false">
      <c r="A203" s="11" t="s">
        <v>2285</v>
      </c>
      <c r="B203" s="11" t="s">
        <v>1068</v>
      </c>
      <c r="C203" s="11" t="s">
        <v>1069</v>
      </c>
      <c r="D203" s="11" t="s">
        <v>1332</v>
      </c>
      <c r="E203" s="11" t="s">
        <v>2072</v>
      </c>
      <c r="F203" s="11" t="s">
        <v>454</v>
      </c>
      <c r="G203" s="11" t="s">
        <v>454</v>
      </c>
      <c r="H203" s="11" t="n">
        <v>12</v>
      </c>
      <c r="I203" s="11" t="n">
        <v>720</v>
      </c>
      <c r="J203" s="11" t="s">
        <v>2059</v>
      </c>
      <c r="K203" s="11" t="s">
        <v>1520</v>
      </c>
      <c r="L203" s="11" t="s">
        <v>1522</v>
      </c>
      <c r="M203" s="11" t="n">
        <v>743</v>
      </c>
      <c r="N203" s="11" t="n">
        <v>60</v>
      </c>
      <c r="O203" s="11" t="n">
        <v>0</v>
      </c>
      <c r="P203" s="11" t="n">
        <v>0</v>
      </c>
      <c r="Q203" s="11" t="s">
        <v>355</v>
      </c>
      <c r="R203" s="11"/>
      <c r="S203" s="11"/>
      <c r="T203" s="11" t="s">
        <v>226</v>
      </c>
      <c r="U203" s="11" t="s">
        <v>226</v>
      </c>
      <c r="V203" s="11"/>
      <c r="W203" s="11"/>
      <c r="X203" s="11" t="n">
        <f aca="false">$M203-$O203+$P203</f>
        <v>743</v>
      </c>
      <c r="Y203" s="11" t="n">
        <f aca="false">IF($M203=0,0,IF($J203="Working",IF($Q203="All",MAX(0,$M203-$I203),0),IF($Q203="None",0,$M203)))</f>
        <v>23</v>
      </c>
      <c r="Z203" s="24" t="str">
        <f aca="false">IF($J203&lt;&gt;"Working",IF($M203&gt;0,$J203&amp;" — worked",$J203),IF($U203="Y","Present",IF($X203&lt;INDEX(08_Attendance_Rules!$C$2:$C$5,MATCH($H203,08_Attendance_Rules!$A$2:$A$5,0)),"Absent",IF($X203&lt;INDEX(08_Attendance_Rules!$B$2:$B$5,MATCH($H203,08_Attendance_Rules!$A$2:$A$5,0)),"Half Day",IF($T203="Y","Half Day","Present")))))</f>
        <v>Present</v>
      </c>
      <c r="AA203" s="11" t="str">
        <f aca="false">IF($X203=0,"-",INT($X203/60)&amp;":"&amp;TEXT(MOD($X203,60),"00"))</f>
        <v>12:23</v>
      </c>
      <c r="AB203" s="11" t="str">
        <f aca="false">IF($Y203=0,"-",INT($Y203/60)&amp;":"&amp;TEXT(MOD($Y203,60),"00"))</f>
        <v>0:23</v>
      </c>
    </row>
    <row r="204" customFormat="false" ht="15" hidden="false" customHeight="true" outlineLevel="0" collapsed="false">
      <c r="A204" s="9" t="s">
        <v>2286</v>
      </c>
      <c r="B204" s="9" t="s">
        <v>1068</v>
      </c>
      <c r="C204" s="9" t="s">
        <v>1069</v>
      </c>
      <c r="D204" s="9" t="s">
        <v>1524</v>
      </c>
      <c r="E204" s="9" t="s">
        <v>2058</v>
      </c>
      <c r="F204" s="9" t="s">
        <v>454</v>
      </c>
      <c r="G204" s="9" t="s">
        <v>454</v>
      </c>
      <c r="H204" s="9" t="n">
        <v>12</v>
      </c>
      <c r="I204" s="9" t="n">
        <v>720</v>
      </c>
      <c r="J204" s="9" t="s">
        <v>2059</v>
      </c>
      <c r="K204" s="9" t="s">
        <v>472</v>
      </c>
      <c r="L204" s="9" t="s">
        <v>1571</v>
      </c>
      <c r="M204" s="9" t="n">
        <v>726</v>
      </c>
      <c r="N204" s="9" t="n">
        <v>60</v>
      </c>
      <c r="O204" s="9" t="n">
        <v>0</v>
      </c>
      <c r="P204" s="9" t="n">
        <v>0</v>
      </c>
      <c r="Q204" s="9" t="s">
        <v>355</v>
      </c>
      <c r="R204" s="9"/>
      <c r="S204" s="9"/>
      <c r="T204" s="9" t="s">
        <v>226</v>
      </c>
      <c r="U204" s="9" t="s">
        <v>226</v>
      </c>
      <c r="V204" s="9"/>
      <c r="W204" s="9"/>
      <c r="X204" s="9" t="n">
        <f aca="false">$M204-$O204+$P204</f>
        <v>726</v>
      </c>
      <c r="Y204" s="9" t="n">
        <f aca="false">IF($M204=0,0,IF($J204="Working",IF($Q204="All",MAX(0,$M204-$I204),0),IF($Q204="None",0,$M204)))</f>
        <v>6</v>
      </c>
      <c r="Z204" s="23" t="str">
        <f aca="false">IF($J204&lt;&gt;"Working",IF($M204&gt;0,$J204&amp;" — worked",$J204),IF($U204="Y","Present",IF($X204&lt;INDEX(08_Attendance_Rules!$C$2:$C$5,MATCH($H204,08_Attendance_Rules!$A$2:$A$5,0)),"Absent",IF($X204&lt;INDEX(08_Attendance_Rules!$B$2:$B$5,MATCH($H204,08_Attendance_Rules!$A$2:$A$5,0)),"Half Day",IF($T204="Y","Half Day","Present")))))</f>
        <v>Present</v>
      </c>
      <c r="AA204" s="9" t="str">
        <f aca="false">IF($X204=0,"-",INT($X204/60)&amp;":"&amp;TEXT(MOD($X204,60),"00"))</f>
        <v>12:06</v>
      </c>
      <c r="AB204" s="9" t="str">
        <f aca="false">IF($Y204=0,"-",INT($Y204/60)&amp;":"&amp;TEXT(MOD($Y204,60),"00"))</f>
        <v>0:06</v>
      </c>
    </row>
    <row r="205" customFormat="false" ht="15" hidden="false" customHeight="true" outlineLevel="0" collapsed="false">
      <c r="A205" s="11" t="s">
        <v>2287</v>
      </c>
      <c r="B205" s="11" t="s">
        <v>1068</v>
      </c>
      <c r="C205" s="11" t="s">
        <v>1069</v>
      </c>
      <c r="D205" s="11" t="s">
        <v>1377</v>
      </c>
      <c r="E205" s="11" t="s">
        <v>2061</v>
      </c>
      <c r="F205" s="11" t="s">
        <v>454</v>
      </c>
      <c r="G205" s="11" t="s">
        <v>454</v>
      </c>
      <c r="H205" s="11" t="n">
        <v>12</v>
      </c>
      <c r="I205" s="11" t="n">
        <v>720</v>
      </c>
      <c r="J205" s="11" t="s">
        <v>2059</v>
      </c>
      <c r="K205" s="11" t="s">
        <v>1552</v>
      </c>
      <c r="L205" s="11" t="s">
        <v>1574</v>
      </c>
      <c r="M205" s="11" t="n">
        <v>732</v>
      </c>
      <c r="N205" s="11" t="n">
        <v>60</v>
      </c>
      <c r="O205" s="11" t="n">
        <v>0</v>
      </c>
      <c r="P205" s="11" t="n">
        <v>0</v>
      </c>
      <c r="Q205" s="11" t="s">
        <v>355</v>
      </c>
      <c r="R205" s="11"/>
      <c r="S205" s="11"/>
      <c r="T205" s="11" t="s">
        <v>226</v>
      </c>
      <c r="U205" s="11" t="s">
        <v>226</v>
      </c>
      <c r="V205" s="11"/>
      <c r="W205" s="11"/>
      <c r="X205" s="11" t="n">
        <f aca="false">$M205-$O205+$P205</f>
        <v>732</v>
      </c>
      <c r="Y205" s="11" t="n">
        <f aca="false">IF($M205=0,0,IF($J205="Working",IF($Q205="All",MAX(0,$M205-$I205),0),IF($Q205="None",0,$M205)))</f>
        <v>12</v>
      </c>
      <c r="Z205" s="24" t="str">
        <f aca="false">IF($J205&lt;&gt;"Working",IF($M205&gt;0,$J205&amp;" — worked",$J205),IF($U205="Y","Present",IF($X205&lt;INDEX(08_Attendance_Rules!$C$2:$C$5,MATCH($H205,08_Attendance_Rules!$A$2:$A$5,0)),"Absent",IF($X205&lt;INDEX(08_Attendance_Rules!$B$2:$B$5,MATCH($H205,08_Attendance_Rules!$A$2:$A$5,0)),"Half Day",IF($T205="Y","Half Day","Present")))))</f>
        <v>Present</v>
      </c>
      <c r="AA205" s="11" t="str">
        <f aca="false">IF($X205=0,"-",INT($X205/60)&amp;":"&amp;TEXT(MOD($X205,60),"00"))</f>
        <v>12:12</v>
      </c>
      <c r="AB205" s="11" t="str">
        <f aca="false">IF($Y205=0,"-",INT($Y205/60)&amp;":"&amp;TEXT(MOD($Y205,60),"00"))</f>
        <v>0:12</v>
      </c>
    </row>
    <row r="206" customFormat="false" ht="15" hidden="false" customHeight="true" outlineLevel="0" collapsed="false">
      <c r="A206" s="9" t="s">
        <v>2288</v>
      </c>
      <c r="B206" s="9" t="s">
        <v>1068</v>
      </c>
      <c r="C206" s="9" t="s">
        <v>1069</v>
      </c>
      <c r="D206" s="9" t="s">
        <v>1355</v>
      </c>
      <c r="E206" s="9" t="s">
        <v>2063</v>
      </c>
      <c r="F206" s="9" t="s">
        <v>454</v>
      </c>
      <c r="G206" s="9" t="s">
        <v>454</v>
      </c>
      <c r="H206" s="9" t="n">
        <v>12</v>
      </c>
      <c r="I206" s="9" t="n">
        <v>720</v>
      </c>
      <c r="J206" s="9" t="s">
        <v>2059</v>
      </c>
      <c r="K206" s="9" t="s">
        <v>1537</v>
      </c>
      <c r="L206" s="9" t="s">
        <v>1539</v>
      </c>
      <c r="M206" s="9" t="n">
        <v>731</v>
      </c>
      <c r="N206" s="9" t="n">
        <v>60</v>
      </c>
      <c r="O206" s="9" t="n">
        <v>0</v>
      </c>
      <c r="P206" s="9" t="n">
        <v>0</v>
      </c>
      <c r="Q206" s="9" t="s">
        <v>355</v>
      </c>
      <c r="R206" s="9" t="n">
        <v>1</v>
      </c>
      <c r="S206" s="9"/>
      <c r="T206" s="9" t="s">
        <v>226</v>
      </c>
      <c r="U206" s="9" t="s">
        <v>226</v>
      </c>
      <c r="V206" s="9"/>
      <c r="W206" s="9"/>
      <c r="X206" s="9" t="n">
        <f aca="false">$M206-$O206+$P206</f>
        <v>731</v>
      </c>
      <c r="Y206" s="9" t="n">
        <f aca="false">IF($M206=0,0,IF($J206="Working",IF($Q206="All",MAX(0,$M206-$I206),0),IF($Q206="None",0,$M206)))</f>
        <v>11</v>
      </c>
      <c r="Z206" s="23" t="str">
        <f aca="false">IF($J206&lt;&gt;"Working",IF($M206&gt;0,$J206&amp;" — worked",$J206),IF($U206="Y","Present",IF($X206&lt;INDEX(08_Attendance_Rules!$C$2:$C$5,MATCH($H206,08_Attendance_Rules!$A$2:$A$5,0)),"Absent",IF($X206&lt;INDEX(08_Attendance_Rules!$B$2:$B$5,MATCH($H206,08_Attendance_Rules!$A$2:$A$5,0)),"Half Day",IF($T206="Y","Half Day","Present")))))</f>
        <v>Present</v>
      </c>
      <c r="AA206" s="9" t="str">
        <f aca="false">IF($X206=0,"-",INT($X206/60)&amp;":"&amp;TEXT(MOD($X206,60),"00"))</f>
        <v>12:11</v>
      </c>
      <c r="AB206" s="9" t="str">
        <f aca="false">IF($Y206=0,"-",INT($Y206/60)&amp;":"&amp;TEXT(MOD($Y206,60),"00"))</f>
        <v>0:11</v>
      </c>
    </row>
    <row r="207" customFormat="false" ht="15" hidden="false" customHeight="true" outlineLevel="0" collapsed="false">
      <c r="A207" s="11" t="s">
        <v>2289</v>
      </c>
      <c r="B207" s="11" t="s">
        <v>1068</v>
      </c>
      <c r="C207" s="11" t="s">
        <v>1069</v>
      </c>
      <c r="D207" s="11" t="s">
        <v>1459</v>
      </c>
      <c r="E207" s="11" t="s">
        <v>2065</v>
      </c>
      <c r="F207" s="11" t="s">
        <v>454</v>
      </c>
      <c r="G207" s="11" t="s">
        <v>454</v>
      </c>
      <c r="H207" s="11" t="n">
        <v>12</v>
      </c>
      <c r="I207" s="11" t="n">
        <v>720</v>
      </c>
      <c r="J207" s="11" t="s">
        <v>2059</v>
      </c>
      <c r="K207" s="11" t="s">
        <v>1541</v>
      </c>
      <c r="L207" s="11" t="s">
        <v>1543</v>
      </c>
      <c r="M207" s="11" t="n">
        <v>732</v>
      </c>
      <c r="N207" s="11" t="n">
        <v>60</v>
      </c>
      <c r="O207" s="11" t="n">
        <v>0</v>
      </c>
      <c r="P207" s="11" t="n">
        <v>0</v>
      </c>
      <c r="Q207" s="11" t="s">
        <v>355</v>
      </c>
      <c r="R207" s="11"/>
      <c r="S207" s="11"/>
      <c r="T207" s="11" t="s">
        <v>226</v>
      </c>
      <c r="U207" s="11" t="s">
        <v>226</v>
      </c>
      <c r="V207" s="11"/>
      <c r="W207" s="11"/>
      <c r="X207" s="11" t="n">
        <f aca="false">$M207-$O207+$P207</f>
        <v>732</v>
      </c>
      <c r="Y207" s="11" t="n">
        <f aca="false">IF($M207=0,0,IF($J207="Working",IF($Q207="All",MAX(0,$M207-$I207),0),IF($Q207="None",0,$M207)))</f>
        <v>12</v>
      </c>
      <c r="Z207" s="24" t="str">
        <f aca="false">IF($J207&lt;&gt;"Working",IF($M207&gt;0,$J207&amp;" — worked",$J207),IF($U207="Y","Present",IF($X207&lt;INDEX(08_Attendance_Rules!$C$2:$C$5,MATCH($H207,08_Attendance_Rules!$A$2:$A$5,0)),"Absent",IF($X207&lt;INDEX(08_Attendance_Rules!$B$2:$B$5,MATCH($H207,08_Attendance_Rules!$A$2:$A$5,0)),"Half Day",IF($T207="Y","Half Day","Present")))))</f>
        <v>Present</v>
      </c>
      <c r="AA207" s="11" t="str">
        <f aca="false">IF($X207=0,"-",INT($X207/60)&amp;":"&amp;TEXT(MOD($X207,60),"00"))</f>
        <v>12:12</v>
      </c>
      <c r="AB207" s="11" t="str">
        <f aca="false">IF($Y207=0,"-",INT($Y207/60)&amp;":"&amp;TEXT(MOD($Y207,60),"00"))</f>
        <v>0:12</v>
      </c>
    </row>
    <row r="208" customFormat="false" ht="15" hidden="false" customHeight="true" outlineLevel="0" collapsed="false">
      <c r="A208" s="9" t="s">
        <v>2290</v>
      </c>
      <c r="B208" s="9" t="s">
        <v>1068</v>
      </c>
      <c r="C208" s="9" t="s">
        <v>1069</v>
      </c>
      <c r="D208" s="9" t="s">
        <v>1545</v>
      </c>
      <c r="E208" s="9" t="s">
        <v>2067</v>
      </c>
      <c r="F208" s="9" t="s">
        <v>454</v>
      </c>
      <c r="G208" s="9" t="s">
        <v>454</v>
      </c>
      <c r="H208" s="9" t="n">
        <v>12</v>
      </c>
      <c r="I208" s="9" t="n">
        <v>720</v>
      </c>
      <c r="J208" s="9" t="s">
        <v>2059</v>
      </c>
      <c r="K208" s="9" t="s">
        <v>1546</v>
      </c>
      <c r="L208" s="9" t="s">
        <v>1548</v>
      </c>
      <c r="M208" s="9" t="n">
        <v>737</v>
      </c>
      <c r="N208" s="9" t="n">
        <v>60</v>
      </c>
      <c r="O208" s="9" t="n">
        <v>0</v>
      </c>
      <c r="P208" s="9" t="n">
        <v>0</v>
      </c>
      <c r="Q208" s="9" t="s">
        <v>355</v>
      </c>
      <c r="R208" s="9" t="n">
        <v>2</v>
      </c>
      <c r="S208" s="9"/>
      <c r="T208" s="9" t="s">
        <v>226</v>
      </c>
      <c r="U208" s="9" t="s">
        <v>226</v>
      </c>
      <c r="V208" s="9"/>
      <c r="W208" s="9"/>
      <c r="X208" s="9" t="n">
        <f aca="false">$M208-$O208+$P208</f>
        <v>737</v>
      </c>
      <c r="Y208" s="9" t="n">
        <f aca="false">IF($M208=0,0,IF($J208="Working",IF($Q208="All",MAX(0,$M208-$I208),0),IF($Q208="None",0,$M208)))</f>
        <v>17</v>
      </c>
      <c r="Z208" s="23" t="str">
        <f aca="false">IF($J208&lt;&gt;"Working",IF($M208&gt;0,$J208&amp;" — worked",$J208),IF($U208="Y","Present",IF($X208&lt;INDEX(08_Attendance_Rules!$C$2:$C$5,MATCH($H208,08_Attendance_Rules!$A$2:$A$5,0)),"Absent",IF($X208&lt;INDEX(08_Attendance_Rules!$B$2:$B$5,MATCH($H208,08_Attendance_Rules!$A$2:$A$5,0)),"Half Day",IF($T208="Y","Half Day","Present")))))</f>
        <v>Present</v>
      </c>
      <c r="AA208" s="9" t="str">
        <f aca="false">IF($X208=0,"-",INT($X208/60)&amp;":"&amp;TEXT(MOD($X208,60),"00"))</f>
        <v>12:17</v>
      </c>
      <c r="AB208" s="9" t="str">
        <f aca="false">IF($Y208=0,"-",INT($Y208/60)&amp;":"&amp;TEXT(MOD($Y208,60),"00"))</f>
        <v>0:17</v>
      </c>
    </row>
    <row r="209" customFormat="false" ht="15" hidden="false" customHeight="true" outlineLevel="0" collapsed="false">
      <c r="A209" s="11" t="s">
        <v>2291</v>
      </c>
      <c r="B209" s="11" t="s">
        <v>1068</v>
      </c>
      <c r="C209" s="11" t="s">
        <v>1069</v>
      </c>
      <c r="D209" s="11" t="s">
        <v>1409</v>
      </c>
      <c r="E209" s="11" t="s">
        <v>2069</v>
      </c>
      <c r="F209" s="11" t="s">
        <v>454</v>
      </c>
      <c r="G209" s="11" t="s">
        <v>454</v>
      </c>
      <c r="H209" s="11" t="n">
        <v>12</v>
      </c>
      <c r="I209" s="11" t="n">
        <v>720</v>
      </c>
      <c r="J209" s="11" t="s">
        <v>2070</v>
      </c>
      <c r="K209" s="11"/>
      <c r="L209" s="11"/>
      <c r="M209" s="11" t="n">
        <v>0</v>
      </c>
      <c r="N209" s="11" t="n">
        <v>0</v>
      </c>
      <c r="O209" s="11" t="n">
        <v>0</v>
      </c>
      <c r="P209" s="11" t="n">
        <v>0</v>
      </c>
      <c r="Q209" s="11" t="s">
        <v>355</v>
      </c>
      <c r="R209" s="11"/>
      <c r="S209" s="11"/>
      <c r="T209" s="11" t="s">
        <v>226</v>
      </c>
      <c r="U209" s="11" t="s">
        <v>226</v>
      </c>
      <c r="V209" s="11"/>
      <c r="W209" s="11"/>
      <c r="X209" s="11" t="n">
        <f aca="false">$M209-$O209+$P209</f>
        <v>0</v>
      </c>
      <c r="Y209" s="11" t="n">
        <f aca="false">IF($M209=0,0,IF($J209="Working",IF($Q209="All",MAX(0,$M209-$I209),0),IF($Q209="None",0,$M209)))</f>
        <v>0</v>
      </c>
      <c r="Z209" s="24" t="str">
        <f aca="false">IF($J209&lt;&gt;"Working",IF($M209&gt;0,$J209&amp;" — worked",$J209),IF($U209="Y","Present",IF($X209&lt;INDEX(08_Attendance_Rules!$C$2:$C$5,MATCH($H209,08_Attendance_Rules!$A$2:$A$5,0)),"Absent",IF($X209&lt;INDEX(08_Attendance_Rules!$B$2:$B$5,MATCH($H209,08_Attendance_Rules!$A$2:$A$5,0)),"Half Day",IF($T209="Y","Half Day","Present")))))</f>
        <v>Weekly Off</v>
      </c>
      <c r="AA209" s="11" t="str">
        <f aca="false">IF($X209=0,"-",INT($X209/60)&amp;":"&amp;TEXT(MOD($X209,60),"00"))</f>
        <v>-</v>
      </c>
      <c r="AB209" s="11" t="str">
        <f aca="false">IF($Y209=0,"-",INT($Y209/60)&amp;":"&amp;TEXT(MOD($Y209,60),"00"))</f>
        <v>-</v>
      </c>
    </row>
    <row r="210" customFormat="false" ht="15" hidden="false" customHeight="true" outlineLevel="0" collapsed="false">
      <c r="A210" s="9" t="s">
        <v>2292</v>
      </c>
      <c r="B210" s="9" t="s">
        <v>1068</v>
      </c>
      <c r="C210" s="9" t="s">
        <v>1069</v>
      </c>
      <c r="D210" s="9" t="s">
        <v>1337</v>
      </c>
      <c r="E210" s="9" t="s">
        <v>2072</v>
      </c>
      <c r="F210" s="9" t="s">
        <v>454</v>
      </c>
      <c r="G210" s="9" t="s">
        <v>454</v>
      </c>
      <c r="H210" s="9" t="n">
        <v>12</v>
      </c>
      <c r="I210" s="9" t="n">
        <v>720</v>
      </c>
      <c r="J210" s="9" t="s">
        <v>2059</v>
      </c>
      <c r="K210" s="9" t="s">
        <v>457</v>
      </c>
      <c r="L210" s="9" t="s">
        <v>1535</v>
      </c>
      <c r="M210" s="9" t="n">
        <v>730</v>
      </c>
      <c r="N210" s="9" t="n">
        <v>60</v>
      </c>
      <c r="O210" s="9" t="n">
        <v>0</v>
      </c>
      <c r="P210" s="9" t="n">
        <v>0</v>
      </c>
      <c r="Q210" s="9" t="s">
        <v>355</v>
      </c>
      <c r="R210" s="9"/>
      <c r="S210" s="9"/>
      <c r="T210" s="9" t="s">
        <v>226</v>
      </c>
      <c r="U210" s="9" t="s">
        <v>226</v>
      </c>
      <c r="V210" s="9"/>
      <c r="W210" s="9"/>
      <c r="X210" s="9" t="n">
        <f aca="false">$M210-$O210+$P210</f>
        <v>730</v>
      </c>
      <c r="Y210" s="9" t="n">
        <f aca="false">IF($M210=0,0,IF($J210="Working",IF($Q210="All",MAX(0,$M210-$I210),0),IF($Q210="None",0,$M210)))</f>
        <v>10</v>
      </c>
      <c r="Z210" s="23" t="str">
        <f aca="false">IF($J210&lt;&gt;"Working",IF($M210&gt;0,$J210&amp;" — worked",$J210),IF($U210="Y","Present",IF($X210&lt;INDEX(08_Attendance_Rules!$C$2:$C$5,MATCH($H210,08_Attendance_Rules!$A$2:$A$5,0)),"Absent",IF($X210&lt;INDEX(08_Attendance_Rules!$B$2:$B$5,MATCH($H210,08_Attendance_Rules!$A$2:$A$5,0)),"Half Day",IF($T210="Y","Half Day","Present")))))</f>
        <v>Present</v>
      </c>
      <c r="AA210" s="9" t="str">
        <f aca="false">IF($X210=0,"-",INT($X210/60)&amp;":"&amp;TEXT(MOD($X210,60),"00"))</f>
        <v>12:10</v>
      </c>
      <c r="AB210" s="9" t="str">
        <f aca="false">IF($Y210=0,"-",INT($Y210/60)&amp;":"&amp;TEXT(MOD($Y210,60),"00"))</f>
        <v>0:10</v>
      </c>
    </row>
    <row r="211" customFormat="false" ht="15" hidden="false" customHeight="true" outlineLevel="0" collapsed="false">
      <c r="A211" s="11" t="s">
        <v>2293</v>
      </c>
      <c r="B211" s="11" t="s">
        <v>1068</v>
      </c>
      <c r="C211" s="11" t="s">
        <v>1069</v>
      </c>
      <c r="D211" s="11" t="s">
        <v>531</v>
      </c>
      <c r="E211" s="11" t="s">
        <v>2058</v>
      </c>
      <c r="F211" s="11" t="s">
        <v>454</v>
      </c>
      <c r="G211" s="11" t="s">
        <v>454</v>
      </c>
      <c r="H211" s="11" t="n">
        <v>12</v>
      </c>
      <c r="I211" s="11" t="n">
        <v>720</v>
      </c>
      <c r="J211" s="11" t="s">
        <v>505</v>
      </c>
      <c r="K211" s="11"/>
      <c r="L211" s="11"/>
      <c r="M211" s="11" t="n">
        <v>0</v>
      </c>
      <c r="N211" s="11" t="n">
        <v>0</v>
      </c>
      <c r="O211" s="11" t="n">
        <v>0</v>
      </c>
      <c r="P211" s="11" t="n">
        <v>0</v>
      </c>
      <c r="Q211" s="11" t="s">
        <v>355</v>
      </c>
      <c r="R211" s="11"/>
      <c r="S211" s="11"/>
      <c r="T211" s="11" t="s">
        <v>226</v>
      </c>
      <c r="U211" s="11" t="s">
        <v>226</v>
      </c>
      <c r="V211" s="11"/>
      <c r="W211" s="11"/>
      <c r="X211" s="11" t="n">
        <f aca="false">$M211-$O211+$P211</f>
        <v>0</v>
      </c>
      <c r="Y211" s="11" t="n">
        <f aca="false">IF($M211=0,0,IF($J211="Working",IF($Q211="All",MAX(0,$M211-$I211),0),IF($Q211="None",0,$M211)))</f>
        <v>0</v>
      </c>
      <c r="Z211" s="24" t="str">
        <f aca="false">IF($J211&lt;&gt;"Working",IF($M211&gt;0,$J211&amp;" — worked",$J211),IF($U211="Y","Present",IF($X211&lt;INDEX(08_Attendance_Rules!$C$2:$C$5,MATCH($H211,08_Attendance_Rules!$A$2:$A$5,0)),"Absent",IF($X211&lt;INDEX(08_Attendance_Rules!$B$2:$B$5,MATCH($H211,08_Attendance_Rules!$A$2:$A$5,0)),"Half Day",IF($T211="Y","Half Day","Present")))))</f>
        <v>Holiday</v>
      </c>
      <c r="AA211" s="11" t="str">
        <f aca="false">IF($X211=0,"-",INT($X211/60)&amp;":"&amp;TEXT(MOD($X211,60),"00"))</f>
        <v>-</v>
      </c>
      <c r="AB211" s="11" t="str">
        <f aca="false">IF($Y211=0,"-",INT($Y211/60)&amp;":"&amp;TEXT(MOD($Y211,60),"00"))</f>
        <v>-</v>
      </c>
    </row>
    <row r="212" customFormat="false" ht="15" hidden="false" customHeight="true" outlineLevel="0" collapsed="false">
      <c r="A212" s="10" t="s">
        <v>2294</v>
      </c>
      <c r="B212" s="10" t="s">
        <v>785</v>
      </c>
      <c r="C212" s="10" t="s">
        <v>786</v>
      </c>
      <c r="D212" s="10" t="s">
        <v>1151</v>
      </c>
      <c r="E212" s="10" t="s">
        <v>2058</v>
      </c>
      <c r="F212" s="10" t="s">
        <v>478</v>
      </c>
      <c r="G212" s="10" t="s">
        <v>478</v>
      </c>
      <c r="H212" s="10" t="n">
        <v>9</v>
      </c>
      <c r="I212" s="10" t="n">
        <v>540</v>
      </c>
      <c r="J212" s="10" t="s">
        <v>2059</v>
      </c>
      <c r="K212" s="10" t="s">
        <v>1892</v>
      </c>
      <c r="L212" s="10" t="s">
        <v>1894</v>
      </c>
      <c r="M212" s="10" t="n">
        <v>551</v>
      </c>
      <c r="N212" s="10" t="n">
        <v>45</v>
      </c>
      <c r="O212" s="10" t="n">
        <v>0</v>
      </c>
      <c r="P212" s="10" t="n">
        <v>0</v>
      </c>
      <c r="Q212" s="10" t="s">
        <v>332</v>
      </c>
      <c r="R212" s="10"/>
      <c r="S212" s="10"/>
      <c r="T212" s="10" t="s">
        <v>226</v>
      </c>
      <c r="U212" s="10" t="s">
        <v>226</v>
      </c>
      <c r="V212" s="10"/>
      <c r="W212" s="10"/>
      <c r="X212" s="10" t="n">
        <f aca="false">$M212-$O212+$P212</f>
        <v>551</v>
      </c>
      <c r="Y212" s="10" t="n">
        <f aca="false">IF($M212=0,0,IF($J212="Working",IF($Q212="All",MAX(0,$M212-$I212),0),IF($Q212="None",0,$M212)))</f>
        <v>0</v>
      </c>
      <c r="Z212" s="10" t="str">
        <f aca="false">IF($J212&lt;&gt;"Working",IF($M212&gt;0,$J212&amp;" — worked",$J212),IF($U212="Y","Present",IF($X212&lt;INDEX(08_Attendance_Rules!$C$2:$C$5,MATCH($H212,08_Attendance_Rules!$A$2:$A$5,0)),"Absent",IF($X212&lt;INDEX(08_Attendance_Rules!$B$2:$B$5,MATCH($H212,08_Attendance_Rules!$A$2:$A$5,0)),"Half Day",IF($T212="Y","Half Day","Present")))))</f>
        <v>Present</v>
      </c>
      <c r="AA212" s="10" t="str">
        <f aca="false">IF($X212=0,"-",INT($X212/60)&amp;":"&amp;TEXT(MOD($X212,60),"00"))</f>
        <v>9:11</v>
      </c>
      <c r="AB212" s="10" t="str">
        <f aca="false">IF($Y212=0,"-",INT($Y212/60)&amp;":"&amp;TEXT(MOD($Y212,60),"00"))</f>
        <v>-</v>
      </c>
    </row>
    <row r="213" customFormat="false" ht="27.75" hidden="false" customHeight="true" outlineLevel="0" collapsed="false">
      <c r="A213" s="12" t="s">
        <v>2295</v>
      </c>
      <c r="B213" s="12" t="s">
        <v>785</v>
      </c>
      <c r="C213" s="12" t="s">
        <v>786</v>
      </c>
      <c r="D213" s="12" t="s">
        <v>593</v>
      </c>
      <c r="E213" s="12" t="s">
        <v>2061</v>
      </c>
      <c r="F213" s="12" t="s">
        <v>478</v>
      </c>
      <c r="G213" s="12" t="s">
        <v>478</v>
      </c>
      <c r="H213" s="12" t="n">
        <v>9</v>
      </c>
      <c r="I213" s="12" t="n">
        <v>540</v>
      </c>
      <c r="J213" s="12" t="s">
        <v>2059</v>
      </c>
      <c r="K213" s="12" t="s">
        <v>1998</v>
      </c>
      <c r="L213" s="12" t="s">
        <v>2000</v>
      </c>
      <c r="M213" s="12" t="n">
        <v>548</v>
      </c>
      <c r="N213" s="12" t="n">
        <v>45</v>
      </c>
      <c r="O213" s="12" t="n">
        <v>0</v>
      </c>
      <c r="P213" s="12" t="n">
        <v>0</v>
      </c>
      <c r="Q213" s="12" t="s">
        <v>332</v>
      </c>
      <c r="R213" s="12" t="n">
        <v>32</v>
      </c>
      <c r="S213" s="12" t="n">
        <v>1</v>
      </c>
      <c r="T213" s="12" t="s">
        <v>226</v>
      </c>
      <c r="U213" s="12" t="s">
        <v>226</v>
      </c>
      <c r="V213" s="12" t="s">
        <v>2296</v>
      </c>
      <c r="W213" s="12"/>
      <c r="X213" s="12" t="n">
        <f aca="false">$M213-$O213+$P213</f>
        <v>548</v>
      </c>
      <c r="Y213" s="12" t="n">
        <f aca="false">IF($M213=0,0,IF($J213="Working",IF($Q213="All",MAX(0,$M213-$I213),0),IF($Q213="None",0,$M213)))</f>
        <v>0</v>
      </c>
      <c r="Z213" s="12" t="str">
        <f aca="false">IF($J213&lt;&gt;"Working",IF($M213&gt;0,$J213&amp;" — worked",$J213),IF($U213="Y","Present",IF($X213&lt;INDEX(08_Attendance_Rules!$C$2:$C$5,MATCH($H213,08_Attendance_Rules!$A$2:$A$5,0)),"Absent",IF($X213&lt;INDEX(08_Attendance_Rules!$B$2:$B$5,MATCH($H213,08_Attendance_Rules!$A$2:$A$5,0)),"Half Day",IF($T213="Y","Half Day","Present")))))</f>
        <v>Present</v>
      </c>
      <c r="AA213" s="12" t="str">
        <f aca="false">IF($X213=0,"-",INT($X213/60)&amp;":"&amp;TEXT(MOD($X213,60),"00"))</f>
        <v>9:08</v>
      </c>
      <c r="AB213" s="12" t="str">
        <f aca="false">IF($Y213=0,"-",INT($Y213/60)&amp;":"&amp;TEXT(MOD($Y213,60),"00"))</f>
        <v>-</v>
      </c>
    </row>
    <row r="214" customFormat="false" ht="15" hidden="false" customHeight="true" outlineLevel="0" collapsed="false">
      <c r="A214" s="10" t="s">
        <v>2297</v>
      </c>
      <c r="B214" s="10" t="s">
        <v>785</v>
      </c>
      <c r="C214" s="10" t="s">
        <v>786</v>
      </c>
      <c r="D214" s="10" t="s">
        <v>1505</v>
      </c>
      <c r="E214" s="10" t="s">
        <v>2063</v>
      </c>
      <c r="F214" s="10" t="s">
        <v>478</v>
      </c>
      <c r="G214" s="10" t="s">
        <v>478</v>
      </c>
      <c r="H214" s="10" t="n">
        <v>9</v>
      </c>
      <c r="I214" s="10" t="n">
        <v>540</v>
      </c>
      <c r="J214" s="10" t="s">
        <v>2059</v>
      </c>
      <c r="K214" s="10" t="s">
        <v>1896</v>
      </c>
      <c r="L214" s="10" t="s">
        <v>1898</v>
      </c>
      <c r="M214" s="10" t="n">
        <v>553</v>
      </c>
      <c r="N214" s="10" t="n">
        <v>45</v>
      </c>
      <c r="O214" s="10" t="n">
        <v>0</v>
      </c>
      <c r="P214" s="10" t="n">
        <v>0</v>
      </c>
      <c r="Q214" s="10" t="s">
        <v>332</v>
      </c>
      <c r="R214" s="10"/>
      <c r="S214" s="10"/>
      <c r="T214" s="10" t="s">
        <v>226</v>
      </c>
      <c r="U214" s="10" t="s">
        <v>226</v>
      </c>
      <c r="V214" s="10"/>
      <c r="W214" s="10"/>
      <c r="X214" s="10" t="n">
        <f aca="false">$M214-$O214+$P214</f>
        <v>553</v>
      </c>
      <c r="Y214" s="10" t="n">
        <f aca="false">IF($M214=0,0,IF($J214="Working",IF($Q214="All",MAX(0,$M214-$I214),0),IF($Q214="None",0,$M214)))</f>
        <v>0</v>
      </c>
      <c r="Z214" s="10" t="str">
        <f aca="false">IF($J214&lt;&gt;"Working",IF($M214&gt;0,$J214&amp;" — worked",$J214),IF($U214="Y","Present",IF($X214&lt;INDEX(08_Attendance_Rules!$C$2:$C$5,MATCH($H214,08_Attendance_Rules!$A$2:$A$5,0)),"Absent",IF($X214&lt;INDEX(08_Attendance_Rules!$B$2:$B$5,MATCH($H214,08_Attendance_Rules!$A$2:$A$5,0)),"Half Day",IF($T214="Y","Half Day","Present")))))</f>
        <v>Present</v>
      </c>
      <c r="AA214" s="10" t="str">
        <f aca="false">IF($X214=0,"-",INT($X214/60)&amp;":"&amp;TEXT(MOD($X214,60),"00"))</f>
        <v>9:13</v>
      </c>
      <c r="AB214" s="10" t="str">
        <f aca="false">IF($Y214=0,"-",INT($Y214/60)&amp;":"&amp;TEXT(MOD($Y214,60),"00"))</f>
        <v>-</v>
      </c>
    </row>
    <row r="215" customFormat="false" ht="15" hidden="false" customHeight="true" outlineLevel="0" collapsed="false">
      <c r="A215" s="12" t="s">
        <v>2298</v>
      </c>
      <c r="B215" s="12" t="s">
        <v>785</v>
      </c>
      <c r="C215" s="12" t="s">
        <v>786</v>
      </c>
      <c r="D215" s="12" t="s">
        <v>1511</v>
      </c>
      <c r="E215" s="12" t="s">
        <v>2065</v>
      </c>
      <c r="F215" s="12" t="s">
        <v>478</v>
      </c>
      <c r="G215" s="12" t="s">
        <v>478</v>
      </c>
      <c r="H215" s="12" t="n">
        <v>9</v>
      </c>
      <c r="I215" s="12" t="n">
        <v>540</v>
      </c>
      <c r="J215" s="12" t="s">
        <v>2059</v>
      </c>
      <c r="K215" s="12" t="s">
        <v>2004</v>
      </c>
      <c r="L215" s="12" t="s">
        <v>2006</v>
      </c>
      <c r="M215" s="12" t="n">
        <v>549</v>
      </c>
      <c r="N215" s="12" t="n">
        <v>45</v>
      </c>
      <c r="O215" s="12" t="n">
        <v>0</v>
      </c>
      <c r="P215" s="12" t="n">
        <v>0</v>
      </c>
      <c r="Q215" s="12" t="s">
        <v>332</v>
      </c>
      <c r="R215" s="12" t="n">
        <v>41</v>
      </c>
      <c r="S215" s="12" t="n">
        <v>2</v>
      </c>
      <c r="T215" s="12" t="s">
        <v>226</v>
      </c>
      <c r="U215" s="12" t="s">
        <v>226</v>
      </c>
      <c r="V215" s="12" t="s">
        <v>2299</v>
      </c>
      <c r="W215" s="12"/>
      <c r="X215" s="12" t="n">
        <f aca="false">$M215-$O215+$P215</f>
        <v>549</v>
      </c>
      <c r="Y215" s="12" t="n">
        <f aca="false">IF($M215=0,0,IF($J215="Working",IF($Q215="All",MAX(0,$M215-$I215),0),IF($Q215="None",0,$M215)))</f>
        <v>0</v>
      </c>
      <c r="Z215" s="12" t="str">
        <f aca="false">IF($J215&lt;&gt;"Working",IF($M215&gt;0,$J215&amp;" — worked",$J215),IF($U215="Y","Present",IF($X215&lt;INDEX(08_Attendance_Rules!$C$2:$C$5,MATCH($H215,08_Attendance_Rules!$A$2:$A$5,0)),"Absent",IF($X215&lt;INDEX(08_Attendance_Rules!$B$2:$B$5,MATCH($H215,08_Attendance_Rules!$A$2:$A$5,0)),"Half Day",IF($T215="Y","Half Day","Present")))))</f>
        <v>Present</v>
      </c>
      <c r="AA215" s="12" t="str">
        <f aca="false">IF($X215=0,"-",INT($X215/60)&amp;":"&amp;TEXT(MOD($X215,60),"00"))</f>
        <v>9:09</v>
      </c>
      <c r="AB215" s="12" t="str">
        <f aca="false">IF($Y215=0,"-",INT($Y215/60)&amp;":"&amp;TEXT(MOD($Y215,60),"00"))</f>
        <v>-</v>
      </c>
    </row>
    <row r="216" customFormat="false" ht="15" hidden="false" customHeight="true" outlineLevel="0" collapsed="false">
      <c r="A216" s="10" t="s">
        <v>2300</v>
      </c>
      <c r="B216" s="10" t="s">
        <v>785</v>
      </c>
      <c r="C216" s="10" t="s">
        <v>786</v>
      </c>
      <c r="D216" s="10" t="s">
        <v>1515</v>
      </c>
      <c r="E216" s="10" t="s">
        <v>2067</v>
      </c>
      <c r="F216" s="10" t="s">
        <v>478</v>
      </c>
      <c r="G216" s="10" t="s">
        <v>478</v>
      </c>
      <c r="H216" s="10" t="n">
        <v>9</v>
      </c>
      <c r="I216" s="10" t="n">
        <v>540</v>
      </c>
      <c r="J216" s="10" t="s">
        <v>2059</v>
      </c>
      <c r="K216" s="10" t="s">
        <v>1907</v>
      </c>
      <c r="L216" s="10" t="s">
        <v>1909</v>
      </c>
      <c r="M216" s="10" t="n">
        <v>552</v>
      </c>
      <c r="N216" s="10" t="n">
        <v>45</v>
      </c>
      <c r="O216" s="10" t="n">
        <v>0</v>
      </c>
      <c r="P216" s="10" t="n">
        <v>0</v>
      </c>
      <c r="Q216" s="10" t="s">
        <v>332</v>
      </c>
      <c r="R216" s="10"/>
      <c r="S216" s="10"/>
      <c r="T216" s="10" t="s">
        <v>226</v>
      </c>
      <c r="U216" s="10" t="s">
        <v>226</v>
      </c>
      <c r="V216" s="10"/>
      <c r="W216" s="10"/>
      <c r="X216" s="10" t="n">
        <f aca="false">$M216-$O216+$P216</f>
        <v>552</v>
      </c>
      <c r="Y216" s="10" t="n">
        <f aca="false">IF($M216=0,0,IF($J216="Working",IF($Q216="All",MAX(0,$M216-$I216),0),IF($Q216="None",0,$M216)))</f>
        <v>0</v>
      </c>
      <c r="Z216" s="10" t="str">
        <f aca="false">IF($J216&lt;&gt;"Working",IF($M216&gt;0,$J216&amp;" — worked",$J216),IF($U216="Y","Present",IF($X216&lt;INDEX(08_Attendance_Rules!$C$2:$C$5,MATCH($H216,08_Attendance_Rules!$A$2:$A$5,0)),"Absent",IF($X216&lt;INDEX(08_Attendance_Rules!$B$2:$B$5,MATCH($H216,08_Attendance_Rules!$A$2:$A$5,0)),"Half Day",IF($T216="Y","Half Day","Present")))))</f>
        <v>Present</v>
      </c>
      <c r="AA216" s="10" t="str">
        <f aca="false">IF($X216=0,"-",INT($X216/60)&amp;":"&amp;TEXT(MOD($X216,60),"00"))</f>
        <v>9:12</v>
      </c>
      <c r="AB216" s="10" t="str">
        <f aca="false">IF($Y216=0,"-",INT($Y216/60)&amp;":"&amp;TEXT(MOD($Y216,60),"00"))</f>
        <v>-</v>
      </c>
    </row>
    <row r="217" customFormat="false" ht="15" hidden="false" customHeight="true" outlineLevel="0" collapsed="false">
      <c r="A217" s="12" t="s">
        <v>2301</v>
      </c>
      <c r="B217" s="12" t="s">
        <v>785</v>
      </c>
      <c r="C217" s="12" t="s">
        <v>786</v>
      </c>
      <c r="D217" s="12" t="s">
        <v>1359</v>
      </c>
      <c r="E217" s="12" t="s">
        <v>2069</v>
      </c>
      <c r="F217" s="12" t="s">
        <v>478</v>
      </c>
      <c r="G217" s="12" t="s">
        <v>478</v>
      </c>
      <c r="H217" s="12" t="n">
        <v>9</v>
      </c>
      <c r="I217" s="12" t="n">
        <v>540</v>
      </c>
      <c r="J217" s="12" t="s">
        <v>2070</v>
      </c>
      <c r="K217" s="12"/>
      <c r="L217" s="12"/>
      <c r="M217" s="12" t="n">
        <v>0</v>
      </c>
      <c r="N217" s="12" t="n">
        <v>0</v>
      </c>
      <c r="O217" s="12" t="n">
        <v>0</v>
      </c>
      <c r="P217" s="12" t="n">
        <v>0</v>
      </c>
      <c r="Q217" s="12" t="s">
        <v>332</v>
      </c>
      <c r="R217" s="12"/>
      <c r="S217" s="12"/>
      <c r="T217" s="12" t="s">
        <v>226</v>
      </c>
      <c r="U217" s="12" t="s">
        <v>226</v>
      </c>
      <c r="V217" s="12"/>
      <c r="W217" s="12"/>
      <c r="X217" s="12" t="n">
        <f aca="false">$M217-$O217+$P217</f>
        <v>0</v>
      </c>
      <c r="Y217" s="12" t="n">
        <f aca="false">IF($M217=0,0,IF($J217="Working",IF($Q217="All",MAX(0,$M217-$I217),0),IF($Q217="None",0,$M217)))</f>
        <v>0</v>
      </c>
      <c r="Z217" s="12" t="str">
        <f aca="false">IF($J217&lt;&gt;"Working",IF($M217&gt;0,$J217&amp;" — worked",$J217),IF($U217="Y","Present",IF($X217&lt;INDEX(08_Attendance_Rules!$C$2:$C$5,MATCH($H217,08_Attendance_Rules!$A$2:$A$5,0)),"Absent",IF($X217&lt;INDEX(08_Attendance_Rules!$B$2:$B$5,MATCH($H217,08_Attendance_Rules!$A$2:$A$5,0)),"Half Day",IF($T217="Y","Half Day","Present")))))</f>
        <v>Weekly Off</v>
      </c>
      <c r="AA217" s="12" t="str">
        <f aca="false">IF($X217=0,"-",INT($X217/60)&amp;":"&amp;TEXT(MOD($X217,60),"00"))</f>
        <v>-</v>
      </c>
      <c r="AB217" s="12" t="str">
        <f aca="false">IF($Y217=0,"-",INT($Y217/60)&amp;":"&amp;TEXT(MOD($Y217,60),"00"))</f>
        <v>-</v>
      </c>
    </row>
    <row r="218" customFormat="false" ht="15" hidden="false" customHeight="true" outlineLevel="0" collapsed="false">
      <c r="A218" s="10" t="s">
        <v>2302</v>
      </c>
      <c r="B218" s="10" t="s">
        <v>785</v>
      </c>
      <c r="C218" s="10" t="s">
        <v>786</v>
      </c>
      <c r="D218" s="10" t="s">
        <v>1332</v>
      </c>
      <c r="E218" s="10" t="s">
        <v>2072</v>
      </c>
      <c r="F218" s="10" t="s">
        <v>478</v>
      </c>
      <c r="G218" s="10" t="s">
        <v>478</v>
      </c>
      <c r="H218" s="10" t="n">
        <v>9</v>
      </c>
      <c r="I218" s="10" t="n">
        <v>540</v>
      </c>
      <c r="J218" s="10" t="s">
        <v>2059</v>
      </c>
      <c r="K218" s="10" t="s">
        <v>2010</v>
      </c>
      <c r="L218" s="10" t="s">
        <v>2012</v>
      </c>
      <c r="M218" s="10" t="n">
        <v>547</v>
      </c>
      <c r="N218" s="10" t="n">
        <v>45</v>
      </c>
      <c r="O218" s="10" t="n">
        <v>0</v>
      </c>
      <c r="P218" s="10" t="n">
        <v>0</v>
      </c>
      <c r="Q218" s="10" t="s">
        <v>332</v>
      </c>
      <c r="R218" s="10" t="n">
        <v>28</v>
      </c>
      <c r="S218" s="10" t="n">
        <v>3</v>
      </c>
      <c r="T218" s="10" t="s">
        <v>226</v>
      </c>
      <c r="U218" s="10" t="s">
        <v>226</v>
      </c>
      <c r="V218" s="10" t="s">
        <v>2303</v>
      </c>
      <c r="W218" s="10"/>
      <c r="X218" s="10" t="n">
        <f aca="false">$M218-$O218+$P218</f>
        <v>547</v>
      </c>
      <c r="Y218" s="10" t="n">
        <f aca="false">IF($M218=0,0,IF($J218="Working",IF($Q218="All",MAX(0,$M218-$I218),0),IF($Q218="None",0,$M218)))</f>
        <v>0</v>
      </c>
      <c r="Z218" s="10" t="str">
        <f aca="false">IF($J218&lt;&gt;"Working",IF($M218&gt;0,$J218&amp;" — worked",$J218),IF($U218="Y","Present",IF($X218&lt;INDEX(08_Attendance_Rules!$C$2:$C$5,MATCH($H218,08_Attendance_Rules!$A$2:$A$5,0)),"Absent",IF($X218&lt;INDEX(08_Attendance_Rules!$B$2:$B$5,MATCH($H218,08_Attendance_Rules!$A$2:$A$5,0)),"Half Day",IF($T218="Y","Half Day","Present")))))</f>
        <v>Present</v>
      </c>
      <c r="AA218" s="10" t="str">
        <f aca="false">IF($X218=0,"-",INT($X218/60)&amp;":"&amp;TEXT(MOD($X218,60),"00"))</f>
        <v>9:07</v>
      </c>
      <c r="AB218" s="10" t="str">
        <f aca="false">IF($Y218=0,"-",INT($Y218/60)&amp;":"&amp;TEXT(MOD($Y218,60),"00"))</f>
        <v>-</v>
      </c>
    </row>
    <row r="219" customFormat="false" ht="15" hidden="false" customHeight="true" outlineLevel="0" collapsed="false">
      <c r="A219" s="12" t="s">
        <v>2304</v>
      </c>
      <c r="B219" s="12" t="s">
        <v>785</v>
      </c>
      <c r="C219" s="12" t="s">
        <v>786</v>
      </c>
      <c r="D219" s="12" t="s">
        <v>1524</v>
      </c>
      <c r="E219" s="12" t="s">
        <v>2058</v>
      </c>
      <c r="F219" s="12" t="s">
        <v>478</v>
      </c>
      <c r="G219" s="12" t="s">
        <v>478</v>
      </c>
      <c r="H219" s="12" t="n">
        <v>9</v>
      </c>
      <c r="I219" s="12" t="n">
        <v>540</v>
      </c>
      <c r="J219" s="12" t="s">
        <v>2059</v>
      </c>
      <c r="K219" s="12" t="s">
        <v>2014</v>
      </c>
      <c r="L219" s="12" t="s">
        <v>2016</v>
      </c>
      <c r="M219" s="12" t="n">
        <v>546</v>
      </c>
      <c r="N219" s="12" t="n">
        <v>45</v>
      </c>
      <c r="O219" s="12" t="n">
        <v>0</v>
      </c>
      <c r="P219" s="12" t="n">
        <v>0</v>
      </c>
      <c r="Q219" s="12" t="s">
        <v>332</v>
      </c>
      <c r="R219" s="12"/>
      <c r="S219" s="12"/>
      <c r="T219" s="12" t="s">
        <v>226</v>
      </c>
      <c r="U219" s="12" t="s">
        <v>226</v>
      </c>
      <c r="V219" s="12"/>
      <c r="W219" s="12"/>
      <c r="X219" s="12" t="n">
        <f aca="false">$M219-$O219+$P219</f>
        <v>546</v>
      </c>
      <c r="Y219" s="12" t="n">
        <f aca="false">IF($M219=0,0,IF($J219="Working",IF($Q219="All",MAX(0,$M219-$I219),0),IF($Q219="None",0,$M219)))</f>
        <v>0</v>
      </c>
      <c r="Z219" s="12" t="str">
        <f aca="false">IF($J219&lt;&gt;"Working",IF($M219&gt;0,$J219&amp;" — worked",$J219),IF($U219="Y","Present",IF($X219&lt;INDEX(08_Attendance_Rules!$C$2:$C$5,MATCH($H219,08_Attendance_Rules!$A$2:$A$5,0)),"Absent",IF($X219&lt;INDEX(08_Attendance_Rules!$B$2:$B$5,MATCH($H219,08_Attendance_Rules!$A$2:$A$5,0)),"Half Day",IF($T219="Y","Half Day","Present")))))</f>
        <v>Present</v>
      </c>
      <c r="AA219" s="12" t="str">
        <f aca="false">IF($X219=0,"-",INT($X219/60)&amp;":"&amp;TEXT(MOD($X219,60),"00"))</f>
        <v>9:06</v>
      </c>
      <c r="AB219" s="12" t="str">
        <f aca="false">IF($Y219=0,"-",INT($Y219/60)&amp;":"&amp;TEXT(MOD($Y219,60),"00"))</f>
        <v>-</v>
      </c>
    </row>
    <row r="220" customFormat="false" ht="32.25" hidden="false" customHeight="true" outlineLevel="0" collapsed="false">
      <c r="A220" s="10" t="s">
        <v>2305</v>
      </c>
      <c r="B220" s="10" t="s">
        <v>785</v>
      </c>
      <c r="C220" s="10" t="s">
        <v>786</v>
      </c>
      <c r="D220" s="10" t="s">
        <v>1377</v>
      </c>
      <c r="E220" s="10" t="s">
        <v>2061</v>
      </c>
      <c r="F220" s="10" t="s">
        <v>478</v>
      </c>
      <c r="G220" s="10" t="s">
        <v>478</v>
      </c>
      <c r="H220" s="10" t="n">
        <v>9</v>
      </c>
      <c r="I220" s="10" t="n">
        <v>540</v>
      </c>
      <c r="J220" s="10" t="s">
        <v>2059</v>
      </c>
      <c r="K220" s="10" t="s">
        <v>2018</v>
      </c>
      <c r="L220" s="10" t="s">
        <v>2020</v>
      </c>
      <c r="M220" s="10" t="n">
        <v>549</v>
      </c>
      <c r="N220" s="10" t="n">
        <v>45</v>
      </c>
      <c r="O220" s="10" t="n">
        <v>0</v>
      </c>
      <c r="P220" s="10" t="n">
        <v>0</v>
      </c>
      <c r="Q220" s="10" t="s">
        <v>332</v>
      </c>
      <c r="R220" s="10" t="n">
        <v>35</v>
      </c>
      <c r="S220" s="10" t="n">
        <v>4</v>
      </c>
      <c r="T220" s="10" t="s">
        <v>226</v>
      </c>
      <c r="U220" s="10" t="s">
        <v>226</v>
      </c>
      <c r="V220" s="10" t="s">
        <v>2306</v>
      </c>
      <c r="W220" s="10"/>
      <c r="X220" s="10" t="n">
        <f aca="false">$M220-$O220+$P220</f>
        <v>549</v>
      </c>
      <c r="Y220" s="10" t="n">
        <f aca="false">IF($M220=0,0,IF($J220="Working",IF($Q220="All",MAX(0,$M220-$I220),0),IF($Q220="None",0,$M220)))</f>
        <v>0</v>
      </c>
      <c r="Z220" s="10" t="str">
        <f aca="false">IF($J220&lt;&gt;"Working",IF($M220&gt;0,$J220&amp;" — worked",$J220),IF($U220="Y","Present",IF($X220&lt;INDEX(08_Attendance_Rules!$C$2:$C$5,MATCH($H220,08_Attendance_Rules!$A$2:$A$5,0)),"Absent",IF($X220&lt;INDEX(08_Attendance_Rules!$B$2:$B$5,MATCH($H220,08_Attendance_Rules!$A$2:$A$5,0)),"Half Day",IF($T220="Y","Half Day","Present")))))</f>
        <v>Present</v>
      </c>
      <c r="AA220" s="10" t="str">
        <f aca="false">IF($X220=0,"-",INT($X220/60)&amp;":"&amp;TEXT(MOD($X220,60),"00"))</f>
        <v>9:09</v>
      </c>
      <c r="AB220" s="10" t="str">
        <f aca="false">IF($Y220=0,"-",INT($Y220/60)&amp;":"&amp;TEXT(MOD($Y220,60),"00"))</f>
        <v>-</v>
      </c>
    </row>
    <row r="221" customFormat="false" ht="15" hidden="false" customHeight="true" outlineLevel="0" collapsed="false">
      <c r="A221" s="12" t="s">
        <v>2307</v>
      </c>
      <c r="B221" s="12" t="s">
        <v>785</v>
      </c>
      <c r="C221" s="12" t="s">
        <v>786</v>
      </c>
      <c r="D221" s="12" t="s">
        <v>1355</v>
      </c>
      <c r="E221" s="12" t="s">
        <v>2063</v>
      </c>
      <c r="F221" s="12" t="s">
        <v>478</v>
      </c>
      <c r="G221" s="12" t="s">
        <v>478</v>
      </c>
      <c r="H221" s="12" t="n">
        <v>9</v>
      </c>
      <c r="I221" s="12" t="n">
        <v>540</v>
      </c>
      <c r="J221" s="12" t="s">
        <v>2059</v>
      </c>
      <c r="K221" s="12" t="s">
        <v>1918</v>
      </c>
      <c r="L221" s="12" t="s">
        <v>2023</v>
      </c>
      <c r="M221" s="12" t="n">
        <v>552</v>
      </c>
      <c r="N221" s="12" t="n">
        <v>45</v>
      </c>
      <c r="O221" s="12" t="n">
        <v>0</v>
      </c>
      <c r="P221" s="12" t="n">
        <v>0</v>
      </c>
      <c r="Q221" s="12" t="s">
        <v>332</v>
      </c>
      <c r="R221" s="12"/>
      <c r="S221" s="12"/>
      <c r="T221" s="12" t="s">
        <v>226</v>
      </c>
      <c r="U221" s="12" t="s">
        <v>226</v>
      </c>
      <c r="V221" s="12"/>
      <c r="W221" s="12"/>
      <c r="X221" s="12" t="n">
        <f aca="false">$M221-$O221+$P221</f>
        <v>552</v>
      </c>
      <c r="Y221" s="12" t="n">
        <f aca="false">IF($M221=0,0,IF($J221="Working",IF($Q221="All",MAX(0,$M221-$I221),0),IF($Q221="None",0,$M221)))</f>
        <v>0</v>
      </c>
      <c r="Z221" s="12" t="str">
        <f aca="false">IF($J221&lt;&gt;"Working",IF($M221&gt;0,$J221&amp;" — worked",$J221),IF($U221="Y","Present",IF($X221&lt;INDEX(08_Attendance_Rules!$C$2:$C$5,MATCH($H221,08_Attendance_Rules!$A$2:$A$5,0)),"Absent",IF($X221&lt;INDEX(08_Attendance_Rules!$B$2:$B$5,MATCH($H221,08_Attendance_Rules!$A$2:$A$5,0)),"Half Day",IF($T221="Y","Half Day","Present")))))</f>
        <v>Present</v>
      </c>
      <c r="AA221" s="12" t="str">
        <f aca="false">IF($X221=0,"-",INT($X221/60)&amp;":"&amp;TEXT(MOD($X221,60),"00"))</f>
        <v>9:12</v>
      </c>
      <c r="AB221" s="12" t="str">
        <f aca="false">IF($Y221=0,"-",INT($Y221/60)&amp;":"&amp;TEXT(MOD($Y221,60),"00"))</f>
        <v>-</v>
      </c>
    </row>
    <row r="222" customFormat="false" ht="15" hidden="false" customHeight="true" outlineLevel="0" collapsed="false">
      <c r="A222" s="10" t="s">
        <v>2308</v>
      </c>
      <c r="B222" s="10" t="s">
        <v>785</v>
      </c>
      <c r="C222" s="10" t="s">
        <v>786</v>
      </c>
      <c r="D222" s="10" t="s">
        <v>1459</v>
      </c>
      <c r="E222" s="10" t="s">
        <v>2065</v>
      </c>
      <c r="F222" s="10" t="s">
        <v>478</v>
      </c>
      <c r="G222" s="10" t="s">
        <v>478</v>
      </c>
      <c r="H222" s="10" t="n">
        <v>9</v>
      </c>
      <c r="I222" s="10" t="n">
        <v>540</v>
      </c>
      <c r="J222" s="10" t="s">
        <v>2059</v>
      </c>
      <c r="K222" s="10" t="s">
        <v>2025</v>
      </c>
      <c r="L222" s="10" t="s">
        <v>1621</v>
      </c>
      <c r="M222" s="10" t="n">
        <v>548</v>
      </c>
      <c r="N222" s="10" t="n">
        <v>45</v>
      </c>
      <c r="O222" s="10" t="n">
        <v>0</v>
      </c>
      <c r="P222" s="10" t="n">
        <v>0</v>
      </c>
      <c r="Q222" s="10" t="s">
        <v>332</v>
      </c>
      <c r="R222" s="10" t="n">
        <v>22</v>
      </c>
      <c r="S222" s="10" t="n">
        <v>5</v>
      </c>
      <c r="T222" s="10" t="s">
        <v>226</v>
      </c>
      <c r="U222" s="10" t="s">
        <v>226</v>
      </c>
      <c r="V222" s="10" t="s">
        <v>2309</v>
      </c>
      <c r="W222" s="10"/>
      <c r="X222" s="10" t="n">
        <f aca="false">$M222-$O222+$P222</f>
        <v>548</v>
      </c>
      <c r="Y222" s="10" t="n">
        <f aca="false">IF($M222=0,0,IF($J222="Working",IF($Q222="All",MAX(0,$M222-$I222),0),IF($Q222="None",0,$M222)))</f>
        <v>0</v>
      </c>
      <c r="Z222" s="10" t="str">
        <f aca="false">IF($J222&lt;&gt;"Working",IF($M222&gt;0,$J222&amp;" — worked",$J222),IF($U222="Y","Present",IF($X222&lt;INDEX(08_Attendance_Rules!$C$2:$C$5,MATCH($H222,08_Attendance_Rules!$A$2:$A$5,0)),"Absent",IF($X222&lt;INDEX(08_Attendance_Rules!$B$2:$B$5,MATCH($H222,08_Attendance_Rules!$A$2:$A$5,0)),"Half Day",IF($T222="Y","Half Day","Present")))))</f>
        <v>Present</v>
      </c>
      <c r="AA222" s="10" t="str">
        <f aca="false">IF($X222=0,"-",INT($X222/60)&amp;":"&amp;TEXT(MOD($X222,60),"00"))</f>
        <v>9:08</v>
      </c>
      <c r="AB222" s="10" t="str">
        <f aca="false">IF($Y222=0,"-",INT($Y222/60)&amp;":"&amp;TEXT(MOD($Y222,60),"00"))</f>
        <v>-</v>
      </c>
    </row>
    <row r="223" customFormat="false" ht="15" hidden="false" customHeight="true" outlineLevel="0" collapsed="false">
      <c r="A223" s="12" t="s">
        <v>2310</v>
      </c>
      <c r="B223" s="12" t="s">
        <v>785</v>
      </c>
      <c r="C223" s="12" t="s">
        <v>786</v>
      </c>
      <c r="D223" s="12" t="s">
        <v>1545</v>
      </c>
      <c r="E223" s="12" t="s">
        <v>2067</v>
      </c>
      <c r="F223" s="12" t="s">
        <v>478</v>
      </c>
      <c r="G223" s="12" t="s">
        <v>478</v>
      </c>
      <c r="H223" s="12" t="n">
        <v>9</v>
      </c>
      <c r="I223" s="12" t="n">
        <v>540</v>
      </c>
      <c r="J223" s="12" t="s">
        <v>2059</v>
      </c>
      <c r="K223" s="12" t="s">
        <v>2028</v>
      </c>
      <c r="L223" s="12" t="s">
        <v>2030</v>
      </c>
      <c r="M223" s="12" t="n">
        <v>547</v>
      </c>
      <c r="N223" s="12" t="n">
        <v>45</v>
      </c>
      <c r="O223" s="12" t="n">
        <v>0</v>
      </c>
      <c r="P223" s="12" t="n">
        <v>0</v>
      </c>
      <c r="Q223" s="12" t="s">
        <v>332</v>
      </c>
      <c r="R223" s="12" t="n">
        <v>8</v>
      </c>
      <c r="S223" s="12"/>
      <c r="T223" s="12" t="s">
        <v>226</v>
      </c>
      <c r="U223" s="12" t="s">
        <v>226</v>
      </c>
      <c r="V223" s="12" t="s">
        <v>2311</v>
      </c>
      <c r="W223" s="12"/>
      <c r="X223" s="12" t="n">
        <f aca="false">$M223-$O223+$P223</f>
        <v>547</v>
      </c>
      <c r="Y223" s="12" t="n">
        <f aca="false">IF($M223=0,0,IF($J223="Working",IF($Q223="All",MAX(0,$M223-$I223),0),IF($Q223="None",0,$M223)))</f>
        <v>0</v>
      </c>
      <c r="Z223" s="12" t="str">
        <f aca="false">IF($J223&lt;&gt;"Working",IF($M223&gt;0,$J223&amp;" — worked",$J223),IF($U223="Y","Present",IF($X223&lt;INDEX(08_Attendance_Rules!$C$2:$C$5,MATCH($H223,08_Attendance_Rules!$A$2:$A$5,0)),"Absent",IF($X223&lt;INDEX(08_Attendance_Rules!$B$2:$B$5,MATCH($H223,08_Attendance_Rules!$A$2:$A$5,0)),"Half Day",IF($T223="Y","Half Day","Present")))))</f>
        <v>Present</v>
      </c>
      <c r="AA223" s="12" t="str">
        <f aca="false">IF($X223=0,"-",INT($X223/60)&amp;":"&amp;TEXT(MOD($X223,60),"00"))</f>
        <v>9:07</v>
      </c>
      <c r="AB223" s="12" t="str">
        <f aca="false">IF($Y223=0,"-",INT($Y223/60)&amp;":"&amp;TEXT(MOD($Y223,60),"00"))</f>
        <v>-</v>
      </c>
    </row>
    <row r="224" customFormat="false" ht="15" hidden="false" customHeight="true" outlineLevel="0" collapsed="false">
      <c r="A224" s="10" t="s">
        <v>2312</v>
      </c>
      <c r="B224" s="10" t="s">
        <v>785</v>
      </c>
      <c r="C224" s="10" t="s">
        <v>786</v>
      </c>
      <c r="D224" s="10" t="s">
        <v>1409</v>
      </c>
      <c r="E224" s="10" t="s">
        <v>2069</v>
      </c>
      <c r="F224" s="10" t="s">
        <v>478</v>
      </c>
      <c r="G224" s="10" t="s">
        <v>478</v>
      </c>
      <c r="H224" s="10" t="n">
        <v>9</v>
      </c>
      <c r="I224" s="10" t="n">
        <v>540</v>
      </c>
      <c r="J224" s="10" t="s">
        <v>2070</v>
      </c>
      <c r="K224" s="10"/>
      <c r="L224" s="10"/>
      <c r="M224" s="10" t="n">
        <v>0</v>
      </c>
      <c r="N224" s="10" t="n">
        <v>0</v>
      </c>
      <c r="O224" s="10" t="n">
        <v>0</v>
      </c>
      <c r="P224" s="10" t="n">
        <v>0</v>
      </c>
      <c r="Q224" s="10" t="s">
        <v>332</v>
      </c>
      <c r="R224" s="10"/>
      <c r="S224" s="10"/>
      <c r="T224" s="10" t="s">
        <v>226</v>
      </c>
      <c r="U224" s="10" t="s">
        <v>226</v>
      </c>
      <c r="V224" s="10"/>
      <c r="W224" s="10"/>
      <c r="X224" s="10" t="n">
        <f aca="false">$M224-$O224+$P224</f>
        <v>0</v>
      </c>
      <c r="Y224" s="10" t="n">
        <f aca="false">IF($M224=0,0,IF($J224="Working",IF($Q224="All",MAX(0,$M224-$I224),0),IF($Q224="None",0,$M224)))</f>
        <v>0</v>
      </c>
      <c r="Z224" s="10" t="str">
        <f aca="false">IF($J224&lt;&gt;"Working",IF($M224&gt;0,$J224&amp;" — worked",$J224),IF($U224="Y","Present",IF($X224&lt;INDEX(08_Attendance_Rules!$C$2:$C$5,MATCH($H224,08_Attendance_Rules!$A$2:$A$5,0)),"Absent",IF($X224&lt;INDEX(08_Attendance_Rules!$B$2:$B$5,MATCH($H224,08_Attendance_Rules!$A$2:$A$5,0)),"Half Day",IF($T224="Y","Half Day","Present")))))</f>
        <v>Weekly Off</v>
      </c>
      <c r="AA224" s="10" t="str">
        <f aca="false">IF($X224=0,"-",INT($X224/60)&amp;":"&amp;TEXT(MOD($X224,60),"00"))</f>
        <v>-</v>
      </c>
      <c r="AB224" s="10" t="str">
        <f aca="false">IF($Y224=0,"-",INT($Y224/60)&amp;":"&amp;TEXT(MOD($Y224,60),"00"))</f>
        <v>-</v>
      </c>
    </row>
    <row r="225" customFormat="false" ht="15" hidden="false" customHeight="true" outlineLevel="0" collapsed="false">
      <c r="A225" s="12" t="s">
        <v>2313</v>
      </c>
      <c r="B225" s="12" t="s">
        <v>785</v>
      </c>
      <c r="C225" s="12" t="s">
        <v>786</v>
      </c>
      <c r="D225" s="12" t="s">
        <v>1337</v>
      </c>
      <c r="E225" s="12" t="s">
        <v>2072</v>
      </c>
      <c r="F225" s="12" t="s">
        <v>478</v>
      </c>
      <c r="G225" s="12" t="s">
        <v>478</v>
      </c>
      <c r="H225" s="12" t="n">
        <v>9</v>
      </c>
      <c r="I225" s="12" t="n">
        <v>540</v>
      </c>
      <c r="J225" s="12" t="s">
        <v>2059</v>
      </c>
      <c r="K225" s="12" t="s">
        <v>1918</v>
      </c>
      <c r="L225" s="12" t="s">
        <v>1894</v>
      </c>
      <c r="M225" s="12" t="n">
        <v>549</v>
      </c>
      <c r="N225" s="12" t="n">
        <v>45</v>
      </c>
      <c r="O225" s="12" t="n">
        <v>0</v>
      </c>
      <c r="P225" s="12" t="n">
        <v>0</v>
      </c>
      <c r="Q225" s="12" t="s">
        <v>332</v>
      </c>
      <c r="R225" s="12"/>
      <c r="S225" s="12"/>
      <c r="T225" s="12" t="s">
        <v>226</v>
      </c>
      <c r="U225" s="12" t="s">
        <v>226</v>
      </c>
      <c r="V225" s="12"/>
      <c r="W225" s="12"/>
      <c r="X225" s="12" t="n">
        <f aca="false">$M225-$O225+$P225</f>
        <v>549</v>
      </c>
      <c r="Y225" s="12" t="n">
        <f aca="false">IF($M225=0,0,IF($J225="Working",IF($Q225="All",MAX(0,$M225-$I225),0),IF($Q225="None",0,$M225)))</f>
        <v>0</v>
      </c>
      <c r="Z225" s="12" t="str">
        <f aca="false">IF($J225&lt;&gt;"Working",IF($M225&gt;0,$J225&amp;" — worked",$J225),IF($U225="Y","Present",IF($X225&lt;INDEX(08_Attendance_Rules!$C$2:$C$5,MATCH($H225,08_Attendance_Rules!$A$2:$A$5,0)),"Absent",IF($X225&lt;INDEX(08_Attendance_Rules!$B$2:$B$5,MATCH($H225,08_Attendance_Rules!$A$2:$A$5,0)),"Half Day",IF($T225="Y","Half Day","Present")))))</f>
        <v>Present</v>
      </c>
      <c r="AA225" s="12" t="str">
        <f aca="false">IF($X225=0,"-",INT($X225/60)&amp;":"&amp;TEXT(MOD($X225,60),"00"))</f>
        <v>9:09</v>
      </c>
      <c r="AB225" s="12" t="str">
        <f aca="false">IF($Y225=0,"-",INT($Y225/60)&amp;":"&amp;TEXT(MOD($Y225,60),"00"))</f>
        <v>-</v>
      </c>
    </row>
    <row r="226" customFormat="false" ht="15" hidden="false" customHeight="true" outlineLevel="0" collapsed="false">
      <c r="A226" s="10" t="s">
        <v>2314</v>
      </c>
      <c r="B226" s="10" t="s">
        <v>785</v>
      </c>
      <c r="C226" s="10" t="s">
        <v>786</v>
      </c>
      <c r="D226" s="10" t="s">
        <v>531</v>
      </c>
      <c r="E226" s="10" t="s">
        <v>2058</v>
      </c>
      <c r="F226" s="10" t="s">
        <v>478</v>
      </c>
      <c r="G226" s="10" t="s">
        <v>478</v>
      </c>
      <c r="H226" s="10" t="n">
        <v>9</v>
      </c>
      <c r="I226" s="10" t="n">
        <v>540</v>
      </c>
      <c r="J226" s="10" t="s">
        <v>2059</v>
      </c>
      <c r="K226" s="10" t="s">
        <v>2034</v>
      </c>
      <c r="L226" s="10" t="s">
        <v>1916</v>
      </c>
      <c r="M226" s="10" t="n">
        <v>549</v>
      </c>
      <c r="N226" s="10" t="n">
        <v>45</v>
      </c>
      <c r="O226" s="10" t="n">
        <v>0</v>
      </c>
      <c r="P226" s="10" t="n">
        <v>0</v>
      </c>
      <c r="Q226" s="10" t="s">
        <v>332</v>
      </c>
      <c r="R226" s="10" t="n">
        <v>1</v>
      </c>
      <c r="S226" s="10"/>
      <c r="T226" s="10" t="s">
        <v>226</v>
      </c>
      <c r="U226" s="10" t="s">
        <v>226</v>
      </c>
      <c r="V226" s="10"/>
      <c r="W226" s="10"/>
      <c r="X226" s="10" t="n">
        <f aca="false">$M226-$O226+$P226</f>
        <v>549</v>
      </c>
      <c r="Y226" s="10" t="n">
        <f aca="false">IF($M226=0,0,IF($J226="Working",IF($Q226="All",MAX(0,$M226-$I226),0),IF($Q226="None",0,$M226)))</f>
        <v>0</v>
      </c>
      <c r="Z226" s="10" t="str">
        <f aca="false">IF($J226&lt;&gt;"Working",IF($M226&gt;0,$J226&amp;" — worked",$J226),IF($U226="Y","Present",IF($X226&lt;INDEX(08_Attendance_Rules!$C$2:$C$5,MATCH($H226,08_Attendance_Rules!$A$2:$A$5,0)),"Absent",IF($X226&lt;INDEX(08_Attendance_Rules!$B$2:$B$5,MATCH($H226,08_Attendance_Rules!$A$2:$A$5,0)),"Half Day",IF($T226="Y","Half Day","Present")))))</f>
        <v>Present</v>
      </c>
      <c r="AA226" s="10" t="str">
        <f aca="false">IF($X226=0,"-",INT($X226/60)&amp;":"&amp;TEXT(MOD($X226,60),"00"))</f>
        <v>9:09</v>
      </c>
      <c r="AB226" s="10" t="str">
        <f aca="false">IF($Y226=0,"-",INT($Y226/60)&amp;":"&amp;TEXT(MOD($Y226,60),"00"))</f>
        <v>-</v>
      </c>
    </row>
    <row r="228" customFormat="false" ht="27.75" hidden="false" customHeight="true" outlineLevel="0" collapsed="false">
      <c r="A228" s="14" t="s">
        <v>2315</v>
      </c>
      <c r="B228" s="14"/>
      <c r="C228" s="14"/>
      <c r="D228" s="14"/>
      <c r="E228" s="14"/>
      <c r="F228" s="14"/>
      <c r="G228" s="14"/>
      <c r="H228" s="14"/>
    </row>
  </sheetData>
  <autoFilter ref="A1:AB211"/>
  <mergeCells count="1">
    <mergeCell ref="A228:H2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6" min="5" style="1" width="8"/>
    <col collapsed="false" customWidth="true" hidden="false" outlineLevel="0" max="7" min="7" style="1" width="9"/>
    <col collapsed="false" customWidth="true" hidden="false" outlineLevel="0" max="8" min="8" style="1" width="11"/>
    <col collapsed="false" customWidth="true" hidden="false" outlineLevel="0" max="9" min="9" style="1" width="26"/>
    <col collapsed="false" customWidth="true" hidden="false" outlineLevel="0" max="10" min="10" style="1" width="58"/>
    <col collapsed="false" customWidth="true" hidden="false" outlineLevel="0" max="11" min="11" style="1" width="11"/>
    <col collapsed="false" customWidth="true" hidden="false" outlineLevel="0" max="12" min="12" style="1" width="20"/>
    <col collapsed="false" customWidth="true" hidden="false" outlineLevel="0" max="13" min="13" style="1" width="18"/>
    <col collapsed="false" customWidth="true" hidden="false" outlineLevel="0" max="14" min="14" style="1" width="52"/>
  </cols>
  <sheetData>
    <row r="1" customFormat="false" ht="30" hidden="false" customHeight="true" outlineLevel="0" collapsed="false">
      <c r="A1" s="7" t="s">
        <v>2316</v>
      </c>
      <c r="B1" s="7" t="s">
        <v>608</v>
      </c>
      <c r="C1" s="7" t="s">
        <v>1183</v>
      </c>
      <c r="D1" s="7" t="s">
        <v>504</v>
      </c>
      <c r="E1" s="7" t="s">
        <v>1423</v>
      </c>
      <c r="F1" s="7" t="s">
        <v>1424</v>
      </c>
      <c r="G1" s="7" t="s">
        <v>2317</v>
      </c>
      <c r="H1" s="7" t="s">
        <v>268</v>
      </c>
      <c r="I1" s="7" t="s">
        <v>1471</v>
      </c>
      <c r="J1" s="7" t="s">
        <v>185</v>
      </c>
      <c r="K1" s="7" t="s">
        <v>2318</v>
      </c>
      <c r="L1" s="7" t="s">
        <v>2319</v>
      </c>
      <c r="M1" s="7" t="s">
        <v>2320</v>
      </c>
      <c r="N1" s="7" t="s">
        <v>40</v>
      </c>
    </row>
    <row r="2" customFormat="false" ht="15" hidden="false" customHeight="true" outlineLevel="0" collapsed="false">
      <c r="A2" s="9" t="s">
        <v>2321</v>
      </c>
      <c r="B2" s="9" t="s">
        <v>583</v>
      </c>
      <c r="C2" s="9" t="s">
        <v>805</v>
      </c>
      <c r="D2" s="9" t="s">
        <v>1511</v>
      </c>
      <c r="E2" s="9" t="s">
        <v>1654</v>
      </c>
      <c r="F2" s="9" t="s">
        <v>1656</v>
      </c>
      <c r="G2" s="9" t="n">
        <v>120</v>
      </c>
      <c r="H2" s="9" t="s">
        <v>2322</v>
      </c>
      <c r="I2" s="9" t="s">
        <v>2323</v>
      </c>
      <c r="J2" s="9" t="s">
        <v>1453</v>
      </c>
      <c r="K2" s="9" t="s">
        <v>808</v>
      </c>
      <c r="L2" s="9" t="n">
        <v>120</v>
      </c>
      <c r="M2" s="9" t="n">
        <v>1</v>
      </c>
      <c r="N2" s="9" t="s">
        <v>2324</v>
      </c>
    </row>
    <row r="3" customFormat="false" ht="15" hidden="false" customHeight="true" outlineLevel="0" collapsed="false">
      <c r="A3" s="11" t="s">
        <v>2325</v>
      </c>
      <c r="B3" s="11" t="s">
        <v>583</v>
      </c>
      <c r="C3" s="11" t="s">
        <v>805</v>
      </c>
      <c r="D3" s="11" t="s">
        <v>1459</v>
      </c>
      <c r="E3" s="11" t="s">
        <v>490</v>
      </c>
      <c r="F3" s="11" t="s">
        <v>1672</v>
      </c>
      <c r="G3" s="11" t="n">
        <v>120</v>
      </c>
      <c r="H3" s="11" t="s">
        <v>2322</v>
      </c>
      <c r="I3" s="11" t="s">
        <v>2326</v>
      </c>
      <c r="J3" s="11" t="s">
        <v>1453</v>
      </c>
      <c r="K3" s="11" t="s">
        <v>808</v>
      </c>
      <c r="L3" s="11" t="n">
        <v>240</v>
      </c>
      <c r="M3" s="11" t="n">
        <v>2</v>
      </c>
      <c r="N3" s="11" t="s">
        <v>2324</v>
      </c>
    </row>
    <row r="4" customFormat="false" ht="21.75" hidden="false" customHeight="true" outlineLevel="0" collapsed="false">
      <c r="A4" s="9" t="s">
        <v>2327</v>
      </c>
      <c r="B4" s="9" t="s">
        <v>583</v>
      </c>
      <c r="C4" s="9" t="s">
        <v>805</v>
      </c>
      <c r="D4" s="9" t="s">
        <v>1443</v>
      </c>
      <c r="E4" s="9" t="s">
        <v>2328</v>
      </c>
      <c r="F4" s="9" t="s">
        <v>470</v>
      </c>
      <c r="G4" s="9" t="n">
        <v>120</v>
      </c>
      <c r="H4" s="9" t="s">
        <v>2322</v>
      </c>
      <c r="I4" s="9" t="s">
        <v>2329</v>
      </c>
      <c r="J4" s="9" t="s">
        <v>2330</v>
      </c>
      <c r="K4" s="9" t="s">
        <v>808</v>
      </c>
      <c r="L4" s="9" t="n">
        <v>240</v>
      </c>
      <c r="M4" s="9" t="n">
        <v>2</v>
      </c>
      <c r="N4" s="9" t="s">
        <v>2324</v>
      </c>
    </row>
    <row r="5" customFormat="false" ht="15" hidden="false" customHeight="true" outlineLevel="0" collapsed="false">
      <c r="A5" s="11" t="s">
        <v>2331</v>
      </c>
      <c r="B5" s="11" t="s">
        <v>586</v>
      </c>
      <c r="C5" s="11" t="s">
        <v>826</v>
      </c>
      <c r="D5" s="11" t="s">
        <v>1332</v>
      </c>
      <c r="E5" s="11" t="s">
        <v>2332</v>
      </c>
      <c r="F5" s="11" t="s">
        <v>2333</v>
      </c>
      <c r="G5" s="11" t="n">
        <v>60</v>
      </c>
      <c r="H5" s="11" t="s">
        <v>2334</v>
      </c>
      <c r="I5" s="11" t="s">
        <v>2335</v>
      </c>
      <c r="J5" s="11" t="s">
        <v>1453</v>
      </c>
      <c r="K5" s="11" t="s">
        <v>829</v>
      </c>
      <c r="L5" s="11" t="n">
        <v>0</v>
      </c>
      <c r="M5" s="11" t="n">
        <v>0</v>
      </c>
      <c r="N5" s="11" t="s">
        <v>2336</v>
      </c>
    </row>
    <row r="6" customFormat="false" ht="15" hidden="false" customHeight="true" outlineLevel="0" collapsed="false">
      <c r="A6" s="9" t="s">
        <v>2337</v>
      </c>
      <c r="B6" s="9" t="s">
        <v>978</v>
      </c>
      <c r="C6" s="9" t="s">
        <v>979</v>
      </c>
      <c r="D6" s="9" t="s">
        <v>1377</v>
      </c>
      <c r="E6" s="9" t="s">
        <v>2338</v>
      </c>
      <c r="F6" s="9" t="s">
        <v>1656</v>
      </c>
      <c r="G6" s="9" t="n">
        <v>240</v>
      </c>
      <c r="H6" s="9" t="s">
        <v>2322</v>
      </c>
      <c r="I6" s="9" t="s">
        <v>2339</v>
      </c>
      <c r="J6" s="9" t="s">
        <v>1453</v>
      </c>
      <c r="K6" s="9" t="s">
        <v>945</v>
      </c>
      <c r="L6" s="9" t="n">
        <v>240</v>
      </c>
      <c r="M6" s="9" t="n">
        <v>1</v>
      </c>
      <c r="N6" s="9" t="s">
        <v>2340</v>
      </c>
    </row>
    <row r="8" customFormat="false" ht="27.75" hidden="false" customHeight="true" outlineLevel="0" collapsed="false">
      <c r="A8" s="13" t="s">
        <v>2341</v>
      </c>
      <c r="B8" s="13"/>
      <c r="C8" s="13"/>
      <c r="D8" s="13"/>
      <c r="E8" s="13"/>
      <c r="F8" s="13"/>
      <c r="G8" s="13"/>
      <c r="H8" s="13"/>
    </row>
  </sheetData>
  <autoFilter ref="A1:N6"/>
  <mergeCells count="1">
    <mergeCell ref="A8:H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4"/>
    <col collapsed="false" customWidth="true" hidden="false" outlineLevel="0" max="3" min="3" style="1" width="22"/>
    <col collapsed="false" customWidth="true" hidden="false" outlineLevel="0" max="6" min="4" style="1" width="12"/>
    <col collapsed="false" customWidth="true" hidden="false" outlineLevel="0" max="7" min="7" style="1" width="10"/>
    <col collapsed="false" customWidth="true" hidden="false" outlineLevel="0" max="8" min="8" style="1" width="15"/>
    <col collapsed="false" customWidth="true" hidden="false" outlineLevel="0" max="9" min="9" style="1" width="20"/>
    <col collapsed="false" customWidth="true" hidden="false" outlineLevel="0" max="10" min="10" style="1" width="12"/>
    <col collapsed="false" customWidth="true" hidden="false" outlineLevel="0" max="11" min="11" style="1" width="13"/>
    <col collapsed="false" customWidth="true" hidden="false" outlineLevel="0" max="12" min="12" style="1" width="15"/>
    <col collapsed="false" customWidth="true" hidden="false" outlineLevel="0" max="13" min="13" style="1" width="62"/>
  </cols>
  <sheetData>
    <row r="1" customFormat="false" ht="30" hidden="false" customHeight="true" outlineLevel="0" collapsed="false">
      <c r="A1" s="7" t="s">
        <v>2342</v>
      </c>
      <c r="B1" s="7" t="s">
        <v>608</v>
      </c>
      <c r="C1" s="7" t="s">
        <v>1183</v>
      </c>
      <c r="D1" s="7" t="s">
        <v>504</v>
      </c>
      <c r="E1" s="7" t="s">
        <v>2040</v>
      </c>
      <c r="F1" s="7" t="s">
        <v>2343</v>
      </c>
      <c r="G1" s="7" t="s">
        <v>2344</v>
      </c>
      <c r="H1" s="7" t="s">
        <v>2345</v>
      </c>
      <c r="I1" s="7" t="s">
        <v>2346</v>
      </c>
      <c r="J1" s="7" t="s">
        <v>552</v>
      </c>
      <c r="K1" s="7" t="s">
        <v>2347</v>
      </c>
      <c r="L1" s="7" t="s">
        <v>2348</v>
      </c>
      <c r="M1" s="7" t="s">
        <v>40</v>
      </c>
    </row>
    <row r="2" customFormat="false" ht="15" hidden="false" customHeight="true" outlineLevel="0" collapsed="false">
      <c r="A2" s="9" t="s">
        <v>2349</v>
      </c>
      <c r="B2" s="9" t="s">
        <v>580</v>
      </c>
      <c r="C2" s="9" t="s">
        <v>766</v>
      </c>
      <c r="D2" s="9" t="s">
        <v>1524</v>
      </c>
      <c r="E2" s="9" t="s">
        <v>2059</v>
      </c>
      <c r="F2" s="9" t="n">
        <v>440</v>
      </c>
      <c r="G2" s="9" t="s">
        <v>2350</v>
      </c>
      <c r="H2" s="9" t="s">
        <v>2351</v>
      </c>
      <c r="I2" s="9" t="s">
        <v>355</v>
      </c>
      <c r="J2" s="9" t="s">
        <v>759</v>
      </c>
      <c r="K2" s="9" t="s">
        <v>1377</v>
      </c>
      <c r="L2" s="9" t="s">
        <v>2352</v>
      </c>
      <c r="M2" s="9" t="s">
        <v>2353</v>
      </c>
    </row>
    <row r="3" customFormat="false" ht="15" hidden="false" customHeight="true" outlineLevel="0" collapsed="false">
      <c r="A3" s="11" t="s">
        <v>2354</v>
      </c>
      <c r="B3" s="11" t="s">
        <v>586</v>
      </c>
      <c r="C3" s="11" t="s">
        <v>826</v>
      </c>
      <c r="D3" s="11" t="s">
        <v>1515</v>
      </c>
      <c r="E3" s="11" t="s">
        <v>2059</v>
      </c>
      <c r="F3" s="11" t="n">
        <v>12</v>
      </c>
      <c r="G3" s="11" t="s">
        <v>2355</v>
      </c>
      <c r="H3" s="11" t="s">
        <v>2351</v>
      </c>
      <c r="I3" s="11" t="s">
        <v>355</v>
      </c>
      <c r="J3" s="11" t="s">
        <v>829</v>
      </c>
      <c r="K3" s="11" t="s">
        <v>1359</v>
      </c>
      <c r="L3" s="11" t="s">
        <v>2352</v>
      </c>
      <c r="M3" s="11"/>
    </row>
    <row r="4" customFormat="false" ht="15" hidden="false" customHeight="true" outlineLevel="0" collapsed="false">
      <c r="A4" s="9" t="s">
        <v>2356</v>
      </c>
      <c r="B4" s="9" t="s">
        <v>894</v>
      </c>
      <c r="C4" s="9" t="s">
        <v>895</v>
      </c>
      <c r="D4" s="9" t="s">
        <v>1359</v>
      </c>
      <c r="E4" s="9" t="s">
        <v>2070</v>
      </c>
      <c r="F4" s="9" t="n">
        <v>728</v>
      </c>
      <c r="G4" s="9" t="s">
        <v>2357</v>
      </c>
      <c r="H4" s="9" t="s">
        <v>2351</v>
      </c>
      <c r="I4" s="9" t="s">
        <v>381</v>
      </c>
      <c r="J4" s="9" t="s">
        <v>785</v>
      </c>
      <c r="K4" s="9" t="s">
        <v>1332</v>
      </c>
      <c r="L4" s="9" t="s">
        <v>2352</v>
      </c>
      <c r="M4" s="9" t="s">
        <v>2358</v>
      </c>
    </row>
    <row r="5" customFormat="false" ht="15" hidden="false" customHeight="true" outlineLevel="0" collapsed="false">
      <c r="A5" s="11" t="s">
        <v>2359</v>
      </c>
      <c r="B5" s="11" t="s">
        <v>894</v>
      </c>
      <c r="C5" s="11" t="s">
        <v>895</v>
      </c>
      <c r="D5" s="11" t="s">
        <v>1511</v>
      </c>
      <c r="E5" s="11" t="s">
        <v>2059</v>
      </c>
      <c r="F5" s="11" t="n">
        <v>0</v>
      </c>
      <c r="G5" s="11" t="s">
        <v>2360</v>
      </c>
      <c r="H5" s="11" t="s">
        <v>2351</v>
      </c>
      <c r="I5" s="11" t="s">
        <v>381</v>
      </c>
      <c r="J5" s="11" t="s">
        <v>2361</v>
      </c>
      <c r="K5" s="11"/>
      <c r="L5" s="11"/>
      <c r="M5" s="11" t="s">
        <v>2362</v>
      </c>
    </row>
    <row r="6" customFormat="false" ht="21.75" hidden="false" customHeight="true" outlineLevel="0" collapsed="false">
      <c r="A6" s="9" t="s">
        <v>2363</v>
      </c>
      <c r="B6" s="9" t="s">
        <v>914</v>
      </c>
      <c r="C6" s="9" t="s">
        <v>915</v>
      </c>
      <c r="D6" s="9" t="s">
        <v>1359</v>
      </c>
      <c r="E6" s="9" t="s">
        <v>2059</v>
      </c>
      <c r="F6" s="9" t="n">
        <v>0</v>
      </c>
      <c r="G6" s="9" t="s">
        <v>2360</v>
      </c>
      <c r="H6" s="9" t="s">
        <v>2351</v>
      </c>
      <c r="I6" s="9" t="s">
        <v>381</v>
      </c>
      <c r="J6" s="9" t="s">
        <v>2361</v>
      </c>
      <c r="K6" s="9"/>
      <c r="L6" s="9"/>
      <c r="M6" s="9" t="s">
        <v>2364</v>
      </c>
    </row>
    <row r="7" customFormat="false" ht="15" hidden="false" customHeight="true" outlineLevel="0" collapsed="false">
      <c r="A7" s="11" t="s">
        <v>2365</v>
      </c>
      <c r="B7" s="11" t="s">
        <v>840</v>
      </c>
      <c r="C7" s="11" t="s">
        <v>841</v>
      </c>
      <c r="D7" s="11" t="s">
        <v>1359</v>
      </c>
      <c r="E7" s="11" t="s">
        <v>2070</v>
      </c>
      <c r="F7" s="11" t="n">
        <v>0</v>
      </c>
      <c r="G7" s="11" t="s">
        <v>2360</v>
      </c>
      <c r="H7" s="11" t="s">
        <v>2366</v>
      </c>
      <c r="I7" s="11" t="s">
        <v>355</v>
      </c>
      <c r="J7" s="11" t="s">
        <v>785</v>
      </c>
      <c r="K7" s="11" t="s">
        <v>1332</v>
      </c>
      <c r="L7" s="11" t="s">
        <v>2367</v>
      </c>
      <c r="M7" s="11" t="s">
        <v>2368</v>
      </c>
    </row>
    <row r="8" customFormat="false" ht="15" hidden="false" customHeight="true" outlineLevel="0" collapsed="false">
      <c r="A8" s="9" t="s">
        <v>2369</v>
      </c>
      <c r="B8" s="9" t="s">
        <v>875</v>
      </c>
      <c r="C8" s="9" t="s">
        <v>876</v>
      </c>
      <c r="D8" s="9" t="s">
        <v>1409</v>
      </c>
      <c r="E8" s="9" t="s">
        <v>2059</v>
      </c>
      <c r="F8" s="9" t="n">
        <v>12</v>
      </c>
      <c r="G8" s="9" t="s">
        <v>2355</v>
      </c>
      <c r="H8" s="9" t="s">
        <v>2351</v>
      </c>
      <c r="I8" s="9" t="s">
        <v>355</v>
      </c>
      <c r="J8" s="9" t="s">
        <v>759</v>
      </c>
      <c r="K8" s="9" t="s">
        <v>1337</v>
      </c>
      <c r="L8" s="9" t="s">
        <v>2352</v>
      </c>
      <c r="M8" s="9" t="s">
        <v>2370</v>
      </c>
    </row>
    <row r="10" customFormat="false" ht="27.75" hidden="false" customHeight="true" outlineLevel="0" collapsed="false">
      <c r="A10" s="13" t="s">
        <v>2371</v>
      </c>
      <c r="B10" s="13"/>
      <c r="C10" s="13"/>
      <c r="D10" s="13"/>
      <c r="E10" s="13"/>
      <c r="F10" s="13"/>
      <c r="G10" s="13"/>
      <c r="H10" s="13"/>
    </row>
  </sheetData>
  <autoFilter ref="A1:M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22"/>
    <col collapsed="false" customWidth="true" hidden="false" outlineLevel="0" max="4" min="4" style="1" width="24"/>
    <col collapsed="false" customWidth="true" hidden="false" outlineLevel="0" max="6" min="5" style="1" width="14"/>
    <col collapsed="false" customWidth="true" hidden="false" outlineLevel="0" max="7" min="7" style="1" width="15"/>
    <col collapsed="false" customWidth="true" hidden="false" outlineLevel="0" max="9" min="8" style="1" width="16"/>
    <col collapsed="false" customWidth="true" hidden="false" outlineLevel="0" max="10" min="10" style="1" width="26"/>
    <col collapsed="false" customWidth="true" hidden="false" outlineLevel="0" max="12" min="11" style="1" width="13"/>
    <col collapsed="false" customWidth="true" hidden="false" outlineLevel="0" max="13" min="13" style="1" width="38"/>
    <col collapsed="false" customWidth="true" hidden="false" outlineLevel="0" max="14" min="14" style="1" width="62"/>
    <col collapsed="false" customWidth="true" hidden="false" outlineLevel="0" max="15" min="15" style="1" width="12"/>
    <col collapsed="false" customWidth="true" hidden="false" outlineLevel="0" max="16" min="16" style="1" width="15"/>
    <col collapsed="false" customWidth="true" hidden="false" outlineLevel="0" max="17" min="17" style="1" width="19"/>
    <col collapsed="false" customWidth="true" hidden="false" outlineLevel="0" max="18" min="18" style="1" width="15"/>
  </cols>
  <sheetData>
    <row r="1" customFormat="false" ht="30" hidden="false" customHeight="true" outlineLevel="0" collapsed="false">
      <c r="A1" s="7" t="s">
        <v>2372</v>
      </c>
      <c r="B1" s="7" t="s">
        <v>608</v>
      </c>
      <c r="C1" s="7" t="s">
        <v>1183</v>
      </c>
      <c r="D1" s="7" t="s">
        <v>3</v>
      </c>
      <c r="E1" s="7" t="s">
        <v>2373</v>
      </c>
      <c r="F1" s="7" t="s">
        <v>2374</v>
      </c>
      <c r="G1" s="7" t="s">
        <v>2375</v>
      </c>
      <c r="H1" s="7" t="s">
        <v>2376</v>
      </c>
      <c r="I1" s="7" t="s">
        <v>2377</v>
      </c>
      <c r="J1" s="7" t="s">
        <v>185</v>
      </c>
      <c r="K1" s="7" t="s">
        <v>2378</v>
      </c>
      <c r="L1" s="7" t="s">
        <v>2379</v>
      </c>
      <c r="M1" s="7" t="s">
        <v>2346</v>
      </c>
      <c r="N1" s="7" t="s">
        <v>2380</v>
      </c>
      <c r="O1" s="7" t="s">
        <v>1184</v>
      </c>
      <c r="P1" s="7" t="s">
        <v>2381</v>
      </c>
      <c r="Q1" s="7" t="s">
        <v>2382</v>
      </c>
      <c r="R1" s="7" t="s">
        <v>2383</v>
      </c>
    </row>
    <row r="2" customFormat="false" ht="15" hidden="false" customHeight="true" outlineLevel="0" collapsed="false">
      <c r="A2" s="9" t="s">
        <v>2384</v>
      </c>
      <c r="B2" s="9" t="s">
        <v>978</v>
      </c>
      <c r="C2" s="9" t="s">
        <v>979</v>
      </c>
      <c r="D2" s="9" t="s">
        <v>2385</v>
      </c>
      <c r="E2" s="17" t="n">
        <v>84000</v>
      </c>
      <c r="F2" s="9" t="s">
        <v>2386</v>
      </c>
      <c r="G2" s="9" t="n">
        <v>24</v>
      </c>
      <c r="H2" s="17" t="n">
        <v>3500</v>
      </c>
      <c r="I2" s="17" t="n">
        <v>52500</v>
      </c>
      <c r="J2" s="9" t="s">
        <v>194</v>
      </c>
      <c r="K2" s="9" t="s">
        <v>657</v>
      </c>
      <c r="L2" s="9" t="s">
        <v>226</v>
      </c>
      <c r="M2" s="9" t="s">
        <v>2387</v>
      </c>
      <c r="N2" s="9" t="s">
        <v>2388</v>
      </c>
      <c r="O2" s="17" t="n">
        <f aca="false">IFERROR(INDEX(13_Salary_Structure!$E:$E,MATCH($B2,13_Salary_Structure!$A:$A,0)),"")</f>
        <v>21750</v>
      </c>
      <c r="P2" s="9" t="n">
        <v>4</v>
      </c>
      <c r="Q2" s="17" t="n">
        <f aca="false">IF($O2="","",$O2*$P2)</f>
        <v>87000</v>
      </c>
      <c r="R2" s="9" t="str">
        <f aca="false">IF(OR($O2="",$E2=""),"",IF($E2&lt;=$Q2,"Yes","No — override required"))</f>
        <v>Yes</v>
      </c>
    </row>
    <row r="3" customFormat="false" ht="15" hidden="false" customHeight="true" outlineLevel="0" collapsed="false">
      <c r="A3" s="11" t="s">
        <v>2389</v>
      </c>
      <c r="B3" s="11" t="s">
        <v>1068</v>
      </c>
      <c r="C3" s="11" t="s">
        <v>1069</v>
      </c>
      <c r="D3" s="11" t="s">
        <v>2390</v>
      </c>
      <c r="E3" s="19" t="n">
        <v>228000</v>
      </c>
      <c r="F3" s="11" t="s">
        <v>2391</v>
      </c>
      <c r="G3" s="11" t="n">
        <v>36</v>
      </c>
      <c r="H3" s="19" t="n">
        <v>6340</v>
      </c>
      <c r="I3" s="19" t="n">
        <v>177520</v>
      </c>
      <c r="J3" s="11" t="s">
        <v>194</v>
      </c>
      <c r="K3" s="11" t="s">
        <v>657</v>
      </c>
      <c r="L3" s="11" t="s">
        <v>226</v>
      </c>
      <c r="M3" s="11" t="s">
        <v>2392</v>
      </c>
      <c r="N3" s="11" t="s">
        <v>2393</v>
      </c>
      <c r="O3" s="19" t="n">
        <f aca="false">IFERROR(INDEX(13_Salary_Structure!$E:$E,MATCH($B3,13_Salary_Structure!$A:$A,0)),"")</f>
        <v>39000</v>
      </c>
      <c r="P3" s="11" t="n">
        <v>6</v>
      </c>
      <c r="Q3" s="19" t="n">
        <f aca="false">IF($O3="","",$O3*$P3)</f>
        <v>234000</v>
      </c>
      <c r="R3" s="11" t="str">
        <f aca="false">IF(OR($O3="",$E3=""),"",IF($E3&lt;=$Q3,"Yes","No — override required"))</f>
        <v>Yes</v>
      </c>
    </row>
    <row r="4" customFormat="false" ht="15" hidden="false" customHeight="true" outlineLevel="0" collapsed="false">
      <c r="A4" s="9" t="s">
        <v>2394</v>
      </c>
      <c r="B4" s="9" t="s">
        <v>1023</v>
      </c>
      <c r="C4" s="9" t="s">
        <v>1024</v>
      </c>
      <c r="D4" s="9" t="s">
        <v>2385</v>
      </c>
      <c r="E4" s="17" t="n">
        <v>144000</v>
      </c>
      <c r="F4" s="9" t="s">
        <v>2395</v>
      </c>
      <c r="G4" s="9" t="n">
        <v>24</v>
      </c>
      <c r="H4" s="17" t="n">
        <v>6000</v>
      </c>
      <c r="I4" s="17" t="n">
        <v>0</v>
      </c>
      <c r="J4" s="9" t="s">
        <v>2396</v>
      </c>
      <c r="K4" s="9" t="s">
        <v>657</v>
      </c>
      <c r="L4" s="9" t="s">
        <v>226</v>
      </c>
      <c r="M4" s="9" t="s">
        <v>2387</v>
      </c>
      <c r="N4" s="9" t="s">
        <v>2397</v>
      </c>
      <c r="O4" s="17" t="n">
        <f aca="false">IFERROR(INDEX(13_Salary_Structure!$E:$E,MATCH($B4,13_Salary_Structure!$A:$A,0)),"")</f>
        <v>37500</v>
      </c>
      <c r="P4" s="9" t="n">
        <v>4</v>
      </c>
      <c r="Q4" s="17" t="n">
        <f aca="false">IF($O4="","",$O4*$P4)</f>
        <v>150000</v>
      </c>
      <c r="R4" s="9" t="str">
        <f aca="false">IF(OR($O4="",$E4=""),"",IF($E4&lt;=$Q4,"Yes","No — override required"))</f>
        <v>Yes</v>
      </c>
    </row>
    <row r="5" customFormat="false" ht="21.75" hidden="false" customHeight="true" outlineLevel="0" collapsed="false">
      <c r="A5" s="11" t="s">
        <v>2398</v>
      </c>
      <c r="B5" s="11" t="s">
        <v>797</v>
      </c>
      <c r="C5" s="11" t="s">
        <v>798</v>
      </c>
      <c r="D5" s="11" t="s">
        <v>2399</v>
      </c>
      <c r="E5" s="19" t="n">
        <v>150000</v>
      </c>
      <c r="F5" s="11" t="s">
        <v>2400</v>
      </c>
      <c r="G5" s="11" t="n">
        <v>36</v>
      </c>
      <c r="H5" s="19" t="n">
        <v>4170</v>
      </c>
      <c r="I5" s="19" t="n">
        <v>116760</v>
      </c>
      <c r="J5" s="11" t="s">
        <v>194</v>
      </c>
      <c r="K5" s="11" t="s">
        <v>639</v>
      </c>
      <c r="L5" s="11" t="s">
        <v>233</v>
      </c>
      <c r="M5" s="11" t="s">
        <v>2401</v>
      </c>
      <c r="N5" s="11" t="s">
        <v>2402</v>
      </c>
      <c r="O5" s="19" t="n">
        <f aca="false">IFERROR(INDEX(13_Salary_Structure!$E:$E,MATCH($B5,13_Salary_Structure!$A:$A,0)),"")</f>
        <v>21500</v>
      </c>
      <c r="P5" s="11" t="n">
        <v>4</v>
      </c>
      <c r="Q5" s="19" t="n">
        <f aca="false">IF($O5="","",$O5*$P5)</f>
        <v>86000</v>
      </c>
      <c r="R5" s="11" t="str">
        <f aca="false">IF(OR($O5="",$E5=""),"",IF($E5&lt;=$Q5,"Yes","No — override required"))</f>
        <v>No — override required</v>
      </c>
    </row>
    <row r="6" customFormat="false" ht="21.75" hidden="false" customHeight="true" outlineLevel="0" collapsed="false">
      <c r="A6" s="9" t="s">
        <v>2403</v>
      </c>
      <c r="B6" s="9" t="s">
        <v>953</v>
      </c>
      <c r="C6" s="9" t="s">
        <v>954</v>
      </c>
      <c r="D6" s="9" t="s">
        <v>2385</v>
      </c>
      <c r="E6" s="17" t="n">
        <v>120000</v>
      </c>
      <c r="F6" s="9" t="s">
        <v>1524</v>
      </c>
      <c r="G6" s="9"/>
      <c r="H6" s="17"/>
      <c r="I6" s="17"/>
      <c r="J6" s="9" t="s">
        <v>2404</v>
      </c>
      <c r="K6" s="9" t="s">
        <v>657</v>
      </c>
      <c r="L6" s="9" t="s">
        <v>226</v>
      </c>
      <c r="M6" s="9" t="s">
        <v>222</v>
      </c>
      <c r="N6" s="9" t="s">
        <v>2405</v>
      </c>
      <c r="O6" s="17" t="n">
        <f aca="false">IFERROR(INDEX(13_Salary_Structure!$E:$E,MATCH($B6,13_Salary_Structure!$A:$A,0)),"")</f>
        <v>38750</v>
      </c>
      <c r="P6" s="9" t="n">
        <v>4</v>
      </c>
      <c r="Q6" s="17" t="n">
        <f aca="false">IF($O6="","",$O6*$P6)</f>
        <v>155000</v>
      </c>
      <c r="R6" s="9" t="str">
        <f aca="false">IF(OR($O6="",$E6=""),"",IF($E6&lt;=$Q6,"Yes","No — override required"))</f>
        <v>Yes</v>
      </c>
    </row>
    <row r="7" customFormat="false" ht="15" hidden="false" customHeight="true" outlineLevel="0" collapsed="false">
      <c r="A7" s="11" t="s">
        <v>2406</v>
      </c>
      <c r="B7" s="11" t="s">
        <v>978</v>
      </c>
      <c r="C7" s="11" t="s">
        <v>979</v>
      </c>
      <c r="D7" s="11" t="s">
        <v>2407</v>
      </c>
      <c r="E7" s="19" t="n">
        <v>40000</v>
      </c>
      <c r="F7" s="11" t="s">
        <v>1355</v>
      </c>
      <c r="G7" s="11"/>
      <c r="H7" s="19"/>
      <c r="I7" s="19"/>
      <c r="J7" s="11" t="s">
        <v>2404</v>
      </c>
      <c r="K7" s="11" t="s">
        <v>657</v>
      </c>
      <c r="L7" s="11" t="s">
        <v>226</v>
      </c>
      <c r="M7" s="11" t="s">
        <v>222</v>
      </c>
      <c r="N7" s="11" t="s">
        <v>2408</v>
      </c>
      <c r="O7" s="19" t="n">
        <f aca="false">IFERROR(INDEX(13_Salary_Structure!$E:$E,MATCH($B7,13_Salary_Structure!$A:$A,0)),"")</f>
        <v>21750</v>
      </c>
      <c r="P7" s="11" t="n">
        <v>4</v>
      </c>
      <c r="Q7" s="19" t="n">
        <f aca="false">IF($O7="","",$O7*$P7)</f>
        <v>87000</v>
      </c>
      <c r="R7" s="11" t="str">
        <f aca="false">IF(OR($O7="",$E7=""),"",IF($E7&lt;=$Q7,"Yes","No — override required"))</f>
        <v>Yes</v>
      </c>
    </row>
    <row r="8" customFormat="false" ht="15" hidden="false" customHeight="true" outlineLevel="0" collapsed="false">
      <c r="A8" s="9" t="s">
        <v>2409</v>
      </c>
      <c r="B8" s="9" t="s">
        <v>1023</v>
      </c>
      <c r="C8" s="9" t="s">
        <v>1024</v>
      </c>
      <c r="D8" s="9" t="s">
        <v>2385</v>
      </c>
      <c r="E8" s="17" t="n">
        <v>140000</v>
      </c>
      <c r="F8" s="9" t="s">
        <v>1545</v>
      </c>
      <c r="G8" s="9"/>
      <c r="H8" s="17"/>
      <c r="I8" s="17"/>
      <c r="J8" s="9" t="s">
        <v>2410</v>
      </c>
      <c r="K8" s="9" t="s">
        <v>657</v>
      </c>
      <c r="L8" s="9" t="s">
        <v>226</v>
      </c>
      <c r="M8" s="9" t="s">
        <v>2387</v>
      </c>
      <c r="N8" s="9" t="s">
        <v>2411</v>
      </c>
      <c r="O8" s="17" t="n">
        <f aca="false">IFERROR(INDEX(13_Salary_Structure!$E:$E,MATCH($B8,13_Salary_Structure!$A:$A,0)),"")</f>
        <v>37500</v>
      </c>
      <c r="P8" s="9" t="n">
        <v>4</v>
      </c>
      <c r="Q8" s="17" t="n">
        <f aca="false">IF($O8="","",$O8*$P8)</f>
        <v>150000</v>
      </c>
      <c r="R8" s="9" t="str">
        <f aca="false">IF(OR($O8="",$E8=""),"",IF($E8&lt;=$Q8,"Yes","No — override required"))</f>
        <v>Yes</v>
      </c>
    </row>
    <row r="10" customFormat="false" ht="27.75" hidden="false" customHeight="true" outlineLevel="0" collapsed="false">
      <c r="A10" s="13" t="s">
        <v>2412</v>
      </c>
      <c r="B10" s="13"/>
      <c r="C10" s="13"/>
      <c r="D10" s="13"/>
      <c r="E10" s="13"/>
      <c r="F10" s="13"/>
      <c r="G10" s="13"/>
      <c r="H10" s="13"/>
    </row>
  </sheetData>
  <autoFilter ref="A1:R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5"/>
    <col collapsed="false" customWidth="true" hidden="false" outlineLevel="0" max="3" min="3" style="1" width="24"/>
    <col collapsed="false" customWidth="true" hidden="false" outlineLevel="0" max="4" min="4" style="1" width="11"/>
    <col collapsed="false" customWidth="true" hidden="false" outlineLevel="0" max="6" min="5" style="1" width="13"/>
    <col collapsed="false" customWidth="true" hidden="false" outlineLevel="0" max="7" min="7" style="1" width="24"/>
    <col collapsed="false" customWidth="true" hidden="false" outlineLevel="0" max="8" min="8" style="1" width="62"/>
  </cols>
  <sheetData>
    <row r="1" customFormat="false" ht="30" hidden="false" customHeight="true" outlineLevel="0" collapsed="false">
      <c r="A1" s="7" t="s">
        <v>2413</v>
      </c>
      <c r="B1" s="7" t="s">
        <v>2414</v>
      </c>
      <c r="C1" s="7" t="s">
        <v>2415</v>
      </c>
      <c r="D1" s="7" t="s">
        <v>2416</v>
      </c>
      <c r="E1" s="7" t="s">
        <v>2417</v>
      </c>
      <c r="F1" s="7" t="s">
        <v>2418</v>
      </c>
      <c r="G1" s="7" t="s">
        <v>2419</v>
      </c>
      <c r="H1" s="7" t="s">
        <v>40</v>
      </c>
    </row>
    <row r="2" customFormat="false" ht="15" hidden="false" customHeight="true" outlineLevel="0" collapsed="false">
      <c r="A2" s="9" t="s">
        <v>2384</v>
      </c>
      <c r="B2" s="9" t="s">
        <v>945</v>
      </c>
      <c r="C2" s="9" t="s">
        <v>946</v>
      </c>
      <c r="D2" s="9" t="s">
        <v>233</v>
      </c>
      <c r="E2" s="9" t="s">
        <v>2420</v>
      </c>
      <c r="F2" s="9"/>
      <c r="G2" s="9" t="s">
        <v>2421</v>
      </c>
      <c r="H2" s="9" t="s">
        <v>2422</v>
      </c>
    </row>
    <row r="3" customFormat="false" ht="15" hidden="false" customHeight="true" outlineLevel="0" collapsed="false">
      <c r="A3" s="11" t="s">
        <v>2384</v>
      </c>
      <c r="B3" s="11" t="s">
        <v>953</v>
      </c>
      <c r="C3" s="11" t="s">
        <v>954</v>
      </c>
      <c r="D3" s="11" t="s">
        <v>233</v>
      </c>
      <c r="E3" s="11" t="s">
        <v>2420</v>
      </c>
      <c r="F3" s="11"/>
      <c r="G3" s="11" t="s">
        <v>2421</v>
      </c>
      <c r="H3" s="11" t="s">
        <v>2423</v>
      </c>
    </row>
    <row r="4" customFormat="false" ht="15" hidden="false" customHeight="true" outlineLevel="0" collapsed="false">
      <c r="A4" s="9" t="s">
        <v>2389</v>
      </c>
      <c r="B4" s="9" t="s">
        <v>1054</v>
      </c>
      <c r="C4" s="9" t="s">
        <v>1055</v>
      </c>
      <c r="D4" s="9" t="s">
        <v>233</v>
      </c>
      <c r="E4" s="9" t="s">
        <v>2424</v>
      </c>
      <c r="F4" s="9"/>
      <c r="G4" s="9" t="s">
        <v>2421</v>
      </c>
      <c r="H4" s="9"/>
    </row>
    <row r="5" customFormat="false" ht="15" hidden="false" customHeight="true" outlineLevel="0" collapsed="false">
      <c r="A5" s="11" t="s">
        <v>2389</v>
      </c>
      <c r="B5" s="11" t="s">
        <v>1061</v>
      </c>
      <c r="C5" s="11" t="s">
        <v>1062</v>
      </c>
      <c r="D5" s="11" t="s">
        <v>233</v>
      </c>
      <c r="E5" s="11" t="s">
        <v>2424</v>
      </c>
      <c r="F5" s="11"/>
      <c r="G5" s="11" t="s">
        <v>2421</v>
      </c>
      <c r="H5" s="11"/>
    </row>
    <row r="6" customFormat="false" ht="15" hidden="false" customHeight="true" outlineLevel="0" collapsed="false">
      <c r="A6" s="9" t="s">
        <v>2389</v>
      </c>
      <c r="B6" s="9" t="s">
        <v>1077</v>
      </c>
      <c r="C6" s="9" t="s">
        <v>1078</v>
      </c>
      <c r="D6" s="9" t="s">
        <v>226</v>
      </c>
      <c r="E6" s="9" t="s">
        <v>2424</v>
      </c>
      <c r="F6" s="9"/>
      <c r="G6" s="9" t="s">
        <v>2421</v>
      </c>
      <c r="H6" s="9" t="s">
        <v>2425</v>
      </c>
    </row>
    <row r="7" customFormat="false" ht="15" hidden="false" customHeight="true" outlineLevel="0" collapsed="false">
      <c r="A7" s="11" t="s">
        <v>2394</v>
      </c>
      <c r="B7" s="11" t="s">
        <v>1002</v>
      </c>
      <c r="C7" s="11" t="s">
        <v>1003</v>
      </c>
      <c r="D7" s="11" t="s">
        <v>233</v>
      </c>
      <c r="E7" s="11" t="s">
        <v>2426</v>
      </c>
      <c r="F7" s="11" t="s">
        <v>2427</v>
      </c>
      <c r="G7" s="11" t="s">
        <v>2428</v>
      </c>
      <c r="H7" s="11" t="s">
        <v>2429</v>
      </c>
    </row>
    <row r="8" customFormat="false" ht="15" hidden="false" customHeight="true" outlineLevel="0" collapsed="false">
      <c r="A8" s="9" t="s">
        <v>2394</v>
      </c>
      <c r="B8" s="9" t="s">
        <v>1009</v>
      </c>
      <c r="C8" s="9" t="s">
        <v>1010</v>
      </c>
      <c r="D8" s="9" t="s">
        <v>233</v>
      </c>
      <c r="E8" s="9" t="s">
        <v>2426</v>
      </c>
      <c r="F8" s="9" t="s">
        <v>2427</v>
      </c>
      <c r="G8" s="9" t="s">
        <v>2428</v>
      </c>
      <c r="H8" s="9"/>
    </row>
    <row r="9" customFormat="false" ht="15" hidden="false" customHeight="true" outlineLevel="0" collapsed="false">
      <c r="A9" s="11" t="s">
        <v>2398</v>
      </c>
      <c r="B9" s="11" t="s">
        <v>752</v>
      </c>
      <c r="C9" s="11" t="s">
        <v>753</v>
      </c>
      <c r="D9" s="11" t="s">
        <v>233</v>
      </c>
      <c r="E9" s="11" t="s">
        <v>2430</v>
      </c>
      <c r="F9" s="11"/>
      <c r="G9" s="11" t="s">
        <v>2421</v>
      </c>
      <c r="H9" s="11"/>
    </row>
    <row r="10" customFormat="false" ht="15" hidden="false" customHeight="true" outlineLevel="0" collapsed="false">
      <c r="A10" s="9" t="s">
        <v>2398</v>
      </c>
      <c r="B10" s="9" t="s">
        <v>785</v>
      </c>
      <c r="C10" s="9" t="s">
        <v>786</v>
      </c>
      <c r="D10" s="9" t="s">
        <v>233</v>
      </c>
      <c r="E10" s="9" t="s">
        <v>2430</v>
      </c>
      <c r="F10" s="9"/>
      <c r="G10" s="9" t="s">
        <v>2421</v>
      </c>
      <c r="H10" s="9"/>
    </row>
    <row r="12" customFormat="false" ht="27.75" hidden="false" customHeight="true" outlineLevel="0" collapsed="false">
      <c r="A12" s="13" t="s">
        <v>2431</v>
      </c>
      <c r="B12" s="13"/>
      <c r="C12" s="13"/>
      <c r="D12" s="13"/>
      <c r="E12" s="13"/>
      <c r="F12" s="13"/>
      <c r="G12" s="13"/>
      <c r="H12" s="13"/>
    </row>
  </sheetData>
  <autoFilter ref="A1:H10"/>
  <mergeCells count="1">
    <mergeCell ref="A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9"/>
    <col collapsed="false" customWidth="true" hidden="false" outlineLevel="0" max="3" min="3" style="1" width="11"/>
    <col collapsed="false" customWidth="true" hidden="false" outlineLevel="0" max="4" min="4" style="1" width="20"/>
    <col collapsed="false" customWidth="true" hidden="false" outlineLevel="0" max="5" min="5" style="1" width="13"/>
    <col collapsed="false" customWidth="true" hidden="false" outlineLevel="0" max="6" min="6" style="1" width="12"/>
    <col collapsed="false" customWidth="true" hidden="false" outlineLevel="0" max="9" min="7" style="1" width="14"/>
    <col collapsed="false" customWidth="true" hidden="false" outlineLevel="0" max="10" min="10" style="1" width="12"/>
    <col collapsed="false" customWidth="true" hidden="false" outlineLevel="0" max="11" min="11" style="1" width="13"/>
    <col collapsed="false" customWidth="true" hidden="false" outlineLevel="0" max="12" min="12" style="1" width="58"/>
  </cols>
  <sheetData>
    <row r="1" customFormat="false" ht="30" hidden="false" customHeight="true" outlineLevel="0" collapsed="false">
      <c r="A1" s="7" t="s">
        <v>2432</v>
      </c>
      <c r="B1" s="7" t="s">
        <v>204</v>
      </c>
      <c r="C1" s="7" t="s">
        <v>2433</v>
      </c>
      <c r="D1" s="7" t="s">
        <v>2434</v>
      </c>
      <c r="E1" s="7" t="s">
        <v>206</v>
      </c>
      <c r="F1" s="7" t="s">
        <v>2435</v>
      </c>
      <c r="G1" s="7" t="s">
        <v>2436</v>
      </c>
      <c r="H1" s="7" t="s">
        <v>2437</v>
      </c>
      <c r="I1" s="7" t="s">
        <v>2438</v>
      </c>
      <c r="J1" s="7" t="s">
        <v>2439</v>
      </c>
      <c r="K1" s="7" t="s">
        <v>2440</v>
      </c>
      <c r="L1" s="7" t="s">
        <v>40</v>
      </c>
    </row>
    <row r="2" customFormat="false" ht="15" hidden="false" customHeight="true" outlineLevel="0" collapsed="false">
      <c r="A2" s="9" t="s">
        <v>2441</v>
      </c>
      <c r="B2" s="9" t="s">
        <v>186</v>
      </c>
      <c r="C2" s="9" t="s">
        <v>2442</v>
      </c>
      <c r="D2" s="9" t="s">
        <v>2443</v>
      </c>
      <c r="E2" s="9" t="s">
        <v>2444</v>
      </c>
      <c r="F2" s="9" t="n">
        <v>412</v>
      </c>
      <c r="G2" s="9" t="n">
        <v>28640000</v>
      </c>
      <c r="H2" s="9" t="n">
        <v>24118000</v>
      </c>
      <c r="I2" s="9" t="n">
        <v>3820000</v>
      </c>
      <c r="J2" s="9" t="s">
        <v>1323</v>
      </c>
      <c r="K2" s="9" t="s">
        <v>593</v>
      </c>
      <c r="L2" s="9"/>
    </row>
    <row r="3" customFormat="false" ht="15" hidden="false" customHeight="true" outlineLevel="0" collapsed="false">
      <c r="A3" s="11" t="s">
        <v>2445</v>
      </c>
      <c r="B3" s="11" t="s">
        <v>186</v>
      </c>
      <c r="C3" s="11" t="s">
        <v>2446</v>
      </c>
      <c r="D3" s="11" t="s">
        <v>2443</v>
      </c>
      <c r="E3" s="11" t="s">
        <v>2447</v>
      </c>
      <c r="F3" s="11" t="n">
        <v>418</v>
      </c>
      <c r="G3" s="11" t="n">
        <v>29015000</v>
      </c>
      <c r="H3" s="11"/>
      <c r="I3" s="11"/>
      <c r="J3" s="11" t="s">
        <v>1394</v>
      </c>
      <c r="K3" s="11"/>
      <c r="L3" s="11" t="s">
        <v>2448</v>
      </c>
    </row>
    <row r="4" customFormat="false" ht="15" hidden="false" customHeight="true" outlineLevel="0" collapsed="false">
      <c r="A4" s="9" t="s">
        <v>2352</v>
      </c>
      <c r="B4" s="9" t="s">
        <v>186</v>
      </c>
      <c r="C4" s="9" t="s">
        <v>2446</v>
      </c>
      <c r="D4" s="9" t="s">
        <v>2449</v>
      </c>
      <c r="E4" s="9" t="s">
        <v>2450</v>
      </c>
      <c r="F4" s="9" t="n">
        <v>96</v>
      </c>
      <c r="G4" s="9" t="n">
        <v>412000</v>
      </c>
      <c r="H4" s="9"/>
      <c r="I4" s="9"/>
      <c r="J4" s="9" t="s">
        <v>2451</v>
      </c>
      <c r="K4" s="9"/>
      <c r="L4" s="9" t="s">
        <v>2452</v>
      </c>
    </row>
    <row r="5" customFormat="false" ht="15" hidden="false" customHeight="true" outlineLevel="0" collapsed="false">
      <c r="A5" s="11" t="s">
        <v>2453</v>
      </c>
      <c r="B5" s="11" t="s">
        <v>186</v>
      </c>
      <c r="C5" s="11" t="s">
        <v>2446</v>
      </c>
      <c r="D5" s="11" t="s">
        <v>2454</v>
      </c>
      <c r="E5" s="11" t="s">
        <v>2450</v>
      </c>
      <c r="F5" s="11" t="n">
        <v>2</v>
      </c>
      <c r="G5" s="11"/>
      <c r="H5" s="11"/>
      <c r="I5" s="11"/>
      <c r="J5" s="11" t="s">
        <v>1394</v>
      </c>
      <c r="K5" s="11"/>
      <c r="L5" s="11" t="s">
        <v>2455</v>
      </c>
    </row>
    <row r="6" customFormat="false" ht="15" hidden="false" customHeight="true" outlineLevel="0" collapsed="false">
      <c r="A6" s="9" t="s">
        <v>2456</v>
      </c>
      <c r="B6" s="9" t="s">
        <v>195</v>
      </c>
      <c r="C6" s="9" t="s">
        <v>2442</v>
      </c>
      <c r="D6" s="9" t="s">
        <v>2443</v>
      </c>
      <c r="E6" s="9" t="s">
        <v>2444</v>
      </c>
      <c r="F6" s="9" t="n">
        <v>188</v>
      </c>
      <c r="G6" s="9" t="n">
        <v>11240000</v>
      </c>
      <c r="H6" s="9" t="n">
        <v>9506000</v>
      </c>
      <c r="I6" s="9" t="n">
        <v>1488000</v>
      </c>
      <c r="J6" s="9" t="s">
        <v>1323</v>
      </c>
      <c r="K6" s="9" t="s">
        <v>593</v>
      </c>
      <c r="L6" s="9"/>
    </row>
    <row r="7" customFormat="false" ht="15" hidden="false" customHeight="true" outlineLevel="0" collapsed="false">
      <c r="A7" s="11" t="s">
        <v>2457</v>
      </c>
      <c r="B7" s="11" t="s">
        <v>195</v>
      </c>
      <c r="C7" s="11" t="s">
        <v>2446</v>
      </c>
      <c r="D7" s="11" t="s">
        <v>2443</v>
      </c>
      <c r="E7" s="11" t="s">
        <v>2447</v>
      </c>
      <c r="F7" s="11" t="n">
        <v>189</v>
      </c>
      <c r="G7" s="11" t="n">
        <v>11318000</v>
      </c>
      <c r="H7" s="11"/>
      <c r="I7" s="11"/>
      <c r="J7" s="11" t="s">
        <v>1394</v>
      </c>
      <c r="K7" s="11"/>
      <c r="L7" s="11"/>
    </row>
    <row r="9" customFormat="false" ht="27.75" hidden="false" customHeight="true" outlineLevel="0" collapsed="false">
      <c r="A9" s="13" t="s">
        <v>2458</v>
      </c>
      <c r="B9" s="13"/>
      <c r="C9" s="13"/>
      <c r="D9" s="13"/>
      <c r="E9" s="13"/>
      <c r="F9" s="13"/>
      <c r="G9" s="13"/>
      <c r="H9" s="13"/>
    </row>
  </sheetData>
  <autoFilter ref="A1:L7"/>
  <mergeCells count="1">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13"/>
    <col collapsed="false" customWidth="true" hidden="false" outlineLevel="0" max="4" min="4" style="1" width="16"/>
    <col collapsed="false" customWidth="true" hidden="false" outlineLevel="0" max="5" min="5" style="1" width="14"/>
    <col collapsed="false" customWidth="true" hidden="false" outlineLevel="0" max="6" min="6" style="1" width="32"/>
    <col collapsed="false" customWidth="true" hidden="false" outlineLevel="0" max="7" min="7" style="1" width="9"/>
    <col collapsed="false" customWidth="true" hidden="false" outlineLevel="0" max="9" min="8" style="1" width="10"/>
    <col collapsed="false" customWidth="true" hidden="false" outlineLevel="0" max="10" min="10" style="1" width="13"/>
    <col collapsed="false" customWidth="true" hidden="false" outlineLevel="0" max="11" min="11" style="1" width="28"/>
    <col collapsed="false" customWidth="true" hidden="false" outlineLevel="0" max="12" min="12" style="1" width="48"/>
  </cols>
  <sheetData>
    <row r="1" customFormat="false" ht="30" hidden="false" customHeight="true" outlineLevel="0" collapsed="false">
      <c r="A1" s="7" t="s">
        <v>608</v>
      </c>
      <c r="B1" s="7" t="s">
        <v>1183</v>
      </c>
      <c r="C1" s="7" t="s">
        <v>2459</v>
      </c>
      <c r="D1" s="7" t="s">
        <v>2460</v>
      </c>
      <c r="E1" s="7" t="s">
        <v>2461</v>
      </c>
      <c r="F1" s="7" t="s">
        <v>2462</v>
      </c>
      <c r="G1" s="7" t="s">
        <v>2463</v>
      </c>
      <c r="H1" s="7" t="s">
        <v>2464</v>
      </c>
      <c r="I1" s="7" t="s">
        <v>185</v>
      </c>
      <c r="J1" s="7" t="s">
        <v>2465</v>
      </c>
      <c r="K1" s="7" t="s">
        <v>2466</v>
      </c>
      <c r="L1" s="7" t="s">
        <v>40</v>
      </c>
    </row>
    <row r="2" customFormat="false" ht="15" hidden="false" customHeight="true" outlineLevel="0" collapsed="false">
      <c r="A2" s="9" t="s">
        <v>1166</v>
      </c>
      <c r="B2" s="9" t="s">
        <v>1167</v>
      </c>
      <c r="C2" s="9" t="s">
        <v>1323</v>
      </c>
      <c r="D2" s="9" t="s">
        <v>1394</v>
      </c>
      <c r="E2" s="9" t="n">
        <v>30</v>
      </c>
      <c r="F2" s="9" t="s">
        <v>2467</v>
      </c>
      <c r="G2" s="9" t="s">
        <v>724</v>
      </c>
      <c r="H2" s="9" t="s">
        <v>233</v>
      </c>
      <c r="I2" s="9" t="s">
        <v>2468</v>
      </c>
      <c r="J2" s="9" t="s">
        <v>1443</v>
      </c>
      <c r="K2" s="9" t="s">
        <v>2469</v>
      </c>
      <c r="L2" s="9" t="s">
        <v>1396</v>
      </c>
    </row>
    <row r="3" customFormat="false" ht="15" hidden="false" customHeight="true" outlineLevel="0" collapsed="false">
      <c r="A3" s="11" t="s">
        <v>1166</v>
      </c>
      <c r="B3" s="11" t="s">
        <v>1167</v>
      </c>
      <c r="C3" s="11"/>
      <c r="D3" s="11"/>
      <c r="E3" s="11"/>
      <c r="F3" s="11" t="s">
        <v>2470</v>
      </c>
      <c r="G3" s="11" t="s">
        <v>938</v>
      </c>
      <c r="H3" s="11" t="s">
        <v>233</v>
      </c>
      <c r="I3" s="11" t="s">
        <v>2468</v>
      </c>
      <c r="J3" s="11" t="s">
        <v>1438</v>
      </c>
      <c r="K3" s="11"/>
      <c r="L3" s="11" t="s">
        <v>1396</v>
      </c>
    </row>
    <row r="4" customFormat="false" ht="15" hidden="false" customHeight="true" outlineLevel="0" collapsed="false">
      <c r="A4" s="9" t="s">
        <v>1166</v>
      </c>
      <c r="B4" s="9" t="s">
        <v>1167</v>
      </c>
      <c r="C4" s="9"/>
      <c r="D4" s="9"/>
      <c r="E4" s="9"/>
      <c r="F4" s="9" t="s">
        <v>2471</v>
      </c>
      <c r="G4" s="9" t="s">
        <v>702</v>
      </c>
      <c r="H4" s="9" t="s">
        <v>226</v>
      </c>
      <c r="I4" s="9" t="s">
        <v>2468</v>
      </c>
      <c r="J4" s="9" t="s">
        <v>1465</v>
      </c>
      <c r="K4" s="9"/>
      <c r="L4" s="9"/>
    </row>
    <row r="5" customFormat="false" ht="15" hidden="false" customHeight="true" outlineLevel="0" collapsed="false">
      <c r="A5" s="11" t="s">
        <v>1166</v>
      </c>
      <c r="B5" s="11" t="s">
        <v>1167</v>
      </c>
      <c r="C5" s="11"/>
      <c r="D5" s="11"/>
      <c r="E5" s="11"/>
      <c r="F5" s="11" t="s">
        <v>2472</v>
      </c>
      <c r="G5" s="11" t="s">
        <v>687</v>
      </c>
      <c r="H5" s="11" t="s">
        <v>233</v>
      </c>
      <c r="I5" s="11" t="s">
        <v>2468</v>
      </c>
      <c r="J5" s="11" t="s">
        <v>2473</v>
      </c>
      <c r="K5" s="11"/>
      <c r="L5" s="11"/>
    </row>
    <row r="6" customFormat="false" ht="15" hidden="false" customHeight="true" outlineLevel="0" collapsed="false">
      <c r="A6" s="9" t="s">
        <v>1166</v>
      </c>
      <c r="B6" s="9" t="s">
        <v>1167</v>
      </c>
      <c r="C6" s="9"/>
      <c r="D6" s="9"/>
      <c r="E6" s="9"/>
      <c r="F6" s="9" t="s">
        <v>2474</v>
      </c>
      <c r="G6" s="9" t="s">
        <v>724</v>
      </c>
      <c r="H6" s="9" t="s">
        <v>233</v>
      </c>
      <c r="I6" s="9" t="s">
        <v>2468</v>
      </c>
      <c r="J6" s="9" t="s">
        <v>1394</v>
      </c>
      <c r="K6" s="9"/>
      <c r="L6" s="9"/>
    </row>
    <row r="7" customFormat="false" ht="15" hidden="false" customHeight="true" outlineLevel="0" collapsed="false">
      <c r="A7" s="11" t="s">
        <v>1166</v>
      </c>
      <c r="B7" s="11" t="s">
        <v>1167</v>
      </c>
      <c r="C7" s="11"/>
      <c r="D7" s="11"/>
      <c r="E7" s="11"/>
      <c r="F7" s="11" t="s">
        <v>2475</v>
      </c>
      <c r="G7" s="11" t="s">
        <v>678</v>
      </c>
      <c r="H7" s="11" t="s">
        <v>226</v>
      </c>
      <c r="I7" s="11" t="s">
        <v>2468</v>
      </c>
      <c r="J7" s="11" t="s">
        <v>2476</v>
      </c>
      <c r="K7" s="11"/>
      <c r="L7" s="11"/>
    </row>
    <row r="8" customFormat="false" ht="15" hidden="false" customHeight="true" outlineLevel="0" collapsed="false">
      <c r="A8" s="9" t="s">
        <v>961</v>
      </c>
      <c r="B8" s="9" t="s">
        <v>962</v>
      </c>
      <c r="C8" s="9" t="s">
        <v>2477</v>
      </c>
      <c r="D8" s="9" t="s">
        <v>1465</v>
      </c>
      <c r="E8" s="9" t="n">
        <v>30</v>
      </c>
      <c r="F8" s="9" t="s">
        <v>2478</v>
      </c>
      <c r="G8" s="9" t="s">
        <v>945</v>
      </c>
      <c r="H8" s="9" t="s">
        <v>233</v>
      </c>
      <c r="I8" s="9" t="s">
        <v>1477</v>
      </c>
      <c r="J8" s="9"/>
      <c r="K8" s="9" t="s">
        <v>2479</v>
      </c>
      <c r="L8" s="9" t="s">
        <v>1396</v>
      </c>
    </row>
    <row r="9" customFormat="false" ht="15" hidden="false" customHeight="true" outlineLevel="0" collapsed="false">
      <c r="A9" s="11" t="s">
        <v>961</v>
      </c>
      <c r="B9" s="11" t="s">
        <v>962</v>
      </c>
      <c r="C9" s="11"/>
      <c r="D9" s="11"/>
      <c r="E9" s="11"/>
      <c r="F9" s="11" t="s">
        <v>2480</v>
      </c>
      <c r="G9" s="11" t="s">
        <v>945</v>
      </c>
      <c r="H9" s="11" t="s">
        <v>226</v>
      </c>
      <c r="I9" s="11" t="s">
        <v>2468</v>
      </c>
      <c r="J9" s="11" t="s">
        <v>531</v>
      </c>
      <c r="K9" s="11"/>
      <c r="L9" s="11"/>
    </row>
    <row r="10" customFormat="false" ht="15" hidden="false" customHeight="true" outlineLevel="0" collapsed="false">
      <c r="A10" s="9" t="s">
        <v>961</v>
      </c>
      <c r="B10" s="9" t="s">
        <v>962</v>
      </c>
      <c r="C10" s="9"/>
      <c r="D10" s="9"/>
      <c r="E10" s="9"/>
      <c r="F10" s="9" t="s">
        <v>2470</v>
      </c>
      <c r="G10" s="9" t="s">
        <v>945</v>
      </c>
      <c r="H10" s="9" t="s">
        <v>233</v>
      </c>
      <c r="I10" s="9" t="s">
        <v>1477</v>
      </c>
      <c r="J10" s="9"/>
      <c r="K10" s="9"/>
      <c r="L10" s="9" t="s">
        <v>2481</v>
      </c>
    </row>
    <row r="11" customFormat="false" ht="15" hidden="false" customHeight="true" outlineLevel="0" collapsed="false">
      <c r="A11" s="11" t="s">
        <v>961</v>
      </c>
      <c r="B11" s="11" t="s">
        <v>962</v>
      </c>
      <c r="C11" s="11"/>
      <c r="D11" s="11"/>
      <c r="E11" s="11"/>
      <c r="F11" s="11" t="s">
        <v>2472</v>
      </c>
      <c r="G11" s="11" t="s">
        <v>687</v>
      </c>
      <c r="H11" s="11" t="s">
        <v>233</v>
      </c>
      <c r="I11" s="11" t="s">
        <v>2468</v>
      </c>
      <c r="J11" s="11" t="s">
        <v>1164</v>
      </c>
      <c r="K11" s="11"/>
      <c r="L11" s="11"/>
    </row>
    <row r="12" customFormat="false" ht="15" hidden="false" customHeight="true" outlineLevel="0" collapsed="false">
      <c r="A12" s="9" t="s">
        <v>961</v>
      </c>
      <c r="B12" s="9" t="s">
        <v>962</v>
      </c>
      <c r="C12" s="9"/>
      <c r="D12" s="9"/>
      <c r="E12" s="9"/>
      <c r="F12" s="9" t="s">
        <v>2474</v>
      </c>
      <c r="G12" s="9" t="s">
        <v>724</v>
      </c>
      <c r="H12" s="9" t="s">
        <v>233</v>
      </c>
      <c r="I12" s="9" t="s">
        <v>2468</v>
      </c>
      <c r="J12" s="9" t="s">
        <v>1465</v>
      </c>
      <c r="K12" s="9"/>
      <c r="L12" s="9"/>
    </row>
    <row r="13" customFormat="false" ht="15" hidden="false" customHeight="true" outlineLevel="0" collapsed="false">
      <c r="A13" s="11" t="s">
        <v>961</v>
      </c>
      <c r="B13" s="11" t="s">
        <v>962</v>
      </c>
      <c r="C13" s="11"/>
      <c r="D13" s="11"/>
      <c r="E13" s="11"/>
      <c r="F13" s="11" t="s">
        <v>2475</v>
      </c>
      <c r="G13" s="11" t="s">
        <v>1061</v>
      </c>
      <c r="H13" s="11" t="s">
        <v>226</v>
      </c>
      <c r="I13" s="11" t="s">
        <v>1477</v>
      </c>
      <c r="J13" s="11"/>
      <c r="K13" s="11"/>
      <c r="L13" s="11"/>
    </row>
    <row r="15" customFormat="false" ht="27.75" hidden="false" customHeight="true" outlineLevel="0" collapsed="false">
      <c r="A15" s="13" t="s">
        <v>2482</v>
      </c>
      <c r="B15" s="13"/>
      <c r="C15" s="13"/>
      <c r="D15" s="13"/>
      <c r="E15" s="13"/>
      <c r="F15" s="13"/>
      <c r="G15" s="13"/>
      <c r="H15" s="13"/>
    </row>
  </sheetData>
  <autoFilter ref="A1:L13"/>
  <mergeCells count="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30"/>
    <col collapsed="false" customWidth="true" hidden="false" outlineLevel="0" max="5" min="4" style="1" width="9"/>
    <col collapsed="false" customWidth="true" hidden="false" outlineLevel="0" max="6" min="6" style="1" width="12"/>
    <col collapsed="false" customWidth="true" hidden="false" outlineLevel="0" max="7" min="7" style="1" width="13"/>
    <col collapsed="false" customWidth="true" hidden="false" outlineLevel="0" max="8" min="8" style="1" width="9"/>
    <col collapsed="false" customWidth="true" hidden="false" outlineLevel="0" max="9" min="9" style="1" width="15"/>
    <col collapsed="false" customWidth="true" hidden="false" outlineLevel="0" max="10" min="10" style="1" width="28"/>
    <col collapsed="false" customWidth="true" hidden="false" outlineLevel="0" max="11" min="11" style="1" width="11"/>
  </cols>
  <sheetData>
    <row r="1" customFormat="false" ht="30" hidden="false" customHeight="true" outlineLevel="0" collapsed="false">
      <c r="A1" s="7" t="s">
        <v>2483</v>
      </c>
      <c r="B1" s="7" t="s">
        <v>398</v>
      </c>
      <c r="C1" s="7" t="s">
        <v>2484</v>
      </c>
      <c r="D1" s="7" t="s">
        <v>204</v>
      </c>
      <c r="E1" s="7" t="s">
        <v>206</v>
      </c>
      <c r="F1" s="7" t="s">
        <v>2433</v>
      </c>
      <c r="G1" s="7" t="s">
        <v>2485</v>
      </c>
      <c r="H1" s="7" t="s">
        <v>2463</v>
      </c>
      <c r="I1" s="7" t="s">
        <v>185</v>
      </c>
      <c r="J1" s="7" t="s">
        <v>2486</v>
      </c>
      <c r="K1" s="7" t="s">
        <v>40</v>
      </c>
    </row>
    <row r="2" customFormat="false" ht="15" hidden="false" customHeight="true" outlineLevel="0" collapsed="false">
      <c r="A2" s="9" t="s">
        <v>2487</v>
      </c>
      <c r="B2" s="9" t="s">
        <v>2488</v>
      </c>
      <c r="C2" s="9" t="s">
        <v>2489</v>
      </c>
      <c r="D2" s="9" t="s">
        <v>186</v>
      </c>
      <c r="E2" s="9" t="s">
        <v>2490</v>
      </c>
      <c r="F2" s="9" t="s">
        <v>2442</v>
      </c>
      <c r="G2" s="9" t="s">
        <v>531</v>
      </c>
      <c r="H2" s="9" t="s">
        <v>702</v>
      </c>
      <c r="I2" s="9" t="s">
        <v>2491</v>
      </c>
      <c r="J2" s="9" t="s">
        <v>2492</v>
      </c>
      <c r="K2" s="9" t="s">
        <v>2493</v>
      </c>
    </row>
    <row r="3" customFormat="false" ht="15" hidden="false" customHeight="true" outlineLevel="0" collapsed="false">
      <c r="A3" s="11" t="s">
        <v>2494</v>
      </c>
      <c r="B3" s="11" t="s">
        <v>2495</v>
      </c>
      <c r="C3" s="11" t="s">
        <v>2496</v>
      </c>
      <c r="D3" s="11" t="s">
        <v>186</v>
      </c>
      <c r="E3" s="11" t="s">
        <v>2490</v>
      </c>
      <c r="F3" s="11" t="s">
        <v>2442</v>
      </c>
      <c r="G3" s="11" t="s">
        <v>531</v>
      </c>
      <c r="H3" s="11" t="s">
        <v>702</v>
      </c>
      <c r="I3" s="11" t="s">
        <v>2491</v>
      </c>
      <c r="J3" s="11" t="s">
        <v>2497</v>
      </c>
      <c r="K3" s="11" t="s">
        <v>2493</v>
      </c>
    </row>
    <row r="4" customFormat="false" ht="15" hidden="false" customHeight="true" outlineLevel="0" collapsed="false">
      <c r="A4" s="9" t="s">
        <v>2498</v>
      </c>
      <c r="B4" s="9" t="s">
        <v>2499</v>
      </c>
      <c r="C4" s="9" t="s">
        <v>2500</v>
      </c>
      <c r="D4" s="9" t="s">
        <v>186</v>
      </c>
      <c r="E4" s="9" t="s">
        <v>219</v>
      </c>
      <c r="F4" s="9" t="s">
        <v>2442</v>
      </c>
      <c r="G4" s="9" t="s">
        <v>2501</v>
      </c>
      <c r="H4" s="9" t="s">
        <v>687</v>
      </c>
      <c r="I4" s="9" t="s">
        <v>2502</v>
      </c>
      <c r="J4" s="9"/>
      <c r="K4" s="9" t="s">
        <v>2493</v>
      </c>
    </row>
    <row r="5" customFormat="false" ht="15" hidden="false" customHeight="true" outlineLevel="0" collapsed="false">
      <c r="A5" s="11" t="s">
        <v>2503</v>
      </c>
      <c r="B5" s="11" t="s">
        <v>2499</v>
      </c>
      <c r="C5" s="11" t="s">
        <v>2504</v>
      </c>
      <c r="D5" s="11" t="s">
        <v>186</v>
      </c>
      <c r="E5" s="11" t="s">
        <v>238</v>
      </c>
      <c r="F5" s="11" t="s">
        <v>2442</v>
      </c>
      <c r="G5" s="11" t="s">
        <v>1394</v>
      </c>
      <c r="H5" s="11" t="s">
        <v>687</v>
      </c>
      <c r="I5" s="11" t="s">
        <v>2502</v>
      </c>
      <c r="J5" s="11"/>
      <c r="K5" s="11" t="s">
        <v>2493</v>
      </c>
    </row>
    <row r="6" customFormat="false" ht="15" hidden="false" customHeight="true" outlineLevel="0" collapsed="false">
      <c r="A6" s="9" t="s">
        <v>2505</v>
      </c>
      <c r="B6" s="9" t="s">
        <v>2499</v>
      </c>
      <c r="C6" s="9" t="s">
        <v>2506</v>
      </c>
      <c r="D6" s="9" t="s">
        <v>195</v>
      </c>
      <c r="E6" s="9" t="s">
        <v>248</v>
      </c>
      <c r="F6" s="9" t="s">
        <v>2442</v>
      </c>
      <c r="G6" s="9" t="s">
        <v>531</v>
      </c>
      <c r="H6" s="9" t="s">
        <v>687</v>
      </c>
      <c r="I6" s="9" t="s">
        <v>2491</v>
      </c>
      <c r="J6" s="9" t="s">
        <v>2507</v>
      </c>
      <c r="K6" s="9" t="s">
        <v>2493</v>
      </c>
    </row>
    <row r="7" customFormat="false" ht="15" hidden="false" customHeight="true" outlineLevel="0" collapsed="false">
      <c r="A7" s="11" t="s">
        <v>2508</v>
      </c>
      <c r="B7" s="11" t="s">
        <v>2509</v>
      </c>
      <c r="C7" s="11" t="s">
        <v>257</v>
      </c>
      <c r="D7" s="11" t="s">
        <v>195</v>
      </c>
      <c r="E7" s="11" t="s">
        <v>258</v>
      </c>
      <c r="F7" s="11" t="s">
        <v>2442</v>
      </c>
      <c r="G7" s="11"/>
      <c r="H7" s="11" t="s">
        <v>687</v>
      </c>
      <c r="I7" s="11" t="s">
        <v>222</v>
      </c>
      <c r="J7" s="11" t="s">
        <v>2510</v>
      </c>
      <c r="K7" s="11" t="s">
        <v>2493</v>
      </c>
    </row>
    <row r="8" customFormat="false" ht="15" hidden="false" customHeight="true" outlineLevel="0" collapsed="false">
      <c r="A8" s="9" t="s">
        <v>2511</v>
      </c>
      <c r="B8" s="9" t="s">
        <v>2512</v>
      </c>
      <c r="C8" s="9" t="s">
        <v>2513</v>
      </c>
      <c r="D8" s="9" t="s">
        <v>186</v>
      </c>
      <c r="E8" s="9" t="s">
        <v>2490</v>
      </c>
      <c r="F8" s="9" t="s">
        <v>2442</v>
      </c>
      <c r="G8" s="9" t="s">
        <v>1332</v>
      </c>
      <c r="H8" s="9" t="s">
        <v>687</v>
      </c>
      <c r="I8" s="9" t="s">
        <v>2491</v>
      </c>
      <c r="J8" s="9" t="s">
        <v>2514</v>
      </c>
      <c r="K8" s="9" t="s">
        <v>2493</v>
      </c>
    </row>
    <row r="9" customFormat="false" ht="15" hidden="false" customHeight="true" outlineLevel="0" collapsed="false">
      <c r="A9" s="11" t="s">
        <v>2515</v>
      </c>
      <c r="B9" s="11" t="s">
        <v>2516</v>
      </c>
      <c r="C9" s="11" t="s">
        <v>2513</v>
      </c>
      <c r="D9" s="11" t="s">
        <v>186</v>
      </c>
      <c r="E9" s="11" t="s">
        <v>2490</v>
      </c>
      <c r="F9" s="11" t="s">
        <v>2517</v>
      </c>
      <c r="G9" s="11" t="s">
        <v>2518</v>
      </c>
      <c r="H9" s="11" t="s">
        <v>687</v>
      </c>
      <c r="I9" s="11" t="s">
        <v>2519</v>
      </c>
      <c r="J9" s="11"/>
      <c r="K9" s="11" t="s">
        <v>2493</v>
      </c>
    </row>
    <row r="10" customFormat="false" ht="15" hidden="false" customHeight="true" outlineLevel="0" collapsed="false">
      <c r="A10" s="9" t="s">
        <v>2520</v>
      </c>
      <c r="B10" s="9" t="s">
        <v>2521</v>
      </c>
      <c r="C10" s="9" t="s">
        <v>2522</v>
      </c>
      <c r="D10" s="9" t="s">
        <v>186</v>
      </c>
      <c r="E10" s="9" t="s">
        <v>219</v>
      </c>
      <c r="F10" s="9" t="s">
        <v>2523</v>
      </c>
      <c r="G10" s="9" t="s">
        <v>2524</v>
      </c>
      <c r="H10" s="9" t="s">
        <v>702</v>
      </c>
      <c r="I10" s="9" t="s">
        <v>2491</v>
      </c>
      <c r="J10" s="9" t="s">
        <v>2525</v>
      </c>
      <c r="K10" s="9"/>
    </row>
    <row r="11" customFormat="false" ht="15" hidden="false" customHeight="true" outlineLevel="0" collapsed="false">
      <c r="A11" s="11" t="s">
        <v>2526</v>
      </c>
      <c r="B11" s="11" t="s">
        <v>2527</v>
      </c>
      <c r="C11" s="11" t="s">
        <v>2528</v>
      </c>
      <c r="D11" s="11" t="s">
        <v>186</v>
      </c>
      <c r="E11" s="11" t="s">
        <v>2490</v>
      </c>
      <c r="F11" s="11" t="s">
        <v>2529</v>
      </c>
      <c r="G11" s="11" t="s">
        <v>2518</v>
      </c>
      <c r="H11" s="11" t="s">
        <v>710</v>
      </c>
      <c r="I11" s="11" t="s">
        <v>2519</v>
      </c>
      <c r="J11" s="11"/>
      <c r="K11" s="11"/>
    </row>
    <row r="12" customFormat="false" ht="15" hidden="false" customHeight="true" outlineLevel="0" collapsed="false">
      <c r="A12" s="9" t="s">
        <v>2530</v>
      </c>
      <c r="B12" s="9" t="s">
        <v>2531</v>
      </c>
      <c r="C12" s="9" t="s">
        <v>2532</v>
      </c>
      <c r="D12" s="9" t="s">
        <v>186</v>
      </c>
      <c r="E12" s="9" t="s">
        <v>219</v>
      </c>
      <c r="F12" s="9" t="s">
        <v>2533</v>
      </c>
      <c r="G12" s="9" t="s">
        <v>2534</v>
      </c>
      <c r="H12" s="9" t="s">
        <v>702</v>
      </c>
      <c r="I12" s="9" t="s">
        <v>2519</v>
      </c>
      <c r="J12" s="9"/>
      <c r="K12" s="9" t="s">
        <v>2493</v>
      </c>
    </row>
    <row r="13" customFormat="false" ht="15" hidden="false" customHeight="true" outlineLevel="0" collapsed="false">
      <c r="A13" s="11" t="s">
        <v>2535</v>
      </c>
      <c r="B13" s="11" t="s">
        <v>2536</v>
      </c>
      <c r="C13" s="11" t="s">
        <v>2537</v>
      </c>
      <c r="D13" s="11" t="s">
        <v>195</v>
      </c>
      <c r="E13" s="11" t="s">
        <v>258</v>
      </c>
      <c r="F13" s="11" t="s">
        <v>2523</v>
      </c>
      <c r="G13" s="11" t="s">
        <v>606</v>
      </c>
      <c r="H13" s="11" t="s">
        <v>702</v>
      </c>
      <c r="I13" s="11" t="s">
        <v>2491</v>
      </c>
      <c r="J13" s="11" t="s">
        <v>2538</v>
      </c>
      <c r="K13" s="11" t="s">
        <v>2493</v>
      </c>
    </row>
    <row r="15" customFormat="false" ht="27.75" hidden="false" customHeight="true" outlineLevel="0" collapsed="false">
      <c r="A15" s="13" t="s">
        <v>2539</v>
      </c>
      <c r="B15" s="13"/>
      <c r="C15" s="13"/>
      <c r="D15" s="13"/>
      <c r="E15" s="13"/>
      <c r="F15" s="13"/>
      <c r="G15" s="13"/>
      <c r="H15" s="13"/>
    </row>
  </sheetData>
  <autoFilter ref="A1:K13"/>
  <mergeCells count="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6"/>
    <col collapsed="false" customWidth="true" hidden="false" outlineLevel="0" max="3" min="3" style="1" width="24"/>
    <col collapsed="false" customWidth="true" hidden="false" outlineLevel="0" max="4" min="4" style="1" width="8"/>
    <col collapsed="false" customWidth="true" hidden="false" outlineLevel="0" max="5" min="5" style="1" width="9"/>
    <col collapsed="false" customWidth="true" hidden="false" outlineLevel="0" max="6" min="6" style="1" width="11"/>
    <col collapsed="false" customWidth="true" hidden="false" outlineLevel="0" max="7" min="7" style="1" width="12"/>
    <col collapsed="false" customWidth="true" hidden="false" outlineLevel="0" max="8" min="8" style="1" width="14"/>
    <col collapsed="false" customWidth="true" hidden="false" outlineLevel="0" max="9" min="9" style="1" width="12"/>
    <col collapsed="false" customWidth="true" hidden="false" outlineLevel="0" max="10" min="10" style="1" width="46"/>
    <col collapsed="false" customWidth="true" hidden="false" outlineLevel="0" max="11" min="11" style="1" width="11"/>
  </cols>
  <sheetData>
    <row r="1" customFormat="false" ht="30" hidden="false" customHeight="true" outlineLevel="0" collapsed="false">
      <c r="A1" s="7" t="s">
        <v>2540</v>
      </c>
      <c r="B1" s="7" t="s">
        <v>2541</v>
      </c>
      <c r="C1" s="7" t="s">
        <v>2542</v>
      </c>
      <c r="D1" s="7" t="s">
        <v>206</v>
      </c>
      <c r="E1" s="7" t="s">
        <v>204</v>
      </c>
      <c r="F1" s="7" t="s">
        <v>547</v>
      </c>
      <c r="G1" s="7" t="s">
        <v>2433</v>
      </c>
      <c r="H1" s="7" t="s">
        <v>2543</v>
      </c>
      <c r="I1" s="7" t="s">
        <v>2544</v>
      </c>
      <c r="J1" s="7" t="s">
        <v>185</v>
      </c>
      <c r="K1" s="7" t="s">
        <v>40</v>
      </c>
    </row>
    <row r="2" customFormat="false" ht="15" hidden="false" customHeight="true" outlineLevel="0" collapsed="false">
      <c r="A2" s="9" t="s">
        <v>2545</v>
      </c>
      <c r="B2" s="9" t="s">
        <v>2546</v>
      </c>
      <c r="C2" s="9" t="s">
        <v>2547</v>
      </c>
      <c r="D2" s="9" t="s">
        <v>219</v>
      </c>
      <c r="E2" s="9" t="s">
        <v>186</v>
      </c>
      <c r="F2" s="9" t="s">
        <v>227</v>
      </c>
      <c r="G2" s="9" t="s">
        <v>2548</v>
      </c>
      <c r="H2" s="9" t="s">
        <v>1151</v>
      </c>
      <c r="I2" s="9"/>
      <c r="J2" s="9" t="s">
        <v>2549</v>
      </c>
      <c r="K2" s="9" t="s">
        <v>2550</v>
      </c>
    </row>
    <row r="3" customFormat="false" ht="15" hidden="false" customHeight="true" outlineLevel="0" collapsed="false">
      <c r="A3" s="11" t="s">
        <v>2551</v>
      </c>
      <c r="B3" s="11" t="s">
        <v>2546</v>
      </c>
      <c r="C3" s="11" t="s">
        <v>2547</v>
      </c>
      <c r="D3" s="11" t="s">
        <v>258</v>
      </c>
      <c r="E3" s="11" t="s">
        <v>195</v>
      </c>
      <c r="F3" s="11" t="s">
        <v>254</v>
      </c>
      <c r="G3" s="11" t="s">
        <v>2548</v>
      </c>
      <c r="H3" s="11" t="s">
        <v>1110</v>
      </c>
      <c r="I3" s="11"/>
      <c r="J3" s="11" t="s">
        <v>2552</v>
      </c>
      <c r="K3" s="11" t="s">
        <v>2550</v>
      </c>
    </row>
    <row r="4" customFormat="false" ht="15" hidden="false" customHeight="true" outlineLevel="0" collapsed="false">
      <c r="A4" s="9" t="s">
        <v>2553</v>
      </c>
      <c r="B4" s="9" t="s">
        <v>2554</v>
      </c>
      <c r="C4" s="9" t="s">
        <v>2547</v>
      </c>
      <c r="D4" s="9" t="s">
        <v>219</v>
      </c>
      <c r="E4" s="9" t="s">
        <v>186</v>
      </c>
      <c r="F4" s="9" t="s">
        <v>227</v>
      </c>
      <c r="G4" s="9" t="s">
        <v>2446</v>
      </c>
      <c r="H4" s="9" t="s">
        <v>531</v>
      </c>
      <c r="I4" s="9"/>
      <c r="J4" s="9" t="s">
        <v>2555</v>
      </c>
      <c r="K4" s="9" t="s">
        <v>2493</v>
      </c>
    </row>
    <row r="5" customFormat="false" ht="15" hidden="false" customHeight="true" outlineLevel="0" collapsed="false">
      <c r="A5" s="11" t="s">
        <v>2556</v>
      </c>
      <c r="B5" s="11" t="s">
        <v>2554</v>
      </c>
      <c r="C5" s="11" t="s">
        <v>2547</v>
      </c>
      <c r="D5" s="11" t="s">
        <v>219</v>
      </c>
      <c r="E5" s="11" t="s">
        <v>186</v>
      </c>
      <c r="F5" s="11" t="s">
        <v>227</v>
      </c>
      <c r="G5" s="11" t="s">
        <v>2442</v>
      </c>
      <c r="H5" s="11" t="s">
        <v>1151</v>
      </c>
      <c r="I5" s="11" t="s">
        <v>1515</v>
      </c>
      <c r="J5" s="11" t="s">
        <v>2491</v>
      </c>
      <c r="K5" s="11" t="s">
        <v>2493</v>
      </c>
    </row>
    <row r="6" customFormat="false" ht="15" hidden="false" customHeight="true" outlineLevel="0" collapsed="false">
      <c r="A6" s="9" t="s">
        <v>2557</v>
      </c>
      <c r="B6" s="9" t="s">
        <v>2558</v>
      </c>
      <c r="C6" s="9" t="s">
        <v>2547</v>
      </c>
      <c r="D6" s="9" t="s">
        <v>219</v>
      </c>
      <c r="E6" s="9" t="s">
        <v>186</v>
      </c>
      <c r="F6" s="9" t="s">
        <v>227</v>
      </c>
      <c r="G6" s="9" t="s">
        <v>2523</v>
      </c>
      <c r="H6" s="9" t="s">
        <v>2559</v>
      </c>
      <c r="I6" s="9" t="s">
        <v>1180</v>
      </c>
      <c r="J6" s="9" t="s">
        <v>2491</v>
      </c>
      <c r="K6" s="9" t="s">
        <v>2493</v>
      </c>
    </row>
    <row r="7" customFormat="false" ht="15" hidden="false" customHeight="true" outlineLevel="0" collapsed="false">
      <c r="A7" s="11" t="s">
        <v>2560</v>
      </c>
      <c r="B7" s="11" t="s">
        <v>2561</v>
      </c>
      <c r="C7" s="11" t="s">
        <v>2547</v>
      </c>
      <c r="D7" s="11" t="s">
        <v>219</v>
      </c>
      <c r="E7" s="11" t="s">
        <v>186</v>
      </c>
      <c r="F7" s="11" t="s">
        <v>227</v>
      </c>
      <c r="G7" s="11" t="s">
        <v>2523</v>
      </c>
      <c r="H7" s="11" t="s">
        <v>2559</v>
      </c>
      <c r="I7" s="11" t="s">
        <v>1180</v>
      </c>
      <c r="J7" s="11" t="s">
        <v>2491</v>
      </c>
      <c r="K7" s="11" t="s">
        <v>2493</v>
      </c>
    </row>
    <row r="8" customFormat="false" ht="15" hidden="false" customHeight="true" outlineLevel="0" collapsed="false">
      <c r="A8" s="9" t="s">
        <v>2562</v>
      </c>
      <c r="B8" s="9" t="s">
        <v>2563</v>
      </c>
      <c r="C8" s="9" t="s">
        <v>2547</v>
      </c>
      <c r="D8" s="9" t="s">
        <v>258</v>
      </c>
      <c r="E8" s="9" t="s">
        <v>195</v>
      </c>
      <c r="F8" s="9" t="s">
        <v>254</v>
      </c>
      <c r="G8" s="9" t="s">
        <v>2523</v>
      </c>
      <c r="H8" s="9" t="s">
        <v>2564</v>
      </c>
      <c r="I8" s="9" t="s">
        <v>2524</v>
      </c>
      <c r="J8" s="9" t="s">
        <v>2565</v>
      </c>
      <c r="K8" s="9" t="s">
        <v>2493</v>
      </c>
    </row>
    <row r="9" customFormat="false" ht="15" hidden="false" customHeight="true" outlineLevel="0" collapsed="false">
      <c r="A9" s="11" t="s">
        <v>2566</v>
      </c>
      <c r="B9" s="11" t="s">
        <v>2567</v>
      </c>
      <c r="C9" s="11" t="s">
        <v>2568</v>
      </c>
      <c r="D9" s="11" t="s">
        <v>219</v>
      </c>
      <c r="E9" s="11" t="s">
        <v>186</v>
      </c>
      <c r="F9" s="11" t="s">
        <v>227</v>
      </c>
      <c r="G9" s="11" t="s">
        <v>2446</v>
      </c>
      <c r="H9" s="11" t="s">
        <v>1151</v>
      </c>
      <c r="I9" s="11"/>
      <c r="J9" s="11" t="s">
        <v>2569</v>
      </c>
      <c r="K9" s="11" t="s">
        <v>2493</v>
      </c>
    </row>
    <row r="11" customFormat="false" ht="27.75" hidden="false" customHeight="true" outlineLevel="0" collapsed="false">
      <c r="A11" s="13" t="s">
        <v>2570</v>
      </c>
      <c r="B11" s="13"/>
      <c r="C11" s="13"/>
      <c r="D11" s="13"/>
      <c r="E11" s="13"/>
      <c r="F11" s="13"/>
      <c r="G11" s="13"/>
      <c r="H11" s="13"/>
    </row>
  </sheetData>
  <autoFilter ref="A1:K9"/>
  <mergeCells count="1">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0"/>
    <col collapsed="false" customWidth="true" hidden="false" outlineLevel="0" max="7" min="7" style="1" width="52"/>
    <col collapsed="false" customWidth="true" hidden="false" outlineLevel="0" max="8" min="8" style="1" width="12"/>
    <col collapsed="false" customWidth="true" hidden="false" outlineLevel="0" max="9" min="9" style="1" width="28"/>
    <col collapsed="false" customWidth="true" hidden="false" outlineLevel="0" max="10" min="10" style="1" width="15"/>
    <col collapsed="false" customWidth="true" hidden="false" outlineLevel="0" max="11" min="11" style="1" width="13"/>
    <col collapsed="false" customWidth="true" hidden="false" outlineLevel="0" max="12" min="12" style="1" width="11"/>
  </cols>
  <sheetData>
    <row r="1" customFormat="false" ht="30" hidden="false" customHeight="true" outlineLevel="0" collapsed="false">
      <c r="A1" s="7" t="s">
        <v>2571</v>
      </c>
      <c r="B1" s="7" t="s">
        <v>268</v>
      </c>
      <c r="C1" s="7" t="s">
        <v>2572</v>
      </c>
      <c r="D1" s="7" t="s">
        <v>1183</v>
      </c>
      <c r="E1" s="7" t="s">
        <v>2573</v>
      </c>
      <c r="F1" s="7" t="s">
        <v>2433</v>
      </c>
      <c r="G1" s="7" t="s">
        <v>2574</v>
      </c>
      <c r="H1" s="7" t="s">
        <v>2575</v>
      </c>
      <c r="I1" s="7" t="s">
        <v>2576</v>
      </c>
      <c r="J1" s="7" t="s">
        <v>2348</v>
      </c>
      <c r="K1" s="7" t="s">
        <v>2577</v>
      </c>
      <c r="L1" s="7" t="s">
        <v>40</v>
      </c>
    </row>
    <row r="2" customFormat="false" ht="21.75" hidden="false" customHeight="true" outlineLevel="0" collapsed="false">
      <c r="A2" s="9" t="s">
        <v>2578</v>
      </c>
      <c r="B2" s="9" t="s">
        <v>2579</v>
      </c>
      <c r="C2" s="9" t="s">
        <v>797</v>
      </c>
      <c r="D2" s="9" t="s">
        <v>798</v>
      </c>
      <c r="E2" s="9" t="s">
        <v>2580</v>
      </c>
      <c r="F2" s="9" t="s">
        <v>2517</v>
      </c>
      <c r="G2" s="9" t="s">
        <v>2581</v>
      </c>
      <c r="H2" s="9" t="n">
        <v>15000</v>
      </c>
      <c r="I2" s="9" t="s">
        <v>1453</v>
      </c>
      <c r="J2" s="9" t="s">
        <v>2445</v>
      </c>
      <c r="K2" s="9" t="s">
        <v>2582</v>
      </c>
      <c r="L2" s="9" t="s">
        <v>2583</v>
      </c>
    </row>
    <row r="3" customFormat="false" ht="21.75" hidden="false" customHeight="true" outlineLevel="0" collapsed="false">
      <c r="A3" s="11" t="s">
        <v>2584</v>
      </c>
      <c r="B3" s="11" t="s">
        <v>2579</v>
      </c>
      <c r="C3" s="11" t="s">
        <v>1077</v>
      </c>
      <c r="D3" s="11" t="s">
        <v>1078</v>
      </c>
      <c r="E3" s="11" t="s">
        <v>2580</v>
      </c>
      <c r="F3" s="11" t="s">
        <v>2517</v>
      </c>
      <c r="G3" s="11" t="s">
        <v>2585</v>
      </c>
      <c r="H3" s="11" t="n">
        <v>15000</v>
      </c>
      <c r="I3" s="11" t="s">
        <v>1453</v>
      </c>
      <c r="J3" s="11" t="s">
        <v>2445</v>
      </c>
      <c r="K3" s="11" t="s">
        <v>2586</v>
      </c>
      <c r="L3" s="11" t="s">
        <v>2583</v>
      </c>
    </row>
    <row r="4" customFormat="false" ht="21.75" hidden="false" customHeight="true" outlineLevel="0" collapsed="false">
      <c r="A4" s="9" t="s">
        <v>2587</v>
      </c>
      <c r="B4" s="9" t="s">
        <v>2579</v>
      </c>
      <c r="C4" s="9" t="s">
        <v>914</v>
      </c>
      <c r="D4" s="9" t="s">
        <v>915</v>
      </c>
      <c r="E4" s="9" t="s">
        <v>2588</v>
      </c>
      <c r="F4" s="9" t="s">
        <v>2446</v>
      </c>
      <c r="G4" s="9" t="s">
        <v>2589</v>
      </c>
      <c r="H4" s="9" t="n">
        <v>3000</v>
      </c>
      <c r="I4" s="9" t="s">
        <v>2590</v>
      </c>
      <c r="J4" s="9"/>
      <c r="K4" s="9"/>
      <c r="L4" s="9" t="s">
        <v>2583</v>
      </c>
    </row>
    <row r="5" customFormat="false" ht="15" hidden="false" customHeight="true" outlineLevel="0" collapsed="false">
      <c r="A5" s="11" t="s">
        <v>2591</v>
      </c>
      <c r="B5" s="11" t="s">
        <v>2592</v>
      </c>
      <c r="C5" s="11" t="s">
        <v>773</v>
      </c>
      <c r="D5" s="11" t="s">
        <v>774</v>
      </c>
      <c r="E5" s="11" t="s">
        <v>2593</v>
      </c>
      <c r="F5" s="11"/>
      <c r="G5" s="11" t="s">
        <v>2594</v>
      </c>
      <c r="H5" s="11" t="n">
        <v>25000</v>
      </c>
      <c r="I5" s="11" t="s">
        <v>2595</v>
      </c>
      <c r="J5" s="11" t="s">
        <v>2441</v>
      </c>
      <c r="K5" s="11" t="s">
        <v>2596</v>
      </c>
      <c r="L5" s="11" t="s">
        <v>2597</v>
      </c>
    </row>
    <row r="6" customFormat="false" ht="15" hidden="false" customHeight="true" outlineLevel="0" collapsed="false">
      <c r="A6" s="9" t="s">
        <v>2598</v>
      </c>
      <c r="B6" s="9" t="s">
        <v>2592</v>
      </c>
      <c r="C6" s="9" t="s">
        <v>773</v>
      </c>
      <c r="D6" s="9" t="s">
        <v>774</v>
      </c>
      <c r="E6" s="9" t="s">
        <v>2593</v>
      </c>
      <c r="F6" s="9"/>
      <c r="G6" s="9" t="s">
        <v>2599</v>
      </c>
      <c r="H6" s="9" t="n">
        <v>25000</v>
      </c>
      <c r="I6" s="9" t="s">
        <v>2600</v>
      </c>
      <c r="J6" s="9"/>
      <c r="K6" s="9"/>
      <c r="L6" s="9" t="s">
        <v>2597</v>
      </c>
    </row>
    <row r="7" customFormat="false" ht="15" hidden="false" customHeight="true" outlineLevel="0" collapsed="false">
      <c r="A7" s="11" t="s">
        <v>2601</v>
      </c>
      <c r="B7" s="11" t="s">
        <v>2592</v>
      </c>
      <c r="C7" s="11" t="s">
        <v>978</v>
      </c>
      <c r="D7" s="11" t="s">
        <v>979</v>
      </c>
      <c r="E7" s="11" t="s">
        <v>2602</v>
      </c>
      <c r="F7" s="11"/>
      <c r="G7" s="11" t="s">
        <v>2603</v>
      </c>
      <c r="H7" s="11" t="n">
        <v>25000</v>
      </c>
      <c r="I7" s="11" t="s">
        <v>2595</v>
      </c>
      <c r="J7" s="11" t="s">
        <v>2445</v>
      </c>
      <c r="K7" s="11" t="s">
        <v>2604</v>
      </c>
      <c r="L7" s="11" t="s">
        <v>2597</v>
      </c>
    </row>
    <row r="8" customFormat="false" ht="15" hidden="false" customHeight="true" outlineLevel="0" collapsed="false">
      <c r="A8" s="9" t="s">
        <v>2605</v>
      </c>
      <c r="B8" s="9" t="s">
        <v>2592</v>
      </c>
      <c r="C8" s="9" t="s">
        <v>731</v>
      </c>
      <c r="D8" s="9" t="s">
        <v>732</v>
      </c>
      <c r="E8" s="9" t="s">
        <v>2606</v>
      </c>
      <c r="F8" s="9"/>
      <c r="G8" s="9" t="s">
        <v>2607</v>
      </c>
      <c r="H8" s="9" t="n">
        <v>25000</v>
      </c>
      <c r="I8" s="9" t="s">
        <v>2608</v>
      </c>
      <c r="J8" s="9"/>
      <c r="K8" s="9"/>
      <c r="L8" s="9" t="s">
        <v>2597</v>
      </c>
    </row>
    <row r="10" customFormat="false" ht="27.75" hidden="false" customHeight="true" outlineLevel="0" collapsed="false">
      <c r="A10" s="13" t="s">
        <v>2609</v>
      </c>
      <c r="B10" s="13"/>
      <c r="C10" s="13"/>
      <c r="D10" s="13"/>
      <c r="E10" s="13"/>
      <c r="F10" s="13"/>
      <c r="G10" s="13"/>
      <c r="H10" s="13"/>
    </row>
  </sheetData>
  <autoFilter ref="A1:L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6"/>
    <col collapsed="false" customWidth="true" hidden="false" outlineLevel="0" max="3" min="3" style="1" width="46"/>
    <col collapsed="false" customWidth="true" hidden="false" outlineLevel="0" max="4" min="4" style="1" width="24"/>
    <col collapsed="false" customWidth="true" hidden="false" outlineLevel="0" max="5" min="5" style="1" width="30"/>
    <col collapsed="false" customWidth="true" hidden="false" outlineLevel="0" max="7" min="6" style="1" width="13"/>
    <col collapsed="false" customWidth="true" hidden="false" outlineLevel="0" max="8" min="8" style="1" width="24"/>
    <col collapsed="false" customWidth="true" hidden="false" outlineLevel="0" max="9" min="9" style="1" width="11"/>
    <col collapsed="false" customWidth="true" hidden="false" outlineLevel="0" max="10" min="10" style="1" width="12"/>
    <col collapsed="false" customWidth="true" hidden="false" outlineLevel="0" max="11" min="11" style="1" width="11"/>
  </cols>
  <sheetData>
    <row r="1" customFormat="false" ht="30" hidden="false" customHeight="true" outlineLevel="0" collapsed="false">
      <c r="A1" s="7" t="s">
        <v>2610</v>
      </c>
      <c r="B1" s="7" t="s">
        <v>268</v>
      </c>
      <c r="C1" s="7" t="s">
        <v>319</v>
      </c>
      <c r="D1" s="7" t="s">
        <v>2611</v>
      </c>
      <c r="E1" s="7" t="s">
        <v>2612</v>
      </c>
      <c r="F1" s="7" t="s">
        <v>2613</v>
      </c>
      <c r="G1" s="7" t="s">
        <v>2614</v>
      </c>
      <c r="H1" s="7" t="s">
        <v>2615</v>
      </c>
      <c r="I1" s="7" t="s">
        <v>2616</v>
      </c>
      <c r="J1" s="7" t="s">
        <v>185</v>
      </c>
      <c r="K1" s="7" t="s">
        <v>40</v>
      </c>
    </row>
    <row r="2" customFormat="false" ht="15" hidden="false" customHeight="true" outlineLevel="0" collapsed="false">
      <c r="A2" s="9" t="s">
        <v>2617</v>
      </c>
      <c r="B2" s="9" t="s">
        <v>2618</v>
      </c>
      <c r="C2" s="9" t="s">
        <v>2619</v>
      </c>
      <c r="D2" s="9" t="s">
        <v>2620</v>
      </c>
      <c r="E2" s="9" t="s">
        <v>2621</v>
      </c>
      <c r="F2" s="9" t="s">
        <v>2622</v>
      </c>
      <c r="G2" s="9" t="s">
        <v>2622</v>
      </c>
      <c r="H2" s="9" t="s">
        <v>2623</v>
      </c>
      <c r="I2" s="9" t="s">
        <v>2624</v>
      </c>
      <c r="J2" s="9" t="s">
        <v>2625</v>
      </c>
      <c r="K2" s="9" t="s">
        <v>2626</v>
      </c>
    </row>
    <row r="3" customFormat="false" ht="15" hidden="false" customHeight="true" outlineLevel="0" collapsed="false">
      <c r="A3" s="11" t="s">
        <v>2582</v>
      </c>
      <c r="B3" s="11" t="s">
        <v>2579</v>
      </c>
      <c r="C3" s="11" t="s">
        <v>2627</v>
      </c>
      <c r="D3" s="11" t="s">
        <v>2628</v>
      </c>
      <c r="E3" s="11" t="s">
        <v>2629</v>
      </c>
      <c r="F3" s="11" t="s">
        <v>1545</v>
      </c>
      <c r="G3" s="11" t="s">
        <v>2476</v>
      </c>
      <c r="H3" s="11" t="s">
        <v>2578</v>
      </c>
      <c r="I3" s="11" t="s">
        <v>678</v>
      </c>
      <c r="J3" s="11" t="s">
        <v>2630</v>
      </c>
      <c r="K3" s="11" t="s">
        <v>2626</v>
      </c>
    </row>
    <row r="4" customFormat="false" ht="15" hidden="false" customHeight="true" outlineLevel="0" collapsed="false">
      <c r="A4" s="9" t="s">
        <v>2586</v>
      </c>
      <c r="B4" s="9" t="s">
        <v>2579</v>
      </c>
      <c r="C4" s="9" t="s">
        <v>2631</v>
      </c>
      <c r="D4" s="9" t="s">
        <v>2632</v>
      </c>
      <c r="E4" s="9" t="s">
        <v>2629</v>
      </c>
      <c r="F4" s="9" t="s">
        <v>1545</v>
      </c>
      <c r="G4" s="9" t="s">
        <v>2476</v>
      </c>
      <c r="H4" s="9" t="s">
        <v>2584</v>
      </c>
      <c r="I4" s="9" t="s">
        <v>1061</v>
      </c>
      <c r="J4" s="9" t="s">
        <v>2630</v>
      </c>
      <c r="K4" s="9" t="s">
        <v>2626</v>
      </c>
    </row>
    <row r="5" customFormat="false" ht="15" hidden="false" customHeight="true" outlineLevel="0" collapsed="false">
      <c r="A5" s="11" t="s">
        <v>2633</v>
      </c>
      <c r="B5" s="11" t="s">
        <v>2634</v>
      </c>
      <c r="C5" s="11" t="s">
        <v>2635</v>
      </c>
      <c r="D5" s="11" t="s">
        <v>2636</v>
      </c>
      <c r="E5" s="11" t="s">
        <v>2637</v>
      </c>
      <c r="F5" s="11" t="s">
        <v>1151</v>
      </c>
      <c r="G5" s="11" t="s">
        <v>1524</v>
      </c>
      <c r="H5" s="11" t="s">
        <v>2638</v>
      </c>
      <c r="I5" s="11" t="s">
        <v>2624</v>
      </c>
      <c r="J5" s="11" t="s">
        <v>2630</v>
      </c>
      <c r="K5" s="11" t="s">
        <v>2626</v>
      </c>
    </row>
    <row r="6" customFormat="false" ht="15" hidden="false" customHeight="true" outlineLevel="0" collapsed="false">
      <c r="A6" s="9" t="s">
        <v>2596</v>
      </c>
      <c r="B6" s="9" t="s">
        <v>2592</v>
      </c>
      <c r="C6" s="9" t="s">
        <v>2639</v>
      </c>
      <c r="D6" s="9" t="s">
        <v>2640</v>
      </c>
      <c r="E6" s="9" t="s">
        <v>2641</v>
      </c>
      <c r="F6" s="9" t="s">
        <v>1323</v>
      </c>
      <c r="G6" s="9" t="s">
        <v>1332</v>
      </c>
      <c r="H6" s="9" t="s">
        <v>2591</v>
      </c>
      <c r="I6" s="9" t="s">
        <v>2624</v>
      </c>
      <c r="J6" s="9" t="s">
        <v>2630</v>
      </c>
      <c r="K6" s="9" t="s">
        <v>2626</v>
      </c>
    </row>
    <row r="7" customFormat="false" ht="15" hidden="false" customHeight="true" outlineLevel="0" collapsed="false">
      <c r="A7" s="11" t="s">
        <v>2604</v>
      </c>
      <c r="B7" s="11" t="s">
        <v>2592</v>
      </c>
      <c r="C7" s="11" t="s">
        <v>2642</v>
      </c>
      <c r="D7" s="11" t="s">
        <v>2643</v>
      </c>
      <c r="E7" s="11" t="s">
        <v>2641</v>
      </c>
      <c r="F7" s="11" t="s">
        <v>1394</v>
      </c>
      <c r="G7" s="11" t="s">
        <v>2451</v>
      </c>
      <c r="H7" s="11" t="s">
        <v>2601</v>
      </c>
      <c r="I7" s="11" t="s">
        <v>2624</v>
      </c>
      <c r="J7" s="11" t="s">
        <v>2625</v>
      </c>
      <c r="K7" s="11" t="s">
        <v>2626</v>
      </c>
    </row>
    <row r="8" customFormat="false" ht="15" hidden="false" customHeight="true" outlineLevel="0" collapsed="false">
      <c r="A8" s="9" t="s">
        <v>2644</v>
      </c>
      <c r="B8" s="9" t="s">
        <v>2645</v>
      </c>
      <c r="C8" s="9" t="s">
        <v>2646</v>
      </c>
      <c r="D8" s="9" t="s">
        <v>2647</v>
      </c>
      <c r="E8" s="9" t="s">
        <v>2648</v>
      </c>
      <c r="F8" s="9" t="s">
        <v>2501</v>
      </c>
      <c r="G8" s="9" t="s">
        <v>1449</v>
      </c>
      <c r="H8" s="9" t="s">
        <v>2649</v>
      </c>
      <c r="I8" s="9" t="s">
        <v>664</v>
      </c>
      <c r="J8" s="9" t="s">
        <v>2650</v>
      </c>
      <c r="K8" s="9" t="s">
        <v>2626</v>
      </c>
    </row>
    <row r="9" customFormat="false" ht="15" hidden="false" customHeight="true" outlineLevel="0" collapsed="false">
      <c r="A9" s="11" t="s">
        <v>2651</v>
      </c>
      <c r="B9" s="11" t="s">
        <v>2652</v>
      </c>
      <c r="C9" s="11" t="s">
        <v>2653</v>
      </c>
      <c r="D9" s="11" t="s">
        <v>2620</v>
      </c>
      <c r="E9" s="11" t="s">
        <v>2641</v>
      </c>
      <c r="F9" s="11" t="s">
        <v>858</v>
      </c>
      <c r="G9" s="11" t="s">
        <v>858</v>
      </c>
      <c r="H9" s="11" t="s">
        <v>2654</v>
      </c>
      <c r="I9" s="11" t="s">
        <v>2624</v>
      </c>
      <c r="J9" s="11" t="s">
        <v>2630</v>
      </c>
      <c r="K9" s="11" t="s">
        <v>2626</v>
      </c>
    </row>
    <row r="11" customFormat="false" ht="27.75" hidden="false" customHeight="true" outlineLevel="0" collapsed="false">
      <c r="A11" s="13" t="s">
        <v>2655</v>
      </c>
      <c r="B11" s="13"/>
      <c r="C11" s="13"/>
      <c r="D11" s="13"/>
      <c r="E11" s="13"/>
      <c r="F11" s="13"/>
      <c r="G11" s="13"/>
      <c r="H11" s="13"/>
    </row>
  </sheetData>
  <autoFilter ref="A1:K9"/>
  <mergeCells count="1">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26"/>
    <col collapsed="false" customWidth="true" hidden="false" outlineLevel="0" max="4" min="4" style="1" width="17"/>
    <col collapsed="false" customWidth="true" hidden="false" outlineLevel="0" max="5" min="5" style="1" width="11"/>
    <col collapsed="false" customWidth="true" hidden="false" outlineLevel="0" max="6" min="6" style="1" width="22"/>
    <col collapsed="false" customWidth="true" hidden="false" outlineLevel="0" max="7" min="7" style="1" width="12"/>
    <col collapsed="false" customWidth="true" hidden="false" outlineLevel="0" max="8" min="8" style="1" width="11"/>
    <col collapsed="false" customWidth="true" hidden="false" outlineLevel="0" max="9" min="9" style="1" width="52"/>
    <col collapsed="false" customWidth="true" hidden="false" outlineLevel="0" max="10" min="10" style="1" width="20"/>
    <col collapsed="false" customWidth="true" hidden="false" outlineLevel="0" max="11" min="11" style="1" width="12"/>
  </cols>
  <sheetData>
    <row r="1" customFormat="false" ht="30" hidden="false" customHeight="true" outlineLevel="0" collapsed="false">
      <c r="A1" s="7" t="s">
        <v>2656</v>
      </c>
      <c r="B1" s="7" t="s">
        <v>2657</v>
      </c>
      <c r="C1" s="7" t="s">
        <v>1</v>
      </c>
      <c r="D1" s="7" t="s">
        <v>2658</v>
      </c>
      <c r="E1" s="7" t="s">
        <v>2659</v>
      </c>
      <c r="F1" s="7" t="s">
        <v>1183</v>
      </c>
      <c r="G1" s="7" t="s">
        <v>2660</v>
      </c>
      <c r="H1" s="7" t="s">
        <v>2661</v>
      </c>
      <c r="I1" s="7" t="s">
        <v>2662</v>
      </c>
      <c r="J1" s="7" t="s">
        <v>2663</v>
      </c>
      <c r="K1" s="7" t="s">
        <v>40</v>
      </c>
    </row>
    <row r="2" customFormat="false" ht="21.75" hidden="false" customHeight="true" outlineLevel="0" collapsed="false">
      <c r="A2" s="9" t="s">
        <v>2664</v>
      </c>
      <c r="B2" s="9" t="s">
        <v>2665</v>
      </c>
      <c r="C2" s="9" t="s">
        <v>2666</v>
      </c>
      <c r="D2" s="9" t="s">
        <v>233</v>
      </c>
      <c r="E2" s="9"/>
      <c r="F2" s="9"/>
      <c r="G2" s="9"/>
      <c r="H2" s="9"/>
      <c r="I2" s="9" t="s">
        <v>2667</v>
      </c>
      <c r="J2" s="9"/>
      <c r="K2" s="9" t="s">
        <v>2668</v>
      </c>
    </row>
    <row r="3" customFormat="false" ht="15" hidden="false" customHeight="true" outlineLevel="0" collapsed="false">
      <c r="A3" s="11" t="s">
        <v>2669</v>
      </c>
      <c r="B3" s="11" t="s">
        <v>2670</v>
      </c>
      <c r="C3" s="11" t="s">
        <v>2671</v>
      </c>
      <c r="D3" s="11" t="s">
        <v>233</v>
      </c>
      <c r="E3" s="11"/>
      <c r="F3" s="11"/>
      <c r="G3" s="11"/>
      <c r="H3" s="11"/>
      <c r="I3" s="11" t="s">
        <v>2672</v>
      </c>
      <c r="J3" s="11"/>
      <c r="K3" s="11" t="s">
        <v>2668</v>
      </c>
    </row>
    <row r="4" customFormat="false" ht="15" hidden="false" customHeight="true" outlineLevel="0" collapsed="false">
      <c r="A4" s="9" t="s">
        <v>2673</v>
      </c>
      <c r="B4" s="9" t="s">
        <v>2674</v>
      </c>
      <c r="C4" s="9" t="s">
        <v>2675</v>
      </c>
      <c r="D4" s="9" t="s">
        <v>233</v>
      </c>
      <c r="E4" s="9"/>
      <c r="F4" s="9"/>
      <c r="G4" s="9"/>
      <c r="H4" s="9"/>
      <c r="I4" s="9" t="s">
        <v>2676</v>
      </c>
      <c r="J4" s="9"/>
      <c r="K4" s="9" t="s">
        <v>2668</v>
      </c>
    </row>
    <row r="5" customFormat="false" ht="15" hidden="false" customHeight="true" outlineLevel="0" collapsed="false">
      <c r="A5" s="11" t="s">
        <v>2677</v>
      </c>
      <c r="B5" s="11" t="s">
        <v>2678</v>
      </c>
      <c r="C5" s="11" t="s">
        <v>2679</v>
      </c>
      <c r="D5" s="11" t="s">
        <v>233</v>
      </c>
      <c r="E5" s="11"/>
      <c r="F5" s="11"/>
      <c r="G5" s="11"/>
      <c r="H5" s="11"/>
      <c r="I5" s="11" t="s">
        <v>2680</v>
      </c>
      <c r="J5" s="11"/>
      <c r="K5" s="11" t="s">
        <v>2668</v>
      </c>
    </row>
    <row r="6" customFormat="false" ht="15" hidden="false" customHeight="true" outlineLevel="0" collapsed="false">
      <c r="A6" s="9" t="s">
        <v>2681</v>
      </c>
      <c r="B6" s="9" t="s">
        <v>2682</v>
      </c>
      <c r="C6" s="9" t="s">
        <v>2683</v>
      </c>
      <c r="D6" s="9" t="s">
        <v>226</v>
      </c>
      <c r="E6" s="9"/>
      <c r="F6" s="9"/>
      <c r="G6" s="9"/>
      <c r="H6" s="9"/>
      <c r="I6" s="9" t="s">
        <v>2684</v>
      </c>
      <c r="J6" s="9"/>
      <c r="K6" s="9" t="s">
        <v>2668</v>
      </c>
    </row>
    <row r="7" customFormat="false" ht="15" hidden="false" customHeight="true" outlineLevel="0" collapsed="false">
      <c r="A7" s="11" t="s">
        <v>2685</v>
      </c>
      <c r="B7" s="11" t="s">
        <v>2686</v>
      </c>
      <c r="C7" s="11" t="s">
        <v>2687</v>
      </c>
      <c r="D7" s="11" t="s">
        <v>233</v>
      </c>
      <c r="E7" s="11"/>
      <c r="F7" s="11"/>
      <c r="G7" s="11"/>
      <c r="H7" s="11"/>
      <c r="I7" s="11" t="s">
        <v>2688</v>
      </c>
      <c r="J7" s="11"/>
      <c r="K7" s="11" t="s">
        <v>2668</v>
      </c>
    </row>
    <row r="8" customFormat="false" ht="15" hidden="false" customHeight="true" outlineLevel="0" collapsed="false">
      <c r="A8" s="9" t="s">
        <v>2689</v>
      </c>
      <c r="B8" s="9" t="s">
        <v>2690</v>
      </c>
      <c r="C8" s="9" t="s">
        <v>2691</v>
      </c>
      <c r="D8" s="9" t="s">
        <v>226</v>
      </c>
      <c r="E8" s="9"/>
      <c r="F8" s="9"/>
      <c r="G8" s="9"/>
      <c r="H8" s="9"/>
      <c r="I8" s="9" t="s">
        <v>2692</v>
      </c>
      <c r="J8" s="9"/>
      <c r="K8" s="9" t="s">
        <v>2668</v>
      </c>
    </row>
    <row r="9" customFormat="false" ht="15" hidden="false" customHeight="true" outlineLevel="0" collapsed="false">
      <c r="A9" s="11" t="s">
        <v>2693</v>
      </c>
      <c r="B9" s="11" t="s">
        <v>2694</v>
      </c>
      <c r="C9" s="11" t="s">
        <v>2695</v>
      </c>
      <c r="D9" s="11" t="s">
        <v>233</v>
      </c>
      <c r="E9" s="11"/>
      <c r="F9" s="11"/>
      <c r="G9" s="11"/>
      <c r="H9" s="11"/>
      <c r="I9" s="11" t="s">
        <v>2696</v>
      </c>
      <c r="J9" s="11"/>
      <c r="K9" s="11" t="s">
        <v>2668</v>
      </c>
    </row>
    <row r="10" customFormat="false" ht="15" hidden="false" customHeight="true" outlineLevel="0" collapsed="false">
      <c r="A10" s="9" t="s">
        <v>2697</v>
      </c>
      <c r="B10" s="9" t="s">
        <v>2665</v>
      </c>
      <c r="C10" s="9"/>
      <c r="D10" s="9"/>
      <c r="E10" s="9" t="s">
        <v>602</v>
      </c>
      <c r="F10" s="9" t="s">
        <v>1149</v>
      </c>
      <c r="G10" s="9" t="s">
        <v>1151</v>
      </c>
      <c r="H10" s="9" t="s">
        <v>678</v>
      </c>
      <c r="I10" s="9"/>
      <c r="J10" s="9" t="s">
        <v>2698</v>
      </c>
      <c r="K10" s="9" t="s">
        <v>2668</v>
      </c>
    </row>
    <row r="11" customFormat="false" ht="15" hidden="false" customHeight="true" outlineLevel="0" collapsed="false">
      <c r="A11" s="11" t="s">
        <v>2699</v>
      </c>
      <c r="B11" s="11" t="s">
        <v>2665</v>
      </c>
      <c r="C11" s="11"/>
      <c r="D11" s="11"/>
      <c r="E11" s="11" t="s">
        <v>599</v>
      </c>
      <c r="F11" s="11" t="s">
        <v>1141</v>
      </c>
      <c r="G11" s="11" t="s">
        <v>1143</v>
      </c>
      <c r="H11" s="11" t="s">
        <v>678</v>
      </c>
      <c r="I11" s="11"/>
      <c r="J11" s="11" t="s">
        <v>2698</v>
      </c>
      <c r="K11" s="11" t="s">
        <v>2668</v>
      </c>
    </row>
    <row r="12" customFormat="false" ht="15" hidden="false" customHeight="true" outlineLevel="0" collapsed="false">
      <c r="A12" s="9" t="s">
        <v>2700</v>
      </c>
      <c r="B12" s="9" t="s">
        <v>2670</v>
      </c>
      <c r="C12" s="9"/>
      <c r="D12" s="9"/>
      <c r="E12" s="9" t="s">
        <v>1084</v>
      </c>
      <c r="F12" s="9" t="s">
        <v>1085</v>
      </c>
      <c r="G12" s="9" t="s">
        <v>1151</v>
      </c>
      <c r="H12" s="9" t="s">
        <v>1061</v>
      </c>
      <c r="I12" s="9"/>
      <c r="J12" s="9" t="s">
        <v>2701</v>
      </c>
      <c r="K12" s="9" t="s">
        <v>2668</v>
      </c>
    </row>
    <row r="13" customFormat="false" ht="15" hidden="false" customHeight="true" outlineLevel="0" collapsed="false">
      <c r="A13" s="11" t="s">
        <v>2702</v>
      </c>
      <c r="B13" s="11" t="s">
        <v>2686</v>
      </c>
      <c r="C13" s="11"/>
      <c r="D13" s="11"/>
      <c r="E13" s="11" t="s">
        <v>1166</v>
      </c>
      <c r="F13" s="11" t="s">
        <v>1167</v>
      </c>
      <c r="G13" s="11" t="s">
        <v>1394</v>
      </c>
      <c r="H13" s="11" t="s">
        <v>678</v>
      </c>
      <c r="I13" s="11"/>
      <c r="J13" s="11" t="s">
        <v>2703</v>
      </c>
      <c r="K13" s="11" t="s">
        <v>2704</v>
      </c>
    </row>
    <row r="15" customFormat="false" ht="27.75" hidden="false" customHeight="true" outlineLevel="0" collapsed="false">
      <c r="A15" s="13" t="s">
        <v>2705</v>
      </c>
      <c r="B15" s="13"/>
      <c r="C15" s="13"/>
      <c r="D15" s="13"/>
      <c r="E15" s="13"/>
      <c r="F15" s="13"/>
      <c r="G15" s="13"/>
      <c r="H15" s="13"/>
    </row>
  </sheetData>
  <autoFilter ref="A1:K13"/>
  <mergeCells count="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5"/>
    <col collapsed="false" customWidth="true" hidden="false" outlineLevel="0" max="3" min="3" style="1" width="30"/>
    <col collapsed="false" customWidth="true" hidden="false" outlineLevel="0" max="4" min="4" style="1" width="15"/>
    <col collapsed="false" customWidth="true" hidden="false" outlineLevel="0" max="5" min="5" style="1" width="12"/>
    <col collapsed="false" customWidth="true" hidden="false" outlineLevel="0" max="6" min="6" style="1" width="13"/>
    <col collapsed="false" customWidth="true" hidden="false" outlineLevel="0" max="7" min="7" style="1" width="22"/>
    <col collapsed="false" customWidth="true" hidden="false" outlineLevel="0" max="8" min="8" style="1" width="12"/>
    <col collapsed="false" customWidth="true" hidden="false" outlineLevel="0" max="9" min="9" style="1" width="13"/>
    <col collapsed="false" customWidth="true" hidden="false" outlineLevel="0" max="10" min="10" style="1" width="28"/>
    <col collapsed="false" customWidth="true" hidden="false" outlineLevel="0" max="11" min="11" style="1" width="20"/>
    <col collapsed="false" customWidth="true" hidden="false" outlineLevel="0" max="12" min="12" style="1" width="42"/>
    <col collapsed="false" customWidth="true" hidden="false" outlineLevel="0" max="13" min="13" style="0" width="16"/>
  </cols>
  <sheetData>
    <row r="1" customFormat="false" ht="30" hidden="false" customHeight="true" outlineLevel="0" collapsed="false">
      <c r="A1" s="7" t="s">
        <v>2706</v>
      </c>
      <c r="B1" s="7" t="s">
        <v>268</v>
      </c>
      <c r="C1" s="7" t="s">
        <v>2707</v>
      </c>
      <c r="D1" s="7" t="s">
        <v>2708</v>
      </c>
      <c r="E1" s="7" t="s">
        <v>185</v>
      </c>
      <c r="F1" s="7" t="s">
        <v>2709</v>
      </c>
      <c r="G1" s="7" t="s">
        <v>1183</v>
      </c>
      <c r="H1" s="7" t="s">
        <v>2660</v>
      </c>
      <c r="I1" s="7" t="s">
        <v>2710</v>
      </c>
      <c r="J1" s="7" t="s">
        <v>2711</v>
      </c>
      <c r="K1" s="7" t="s">
        <v>2712</v>
      </c>
      <c r="L1" s="7" t="s">
        <v>40</v>
      </c>
      <c r="M1" s="8" t="s">
        <v>2713</v>
      </c>
    </row>
    <row r="2" customFormat="false" ht="15" hidden="false" customHeight="true" outlineLevel="0" collapsed="false">
      <c r="A2" s="9" t="s">
        <v>2714</v>
      </c>
      <c r="B2" s="9" t="s">
        <v>2715</v>
      </c>
      <c r="C2" s="9" t="s">
        <v>2716</v>
      </c>
      <c r="D2" s="9" t="s">
        <v>2717</v>
      </c>
      <c r="E2" s="9" t="s">
        <v>2718</v>
      </c>
      <c r="F2" s="9" t="s">
        <v>602</v>
      </c>
      <c r="G2" s="9" t="s">
        <v>1149</v>
      </c>
      <c r="H2" s="9" t="s">
        <v>1151</v>
      </c>
      <c r="I2" s="9"/>
      <c r="J2" s="9" t="s">
        <v>2719</v>
      </c>
      <c r="K2" s="9" t="s">
        <v>233</v>
      </c>
      <c r="L2" s="9" t="s">
        <v>2720</v>
      </c>
      <c r="M2" s="10" t="n">
        <v>58000</v>
      </c>
    </row>
    <row r="3" customFormat="false" ht="15" hidden="false" customHeight="true" outlineLevel="0" collapsed="false">
      <c r="A3" s="11" t="s">
        <v>2721</v>
      </c>
      <c r="B3" s="11" t="s">
        <v>2722</v>
      </c>
      <c r="C3" s="11" t="s">
        <v>2723</v>
      </c>
      <c r="D3" s="11" t="s">
        <v>2724</v>
      </c>
      <c r="E3" s="11" t="s">
        <v>2718</v>
      </c>
      <c r="F3" s="11" t="s">
        <v>602</v>
      </c>
      <c r="G3" s="11" t="s">
        <v>1149</v>
      </c>
      <c r="H3" s="11" t="s">
        <v>1151</v>
      </c>
      <c r="I3" s="11"/>
      <c r="J3" s="11" t="s">
        <v>2719</v>
      </c>
      <c r="K3" s="11" t="s">
        <v>233</v>
      </c>
      <c r="L3" s="11" t="s">
        <v>2720</v>
      </c>
      <c r="M3" s="12" t="n">
        <v>14000</v>
      </c>
    </row>
    <row r="4" customFormat="false" ht="15" hidden="false" customHeight="true" outlineLevel="0" collapsed="false">
      <c r="A4" s="9" t="s">
        <v>2725</v>
      </c>
      <c r="B4" s="9" t="s">
        <v>2726</v>
      </c>
      <c r="C4" s="9" t="s">
        <v>2727</v>
      </c>
      <c r="D4" s="9" t="s">
        <v>2728</v>
      </c>
      <c r="E4" s="9" t="s">
        <v>2718</v>
      </c>
      <c r="F4" s="9" t="s">
        <v>602</v>
      </c>
      <c r="G4" s="9" t="s">
        <v>1149</v>
      </c>
      <c r="H4" s="9" t="s">
        <v>1151</v>
      </c>
      <c r="I4" s="9"/>
      <c r="J4" s="9" t="s">
        <v>2719</v>
      </c>
      <c r="K4" s="9" t="s">
        <v>233</v>
      </c>
      <c r="L4" s="9" t="s">
        <v>2720</v>
      </c>
      <c r="M4" s="10" t="n">
        <v>500</v>
      </c>
    </row>
    <row r="5" customFormat="false" ht="15" hidden="false" customHeight="true" outlineLevel="0" collapsed="false">
      <c r="A5" s="11" t="s">
        <v>2729</v>
      </c>
      <c r="B5" s="11" t="s">
        <v>2715</v>
      </c>
      <c r="C5" s="11" t="s">
        <v>2730</v>
      </c>
      <c r="D5" s="11" t="s">
        <v>2731</v>
      </c>
      <c r="E5" s="11" t="s">
        <v>2732</v>
      </c>
      <c r="F5" s="11" t="s">
        <v>1166</v>
      </c>
      <c r="G5" s="11" t="s">
        <v>1167</v>
      </c>
      <c r="H5" s="11" t="s">
        <v>1169</v>
      </c>
      <c r="I5" s="11" t="s">
        <v>1443</v>
      </c>
      <c r="J5" s="11" t="s">
        <v>2733</v>
      </c>
      <c r="K5" s="11" t="s">
        <v>233</v>
      </c>
      <c r="L5" s="11" t="s">
        <v>1396</v>
      </c>
      <c r="M5" s="12" t="n">
        <v>0</v>
      </c>
    </row>
    <row r="6" customFormat="false" ht="15" hidden="false" customHeight="true" outlineLevel="0" collapsed="false">
      <c r="A6" s="9" t="s">
        <v>2734</v>
      </c>
      <c r="B6" s="9" t="s">
        <v>2735</v>
      </c>
      <c r="C6" s="9" t="s">
        <v>2736</v>
      </c>
      <c r="D6" s="9" t="s">
        <v>2737</v>
      </c>
      <c r="E6" s="9" t="s">
        <v>2718</v>
      </c>
      <c r="F6" s="9" t="s">
        <v>961</v>
      </c>
      <c r="G6" s="9" t="s">
        <v>962</v>
      </c>
      <c r="H6" s="9" t="s">
        <v>964</v>
      </c>
      <c r="I6" s="9"/>
      <c r="J6" s="9" t="s">
        <v>2738</v>
      </c>
      <c r="K6" s="9" t="s">
        <v>233</v>
      </c>
      <c r="L6" s="9" t="s">
        <v>2739</v>
      </c>
      <c r="M6" s="10" t="n">
        <v>12000</v>
      </c>
    </row>
    <row r="7" customFormat="false" ht="15" hidden="false" customHeight="true" outlineLevel="0" collapsed="false">
      <c r="A7" s="11" t="s">
        <v>2740</v>
      </c>
      <c r="B7" s="11" t="s">
        <v>2741</v>
      </c>
      <c r="C7" s="11" t="s">
        <v>2742</v>
      </c>
      <c r="D7" s="11" t="s">
        <v>2743</v>
      </c>
      <c r="E7" s="11" t="s">
        <v>2718</v>
      </c>
      <c r="F7" s="11" t="s">
        <v>961</v>
      </c>
      <c r="G7" s="11" t="s">
        <v>962</v>
      </c>
      <c r="H7" s="11" t="s">
        <v>964</v>
      </c>
      <c r="I7" s="11"/>
      <c r="J7" s="11" t="s">
        <v>2738</v>
      </c>
      <c r="K7" s="11" t="s">
        <v>233</v>
      </c>
      <c r="L7" s="11" t="s">
        <v>2739</v>
      </c>
      <c r="M7" s="12" t="n">
        <v>500</v>
      </c>
    </row>
    <row r="8" customFormat="false" ht="15" hidden="false" customHeight="true" outlineLevel="0" collapsed="false">
      <c r="A8" s="9" t="s">
        <v>2744</v>
      </c>
      <c r="B8" s="9" t="s">
        <v>2745</v>
      </c>
      <c r="C8" s="9" t="s">
        <v>2746</v>
      </c>
      <c r="D8" s="9" t="s">
        <v>2747</v>
      </c>
      <c r="E8" s="9" t="s">
        <v>2732</v>
      </c>
      <c r="F8" s="9" t="s">
        <v>961</v>
      </c>
      <c r="G8" s="9" t="s">
        <v>962</v>
      </c>
      <c r="H8" s="9" t="s">
        <v>964</v>
      </c>
      <c r="I8" s="9" t="s">
        <v>531</v>
      </c>
      <c r="J8" s="9" t="s">
        <v>2748</v>
      </c>
      <c r="K8" s="9" t="s">
        <v>226</v>
      </c>
      <c r="L8" s="9"/>
      <c r="M8" s="10" t="n">
        <v>0</v>
      </c>
    </row>
    <row r="9" customFormat="false" ht="15" hidden="false" customHeight="true" outlineLevel="0" collapsed="false">
      <c r="A9" s="11" t="s">
        <v>2749</v>
      </c>
      <c r="B9" s="11" t="s">
        <v>2715</v>
      </c>
      <c r="C9" s="11" t="s">
        <v>2750</v>
      </c>
      <c r="D9" s="11" t="s">
        <v>2751</v>
      </c>
      <c r="E9" s="11" t="s">
        <v>2718</v>
      </c>
      <c r="F9" s="11" t="s">
        <v>599</v>
      </c>
      <c r="G9" s="11" t="s">
        <v>1141</v>
      </c>
      <c r="H9" s="11" t="s">
        <v>1143</v>
      </c>
      <c r="I9" s="11"/>
      <c r="J9" s="11" t="s">
        <v>2719</v>
      </c>
      <c r="K9" s="11" t="s">
        <v>233</v>
      </c>
      <c r="L9" s="11"/>
      <c r="M9" s="12" t="n">
        <v>62000</v>
      </c>
    </row>
    <row r="10" customFormat="false" ht="15" hidden="false" customHeight="true" outlineLevel="0" collapsed="false">
      <c r="A10" s="9" t="s">
        <v>2752</v>
      </c>
      <c r="B10" s="9" t="s">
        <v>2726</v>
      </c>
      <c r="C10" s="9" t="s">
        <v>2753</v>
      </c>
      <c r="D10" s="9" t="s">
        <v>2754</v>
      </c>
      <c r="E10" s="9" t="s">
        <v>2718</v>
      </c>
      <c r="F10" s="9" t="s">
        <v>599</v>
      </c>
      <c r="G10" s="9" t="s">
        <v>1141</v>
      </c>
      <c r="H10" s="9" t="s">
        <v>1143</v>
      </c>
      <c r="I10" s="9"/>
      <c r="J10" s="9" t="s">
        <v>2719</v>
      </c>
      <c r="K10" s="9" t="s">
        <v>233</v>
      </c>
      <c r="L10" s="9"/>
      <c r="M10" s="10" t="n">
        <v>500</v>
      </c>
    </row>
    <row r="12" customFormat="false" ht="27.75" hidden="false" customHeight="true" outlineLevel="0" collapsed="false">
      <c r="A12" s="14" t="s">
        <v>2755</v>
      </c>
      <c r="B12" s="14"/>
      <c r="C12" s="14"/>
      <c r="D12" s="14"/>
      <c r="E12" s="14"/>
      <c r="F12" s="14"/>
      <c r="G12" s="14"/>
      <c r="H12" s="14"/>
      <c r="I12" s="14"/>
      <c r="J12" s="14"/>
    </row>
  </sheetData>
  <autoFilter ref="A1:L10"/>
  <mergeCells count="1">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22"/>
    <col collapsed="false" customWidth="true" hidden="false" outlineLevel="0" max="4" min="4" style="1" width="42"/>
    <col collapsed="false" customWidth="true" hidden="false" outlineLevel="0" max="5" min="5" style="1" width="24"/>
    <col collapsed="false" customWidth="true" hidden="false" outlineLevel="0" max="6" min="6" style="1" width="13"/>
    <col collapsed="false" customWidth="true" hidden="false" outlineLevel="0" max="7" min="7" style="1" width="12"/>
    <col collapsed="false" customWidth="true" hidden="false" outlineLevel="0" max="8" min="8" style="1" width="14"/>
    <col collapsed="false" customWidth="true" hidden="false" outlineLevel="0" max="9" min="9" style="1" width="13"/>
    <col collapsed="false" customWidth="true" hidden="false" outlineLevel="0" max="10" min="10" style="1" width="22"/>
    <col collapsed="false" customWidth="true" hidden="false" outlineLevel="0" max="11" min="11" style="1" width="11"/>
  </cols>
  <sheetData>
    <row r="1" customFormat="false" ht="30" hidden="false" customHeight="true" outlineLevel="0" collapsed="false">
      <c r="A1" s="7" t="s">
        <v>544</v>
      </c>
      <c r="B1" s="7" t="s">
        <v>608</v>
      </c>
      <c r="C1" s="7" t="s">
        <v>1183</v>
      </c>
      <c r="D1" s="7" t="s">
        <v>2756</v>
      </c>
      <c r="E1" s="7" t="s">
        <v>268</v>
      </c>
      <c r="F1" s="7" t="s">
        <v>2757</v>
      </c>
      <c r="G1" s="7" t="s">
        <v>2758</v>
      </c>
      <c r="H1" s="7" t="s">
        <v>2759</v>
      </c>
      <c r="I1" s="7" t="s">
        <v>185</v>
      </c>
      <c r="J1" s="7" t="s">
        <v>2760</v>
      </c>
      <c r="K1" s="7" t="s">
        <v>40</v>
      </c>
    </row>
    <row r="2" customFormat="false" ht="15" hidden="false" customHeight="true" outlineLevel="0" collapsed="false">
      <c r="A2" s="9" t="s">
        <v>2761</v>
      </c>
      <c r="B2" s="9" t="s">
        <v>602</v>
      </c>
      <c r="C2" s="9" t="s">
        <v>1149</v>
      </c>
      <c r="D2" s="9" t="s">
        <v>2762</v>
      </c>
      <c r="E2" s="9" t="s">
        <v>2763</v>
      </c>
      <c r="F2" s="9" t="s">
        <v>1151</v>
      </c>
      <c r="G2" s="9" t="s">
        <v>1151</v>
      </c>
      <c r="H2" s="9" t="s">
        <v>1151</v>
      </c>
      <c r="I2" s="9" t="s">
        <v>2764</v>
      </c>
      <c r="J2" s="9" t="s">
        <v>2765</v>
      </c>
      <c r="K2" s="9" t="s">
        <v>2720</v>
      </c>
    </row>
    <row r="3" customFormat="false" ht="15" hidden="false" customHeight="true" outlineLevel="0" collapsed="false">
      <c r="A3" s="11" t="s">
        <v>2766</v>
      </c>
      <c r="B3" s="11" t="s">
        <v>602</v>
      </c>
      <c r="C3" s="11" t="s">
        <v>1149</v>
      </c>
      <c r="D3" s="11" t="s">
        <v>2767</v>
      </c>
      <c r="E3" s="11" t="s">
        <v>2768</v>
      </c>
      <c r="F3" s="11" t="s">
        <v>1151</v>
      </c>
      <c r="G3" s="11" t="s">
        <v>1505</v>
      </c>
      <c r="H3" s="11" t="s">
        <v>593</v>
      </c>
      <c r="I3" s="11" t="s">
        <v>2764</v>
      </c>
      <c r="J3" s="11" t="s">
        <v>2765</v>
      </c>
      <c r="K3" s="11" t="s">
        <v>2720</v>
      </c>
    </row>
    <row r="4" customFormat="false" ht="15" hidden="false" customHeight="true" outlineLevel="0" collapsed="false">
      <c r="A4" s="9" t="s">
        <v>2769</v>
      </c>
      <c r="B4" s="9" t="s">
        <v>602</v>
      </c>
      <c r="C4" s="9" t="s">
        <v>1149</v>
      </c>
      <c r="D4" s="9" t="s">
        <v>2770</v>
      </c>
      <c r="E4" s="9" t="s">
        <v>2768</v>
      </c>
      <c r="F4" s="9" t="s">
        <v>1151</v>
      </c>
      <c r="G4" s="9" t="s">
        <v>531</v>
      </c>
      <c r="H4" s="9"/>
      <c r="I4" s="9" t="s">
        <v>2771</v>
      </c>
      <c r="J4" s="9" t="s">
        <v>2765</v>
      </c>
      <c r="K4" s="9" t="s">
        <v>2720</v>
      </c>
    </row>
    <row r="5" customFormat="false" ht="15" hidden="false" customHeight="true" outlineLevel="0" collapsed="false">
      <c r="A5" s="11" t="s">
        <v>2772</v>
      </c>
      <c r="B5" s="11" t="s">
        <v>602</v>
      </c>
      <c r="C5" s="11" t="s">
        <v>1149</v>
      </c>
      <c r="D5" s="11" t="s">
        <v>2773</v>
      </c>
      <c r="E5" s="11" t="s">
        <v>2774</v>
      </c>
      <c r="F5" s="11" t="s">
        <v>1151</v>
      </c>
      <c r="G5" s="11" t="s">
        <v>1515</v>
      </c>
      <c r="H5" s="11" t="s">
        <v>593</v>
      </c>
      <c r="I5" s="11" t="s">
        <v>2764</v>
      </c>
      <c r="J5" s="11" t="s">
        <v>2765</v>
      </c>
      <c r="K5" s="11" t="s">
        <v>2720</v>
      </c>
    </row>
    <row r="6" customFormat="false" ht="15" hidden="false" customHeight="true" outlineLevel="0" collapsed="false">
      <c r="A6" s="9" t="s">
        <v>2775</v>
      </c>
      <c r="B6" s="9" t="s">
        <v>602</v>
      </c>
      <c r="C6" s="9" t="s">
        <v>1149</v>
      </c>
      <c r="D6" s="9" t="s">
        <v>2776</v>
      </c>
      <c r="E6" s="9" t="s">
        <v>2777</v>
      </c>
      <c r="F6" s="9" t="s">
        <v>1151</v>
      </c>
      <c r="G6" s="9" t="s">
        <v>1151</v>
      </c>
      <c r="H6" s="9" t="s">
        <v>1151</v>
      </c>
      <c r="I6" s="9" t="s">
        <v>2764</v>
      </c>
      <c r="J6" s="9" t="s">
        <v>2765</v>
      </c>
      <c r="K6" s="9" t="s">
        <v>2550</v>
      </c>
    </row>
    <row r="7" customFormat="false" ht="15" hidden="false" customHeight="true" outlineLevel="0" collapsed="false">
      <c r="A7" s="11" t="s">
        <v>2778</v>
      </c>
      <c r="B7" s="11" t="s">
        <v>602</v>
      </c>
      <c r="C7" s="11" t="s">
        <v>1149</v>
      </c>
      <c r="D7" s="11" t="s">
        <v>2779</v>
      </c>
      <c r="E7" s="11" t="s">
        <v>2780</v>
      </c>
      <c r="F7" s="11" t="s">
        <v>1151</v>
      </c>
      <c r="G7" s="11" t="s">
        <v>2781</v>
      </c>
      <c r="H7" s="11"/>
      <c r="I7" s="11" t="s">
        <v>2519</v>
      </c>
      <c r="J7" s="11" t="s">
        <v>2782</v>
      </c>
      <c r="K7" s="11" t="s">
        <v>2720</v>
      </c>
    </row>
    <row r="8" customFormat="false" ht="15" hidden="false" customHeight="true" outlineLevel="0" collapsed="false">
      <c r="A8" s="9" t="s">
        <v>2783</v>
      </c>
      <c r="B8" s="9" t="s">
        <v>599</v>
      </c>
      <c r="C8" s="9" t="s">
        <v>1141</v>
      </c>
      <c r="D8" s="9" t="s">
        <v>2767</v>
      </c>
      <c r="E8" s="9" t="s">
        <v>2768</v>
      </c>
      <c r="F8" s="9" t="s">
        <v>1143</v>
      </c>
      <c r="G8" s="9" t="s">
        <v>2477</v>
      </c>
      <c r="H8" s="9" t="s">
        <v>2784</v>
      </c>
      <c r="I8" s="9" t="s">
        <v>2764</v>
      </c>
      <c r="J8" s="9" t="s">
        <v>2765</v>
      </c>
      <c r="K8" s="9"/>
    </row>
    <row r="9" customFormat="false" ht="15" hidden="false" customHeight="true" outlineLevel="0" collapsed="false">
      <c r="A9" s="11" t="s">
        <v>2785</v>
      </c>
      <c r="B9" s="11" t="s">
        <v>599</v>
      </c>
      <c r="C9" s="11" t="s">
        <v>1141</v>
      </c>
      <c r="D9" s="11" t="s">
        <v>2770</v>
      </c>
      <c r="E9" s="11" t="s">
        <v>2768</v>
      </c>
      <c r="F9" s="11" t="s">
        <v>1143</v>
      </c>
      <c r="G9" s="11" t="s">
        <v>1323</v>
      </c>
      <c r="H9" s="11" t="s">
        <v>528</v>
      </c>
      <c r="I9" s="11" t="s">
        <v>2764</v>
      </c>
      <c r="J9" s="11" t="s">
        <v>2765</v>
      </c>
      <c r="K9" s="11"/>
    </row>
    <row r="10" customFormat="false" ht="15" hidden="false" customHeight="true" outlineLevel="0" collapsed="false">
      <c r="A10" s="9" t="s">
        <v>2786</v>
      </c>
      <c r="B10" s="9" t="s">
        <v>773</v>
      </c>
      <c r="C10" s="9" t="s">
        <v>774</v>
      </c>
      <c r="D10" s="9" t="s">
        <v>2787</v>
      </c>
      <c r="E10" s="9" t="s">
        <v>2768</v>
      </c>
      <c r="F10" s="9" t="s">
        <v>2788</v>
      </c>
      <c r="G10" s="9" t="s">
        <v>1332</v>
      </c>
      <c r="H10" s="9"/>
      <c r="I10" s="9" t="s">
        <v>2789</v>
      </c>
      <c r="J10" s="9" t="s">
        <v>2790</v>
      </c>
      <c r="K10" s="9"/>
    </row>
    <row r="11" customFormat="false" ht="15" hidden="false" customHeight="true" outlineLevel="0" collapsed="false">
      <c r="A11" s="11" t="s">
        <v>2791</v>
      </c>
      <c r="B11" s="11" t="s">
        <v>797</v>
      </c>
      <c r="C11" s="11" t="s">
        <v>798</v>
      </c>
      <c r="D11" s="11" t="s">
        <v>2792</v>
      </c>
      <c r="E11" s="11" t="s">
        <v>2768</v>
      </c>
      <c r="F11" s="11" t="s">
        <v>1151</v>
      </c>
      <c r="G11" s="11" t="s">
        <v>1394</v>
      </c>
      <c r="H11" s="11"/>
      <c r="I11" s="11" t="s">
        <v>2771</v>
      </c>
      <c r="J11" s="11" t="s">
        <v>2790</v>
      </c>
      <c r="K11" s="11"/>
    </row>
    <row r="13" customFormat="false" ht="27.75" hidden="false" customHeight="true" outlineLevel="0" collapsed="false">
      <c r="A13" s="13" t="s">
        <v>2793</v>
      </c>
      <c r="B13" s="13"/>
      <c r="C13" s="13"/>
      <c r="D13" s="13"/>
      <c r="E13" s="13"/>
      <c r="F13" s="13"/>
      <c r="G13" s="13"/>
      <c r="H13" s="13"/>
    </row>
  </sheetData>
  <autoFilter ref="A1:K11"/>
  <mergeCells count="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
    <col collapsed="false" customWidth="true" hidden="false" outlineLevel="0" max="3" min="3" style="1" width="32"/>
    <col collapsed="false" customWidth="true" hidden="false" outlineLevel="0" max="4" min="4" style="1" width="9"/>
    <col collapsed="false" customWidth="true" hidden="false" outlineLevel="0" max="5" min="5" style="1" width="16"/>
    <col collapsed="false" customWidth="true" hidden="false" outlineLevel="0" max="6" min="6" style="1" width="30"/>
    <col collapsed="false" customWidth="true" hidden="false" outlineLevel="0" max="7" min="7" style="1" width="24"/>
    <col collapsed="false" customWidth="true" hidden="false" outlineLevel="0" max="8" min="8" style="1" width="38"/>
    <col collapsed="false" customWidth="true" hidden="false" outlineLevel="0" max="9" min="9" style="1" width="13"/>
  </cols>
  <sheetData>
    <row r="1" customFormat="false" ht="30" hidden="false" customHeight="true" outlineLevel="0" collapsed="false">
      <c r="A1" s="7" t="s">
        <v>2794</v>
      </c>
      <c r="B1" s="7" t="s">
        <v>204</v>
      </c>
      <c r="C1" s="7" t="s">
        <v>2795</v>
      </c>
      <c r="D1" s="7" t="s">
        <v>2796</v>
      </c>
      <c r="E1" s="7" t="s">
        <v>2797</v>
      </c>
      <c r="F1" s="7" t="s">
        <v>2798</v>
      </c>
      <c r="G1" s="7" t="s">
        <v>2799</v>
      </c>
      <c r="H1" s="7" t="s">
        <v>2800</v>
      </c>
      <c r="I1" s="7" t="s">
        <v>40</v>
      </c>
    </row>
    <row r="2" customFormat="false" ht="15" hidden="false" customHeight="true" outlineLevel="0" collapsed="false">
      <c r="A2" s="9" t="s">
        <v>2801</v>
      </c>
      <c r="B2" s="9" t="s">
        <v>186</v>
      </c>
      <c r="C2" s="9" t="s">
        <v>2802</v>
      </c>
      <c r="D2" s="9" t="s">
        <v>2803</v>
      </c>
      <c r="E2" s="9" t="s">
        <v>2804</v>
      </c>
      <c r="F2" s="9" t="s">
        <v>2805</v>
      </c>
      <c r="G2" s="9" t="s">
        <v>2806</v>
      </c>
      <c r="H2" s="9" t="s">
        <v>2807</v>
      </c>
      <c r="I2" s="9" t="s">
        <v>2808</v>
      </c>
    </row>
    <row r="3" customFormat="false" ht="15" hidden="false" customHeight="true" outlineLevel="0" collapsed="false">
      <c r="A3" s="11" t="s">
        <v>2809</v>
      </c>
      <c r="B3" s="11" t="s">
        <v>186</v>
      </c>
      <c r="C3" s="11" t="s">
        <v>2810</v>
      </c>
      <c r="D3" s="11" t="s">
        <v>2803</v>
      </c>
      <c r="E3" s="11" t="s">
        <v>2804</v>
      </c>
      <c r="F3" s="11" t="s">
        <v>2805</v>
      </c>
      <c r="G3" s="11" t="s">
        <v>2806</v>
      </c>
      <c r="H3" s="11" t="s">
        <v>2807</v>
      </c>
      <c r="I3" s="11"/>
    </row>
    <row r="4" customFormat="false" ht="15" hidden="false" customHeight="true" outlineLevel="0" collapsed="false">
      <c r="A4" s="9" t="s">
        <v>2811</v>
      </c>
      <c r="B4" s="9" t="s">
        <v>186</v>
      </c>
      <c r="C4" s="9" t="s">
        <v>2812</v>
      </c>
      <c r="D4" s="9" t="s">
        <v>2803</v>
      </c>
      <c r="E4" s="9" t="s">
        <v>2813</v>
      </c>
      <c r="F4" s="9" t="s">
        <v>2814</v>
      </c>
      <c r="G4" s="9" t="s">
        <v>2806</v>
      </c>
      <c r="H4" s="9" t="s">
        <v>2815</v>
      </c>
      <c r="I4" s="9"/>
    </row>
    <row r="5" customFormat="false" ht="15" hidden="false" customHeight="true" outlineLevel="0" collapsed="false">
      <c r="A5" s="11" t="s">
        <v>2816</v>
      </c>
      <c r="B5" s="11" t="s">
        <v>186</v>
      </c>
      <c r="C5" s="11" t="s">
        <v>2817</v>
      </c>
      <c r="D5" s="11" t="s">
        <v>2803</v>
      </c>
      <c r="E5" s="11" t="s">
        <v>2813</v>
      </c>
      <c r="F5" s="11" t="s">
        <v>2814</v>
      </c>
      <c r="G5" s="11" t="s">
        <v>2806</v>
      </c>
      <c r="H5" s="11" t="s">
        <v>2815</v>
      </c>
      <c r="I5" s="11"/>
    </row>
    <row r="6" customFormat="false" ht="15" hidden="false" customHeight="true" outlineLevel="0" collapsed="false">
      <c r="A6" s="9" t="s">
        <v>2818</v>
      </c>
      <c r="B6" s="9" t="s">
        <v>186</v>
      </c>
      <c r="C6" s="9" t="s">
        <v>2819</v>
      </c>
      <c r="D6" s="9" t="s">
        <v>2803</v>
      </c>
      <c r="E6" s="9" t="s">
        <v>2813</v>
      </c>
      <c r="F6" s="9" t="s">
        <v>2814</v>
      </c>
      <c r="G6" s="9" t="s">
        <v>2806</v>
      </c>
      <c r="H6" s="9" t="s">
        <v>2815</v>
      </c>
      <c r="I6" s="9"/>
    </row>
    <row r="7" customFormat="false" ht="15" hidden="false" customHeight="true" outlineLevel="0" collapsed="false">
      <c r="A7" s="11" t="s">
        <v>2820</v>
      </c>
      <c r="B7" s="11" t="s">
        <v>186</v>
      </c>
      <c r="C7" s="11" t="s">
        <v>2821</v>
      </c>
      <c r="D7" s="11" t="s">
        <v>2803</v>
      </c>
      <c r="E7" s="11" t="s">
        <v>2822</v>
      </c>
      <c r="F7" s="11" t="s">
        <v>2821</v>
      </c>
      <c r="G7" s="11" t="s">
        <v>2806</v>
      </c>
      <c r="H7" s="11" t="s">
        <v>2823</v>
      </c>
      <c r="I7" s="11" t="s">
        <v>2824</v>
      </c>
    </row>
    <row r="8" customFormat="false" ht="15" hidden="false" customHeight="true" outlineLevel="0" collapsed="false">
      <c r="A8" s="9" t="s">
        <v>2825</v>
      </c>
      <c r="B8" s="9" t="s">
        <v>186</v>
      </c>
      <c r="C8" s="9" t="s">
        <v>2826</v>
      </c>
      <c r="D8" s="9" t="s">
        <v>2803</v>
      </c>
      <c r="E8" s="9" t="s">
        <v>2827</v>
      </c>
      <c r="F8" s="9" t="s">
        <v>2828</v>
      </c>
      <c r="G8" s="9" t="s">
        <v>2806</v>
      </c>
      <c r="H8" s="9" t="s">
        <v>2829</v>
      </c>
      <c r="I8" s="9"/>
    </row>
    <row r="9" customFormat="false" ht="15" hidden="false" customHeight="true" outlineLevel="0" collapsed="false">
      <c r="A9" s="11" t="s">
        <v>2830</v>
      </c>
      <c r="B9" s="11" t="s">
        <v>186</v>
      </c>
      <c r="C9" s="11" t="s">
        <v>2831</v>
      </c>
      <c r="D9" s="11" t="s">
        <v>2803</v>
      </c>
      <c r="E9" s="11" t="s">
        <v>2827</v>
      </c>
      <c r="F9" s="11" t="s">
        <v>2828</v>
      </c>
      <c r="G9" s="11" t="s">
        <v>2806</v>
      </c>
      <c r="H9" s="11" t="s">
        <v>2829</v>
      </c>
      <c r="I9" s="11"/>
    </row>
    <row r="10" customFormat="false" ht="15" hidden="false" customHeight="true" outlineLevel="0" collapsed="false">
      <c r="A10" s="9" t="s">
        <v>2832</v>
      </c>
      <c r="B10" s="9" t="s">
        <v>186</v>
      </c>
      <c r="C10" s="9" t="s">
        <v>2833</v>
      </c>
      <c r="D10" s="9" t="s">
        <v>2803</v>
      </c>
      <c r="E10" s="9" t="s">
        <v>2834</v>
      </c>
      <c r="F10" s="9" t="s">
        <v>2835</v>
      </c>
      <c r="G10" s="9" t="s">
        <v>204</v>
      </c>
      <c r="H10" s="9" t="s">
        <v>204</v>
      </c>
      <c r="I10" s="9"/>
    </row>
    <row r="11" customFormat="false" ht="15" hidden="false" customHeight="true" outlineLevel="0" collapsed="false">
      <c r="A11" s="11" t="s">
        <v>2836</v>
      </c>
      <c r="B11" s="11" t="s">
        <v>186</v>
      </c>
      <c r="C11" s="11" t="s">
        <v>2837</v>
      </c>
      <c r="D11" s="11" t="s">
        <v>2803</v>
      </c>
      <c r="E11" s="11" t="s">
        <v>2834</v>
      </c>
      <c r="F11" s="11" t="s">
        <v>2835</v>
      </c>
      <c r="G11" s="11" t="s">
        <v>204</v>
      </c>
      <c r="H11" s="11" t="s">
        <v>204</v>
      </c>
      <c r="I11" s="11"/>
    </row>
    <row r="12" customFormat="false" ht="15" hidden="false" customHeight="true" outlineLevel="0" collapsed="false">
      <c r="A12" s="9" t="s">
        <v>2838</v>
      </c>
      <c r="B12" s="9" t="s">
        <v>186</v>
      </c>
      <c r="C12" s="9" t="s">
        <v>2839</v>
      </c>
      <c r="D12" s="9" t="s">
        <v>2803</v>
      </c>
      <c r="E12" s="9" t="s">
        <v>2840</v>
      </c>
      <c r="F12" s="9" t="s">
        <v>2841</v>
      </c>
      <c r="G12" s="9" t="s">
        <v>2806</v>
      </c>
      <c r="H12" s="9" t="s">
        <v>270</v>
      </c>
      <c r="I12" s="9" t="s">
        <v>2583</v>
      </c>
    </row>
    <row r="13" customFormat="false" ht="15" hidden="false" customHeight="true" outlineLevel="0" collapsed="false">
      <c r="A13" s="11" t="s">
        <v>2842</v>
      </c>
      <c r="B13" s="11" t="s">
        <v>186</v>
      </c>
      <c r="C13" s="11" t="s">
        <v>2843</v>
      </c>
      <c r="D13" s="11" t="s">
        <v>2803</v>
      </c>
      <c r="E13" s="11" t="s">
        <v>2840</v>
      </c>
      <c r="F13" s="11" t="s">
        <v>2841</v>
      </c>
      <c r="G13" s="11" t="s">
        <v>2806</v>
      </c>
      <c r="H13" s="11" t="s">
        <v>270</v>
      </c>
      <c r="I13" s="11" t="s">
        <v>2597</v>
      </c>
    </row>
    <row r="14" customFormat="false" ht="15" hidden="false" customHeight="true" outlineLevel="0" collapsed="false">
      <c r="A14" s="9" t="s">
        <v>2844</v>
      </c>
      <c r="B14" s="9" t="s">
        <v>186</v>
      </c>
      <c r="C14" s="9" t="s">
        <v>2845</v>
      </c>
      <c r="D14" s="9" t="s">
        <v>2846</v>
      </c>
      <c r="E14" s="9" t="s">
        <v>2847</v>
      </c>
      <c r="F14" s="9" t="s">
        <v>2848</v>
      </c>
      <c r="G14" s="9" t="s">
        <v>204</v>
      </c>
      <c r="H14" s="9" t="s">
        <v>204</v>
      </c>
      <c r="I14" s="9"/>
    </row>
    <row r="15" customFormat="false" ht="15" hidden="false" customHeight="true" outlineLevel="0" collapsed="false">
      <c r="A15" s="11" t="s">
        <v>2849</v>
      </c>
      <c r="B15" s="11" t="s">
        <v>186</v>
      </c>
      <c r="C15" s="11" t="s">
        <v>2850</v>
      </c>
      <c r="D15" s="11" t="s">
        <v>2846</v>
      </c>
      <c r="E15" s="11" t="s">
        <v>2851</v>
      </c>
      <c r="F15" s="11" t="s">
        <v>2852</v>
      </c>
      <c r="G15" s="11" t="s">
        <v>204</v>
      </c>
      <c r="H15" s="11" t="s">
        <v>204</v>
      </c>
      <c r="I15" s="11"/>
    </row>
    <row r="16" customFormat="false" ht="15" hidden="false" customHeight="true" outlineLevel="0" collapsed="false">
      <c r="A16" s="9" t="s">
        <v>2853</v>
      </c>
      <c r="B16" s="9" t="s">
        <v>186</v>
      </c>
      <c r="C16" s="9" t="s">
        <v>2854</v>
      </c>
      <c r="D16" s="9" t="s">
        <v>2846</v>
      </c>
      <c r="E16" s="9" t="s">
        <v>2855</v>
      </c>
      <c r="F16" s="9" t="s">
        <v>2856</v>
      </c>
      <c r="G16" s="9" t="s">
        <v>204</v>
      </c>
      <c r="H16" s="9" t="s">
        <v>204</v>
      </c>
      <c r="I16" s="9"/>
    </row>
    <row r="17" customFormat="false" ht="15" hidden="false" customHeight="true" outlineLevel="0" collapsed="false">
      <c r="A17" s="11" t="s">
        <v>2857</v>
      </c>
      <c r="B17" s="11" t="s">
        <v>186</v>
      </c>
      <c r="C17" s="11" t="s">
        <v>2858</v>
      </c>
      <c r="D17" s="11" t="s">
        <v>2846</v>
      </c>
      <c r="E17" s="11" t="s">
        <v>2859</v>
      </c>
      <c r="F17" s="11" t="s">
        <v>2860</v>
      </c>
      <c r="G17" s="11" t="s">
        <v>204</v>
      </c>
      <c r="H17" s="11" t="s">
        <v>2861</v>
      </c>
      <c r="I17" s="11" t="s">
        <v>2493</v>
      </c>
    </row>
    <row r="18" customFormat="false" ht="15" hidden="false" customHeight="true" outlineLevel="0" collapsed="false">
      <c r="A18" s="9" t="s">
        <v>2862</v>
      </c>
      <c r="B18" s="9" t="s">
        <v>186</v>
      </c>
      <c r="C18" s="9" t="s">
        <v>2863</v>
      </c>
      <c r="D18" s="9" t="s">
        <v>2846</v>
      </c>
      <c r="E18" s="9" t="s">
        <v>2864</v>
      </c>
      <c r="F18" s="9" t="s">
        <v>2860</v>
      </c>
      <c r="G18" s="9" t="s">
        <v>204</v>
      </c>
      <c r="H18" s="9" t="s">
        <v>2861</v>
      </c>
      <c r="I18" s="9" t="s">
        <v>2493</v>
      </c>
    </row>
    <row r="19" customFormat="false" ht="15" hidden="false" customHeight="true" outlineLevel="0" collapsed="false">
      <c r="A19" s="11" t="s">
        <v>2865</v>
      </c>
      <c r="B19" s="11" t="s">
        <v>186</v>
      </c>
      <c r="C19" s="11" t="s">
        <v>2866</v>
      </c>
      <c r="D19" s="11" t="s">
        <v>2846</v>
      </c>
      <c r="E19" s="11" t="s">
        <v>2867</v>
      </c>
      <c r="F19" s="11" t="s">
        <v>2868</v>
      </c>
      <c r="G19" s="11" t="s">
        <v>204</v>
      </c>
      <c r="H19" s="11" t="s">
        <v>204</v>
      </c>
      <c r="I19" s="11"/>
    </row>
    <row r="20" customFormat="false" ht="15" hidden="false" customHeight="true" outlineLevel="0" collapsed="false">
      <c r="A20" s="9" t="s">
        <v>2869</v>
      </c>
      <c r="B20" s="9" t="s">
        <v>186</v>
      </c>
      <c r="C20" s="9" t="s">
        <v>2870</v>
      </c>
      <c r="D20" s="9" t="s">
        <v>2846</v>
      </c>
      <c r="E20" s="9" t="s">
        <v>2871</v>
      </c>
      <c r="F20" s="9" t="s">
        <v>2872</v>
      </c>
      <c r="G20" s="9" t="s">
        <v>204</v>
      </c>
      <c r="H20" s="9" t="s">
        <v>2861</v>
      </c>
      <c r="I20" s="9"/>
    </row>
    <row r="21" customFormat="false" ht="15" hidden="false" customHeight="true" outlineLevel="0" collapsed="false">
      <c r="A21" s="11" t="s">
        <v>2873</v>
      </c>
      <c r="B21" s="11" t="s">
        <v>186</v>
      </c>
      <c r="C21" s="11" t="s">
        <v>2874</v>
      </c>
      <c r="D21" s="11" t="s">
        <v>2846</v>
      </c>
      <c r="E21" s="11" t="s">
        <v>2875</v>
      </c>
      <c r="F21" s="11" t="s">
        <v>2876</v>
      </c>
      <c r="G21" s="11" t="s">
        <v>204</v>
      </c>
      <c r="H21" s="11" t="s">
        <v>2877</v>
      </c>
      <c r="I21" s="11" t="s">
        <v>2878</v>
      </c>
    </row>
    <row r="22" customFormat="false" ht="15" hidden="false" customHeight="true" outlineLevel="0" collapsed="false">
      <c r="A22" s="9" t="s">
        <v>2879</v>
      </c>
      <c r="B22" s="9" t="s">
        <v>186</v>
      </c>
      <c r="C22" s="9" t="s">
        <v>2880</v>
      </c>
      <c r="D22" s="9" t="s">
        <v>2846</v>
      </c>
      <c r="E22" s="9" t="s">
        <v>2881</v>
      </c>
      <c r="F22" s="9" t="s">
        <v>2882</v>
      </c>
      <c r="G22" s="9" t="s">
        <v>204</v>
      </c>
      <c r="H22" s="9" t="s">
        <v>2877</v>
      </c>
      <c r="I22" s="9"/>
    </row>
    <row r="23" customFormat="false" ht="15" hidden="false" customHeight="true" outlineLevel="0" collapsed="false">
      <c r="A23" s="11" t="s">
        <v>2883</v>
      </c>
      <c r="B23" s="11" t="s">
        <v>186</v>
      </c>
      <c r="C23" s="11" t="s">
        <v>2884</v>
      </c>
      <c r="D23" s="11" t="s">
        <v>2846</v>
      </c>
      <c r="E23" s="11" t="s">
        <v>2885</v>
      </c>
      <c r="F23" s="11" t="s">
        <v>2886</v>
      </c>
      <c r="G23" s="11" t="s">
        <v>204</v>
      </c>
      <c r="H23" s="11" t="s">
        <v>204</v>
      </c>
      <c r="I23" s="11"/>
    </row>
    <row r="24" customFormat="false" ht="15" hidden="false" customHeight="true" outlineLevel="0" collapsed="false">
      <c r="A24" s="9" t="s">
        <v>2887</v>
      </c>
      <c r="B24" s="9" t="s">
        <v>195</v>
      </c>
      <c r="C24" s="9" t="s">
        <v>2888</v>
      </c>
      <c r="D24" s="9" t="s">
        <v>2803</v>
      </c>
      <c r="E24" s="9" t="s">
        <v>2889</v>
      </c>
      <c r="F24" s="9" t="s">
        <v>2890</v>
      </c>
      <c r="G24" s="9" t="s">
        <v>2806</v>
      </c>
      <c r="H24" s="9" t="s">
        <v>2891</v>
      </c>
      <c r="I24" s="9" t="s">
        <v>428</v>
      </c>
    </row>
    <row r="25" customFormat="false" ht="85.05" hidden="false" customHeight="false" outlineLevel="0" collapsed="false">
      <c r="A25" s="12" t="s">
        <v>2892</v>
      </c>
      <c r="B25" s="12" t="s">
        <v>186</v>
      </c>
      <c r="C25" s="12" t="s">
        <v>2893</v>
      </c>
      <c r="D25" s="12" t="s">
        <v>2846</v>
      </c>
      <c r="E25" s="12" t="n">
        <v>2010800</v>
      </c>
      <c r="F25" s="12" t="s">
        <v>2894</v>
      </c>
      <c r="G25" s="12" t="s">
        <v>204</v>
      </c>
      <c r="H25" s="12" t="s">
        <v>204</v>
      </c>
      <c r="I25" s="12" t="s">
        <v>2895</v>
      </c>
    </row>
    <row r="26" customFormat="false" ht="27.75" hidden="false" customHeight="true" outlineLevel="0" collapsed="false">
      <c r="A26" s="10" t="s">
        <v>2896</v>
      </c>
      <c r="B26" s="10" t="s">
        <v>186</v>
      </c>
      <c r="C26" s="10" t="s">
        <v>2897</v>
      </c>
      <c r="D26" s="10" t="s">
        <v>2846</v>
      </c>
      <c r="E26" s="10" t="n">
        <v>2010900</v>
      </c>
      <c r="F26" s="10" t="s">
        <v>2898</v>
      </c>
      <c r="G26" s="10" t="s">
        <v>204</v>
      </c>
      <c r="H26" s="10" t="s">
        <v>204</v>
      </c>
      <c r="I26" s="10" t="s">
        <v>2899</v>
      </c>
    </row>
    <row r="27" customFormat="false" ht="85.05" hidden="false" customHeight="false" outlineLevel="0" collapsed="false">
      <c r="A27" s="12" t="s">
        <v>2900</v>
      </c>
      <c r="B27" s="12" t="s">
        <v>195</v>
      </c>
      <c r="C27" s="12" t="s">
        <v>2901</v>
      </c>
      <c r="D27" s="12" t="s">
        <v>2846</v>
      </c>
      <c r="E27" s="12" t="n">
        <v>2010402</v>
      </c>
      <c r="F27" s="12" t="s">
        <v>2860</v>
      </c>
      <c r="G27" s="12" t="s">
        <v>204</v>
      </c>
      <c r="H27" s="12" t="s">
        <v>2861</v>
      </c>
      <c r="I27" s="12" t="s">
        <v>2902</v>
      </c>
    </row>
    <row r="28" customFormat="false" ht="32.8" hidden="false" customHeight="false" outlineLevel="0" collapsed="false">
      <c r="A28" s="10" t="s">
        <v>2903</v>
      </c>
      <c r="B28" s="10" t="s">
        <v>195</v>
      </c>
      <c r="C28" s="10" t="s">
        <v>2904</v>
      </c>
      <c r="D28" s="10" t="s">
        <v>2846</v>
      </c>
      <c r="E28" s="10" t="n">
        <v>2010403</v>
      </c>
      <c r="F28" s="10" t="s">
        <v>2860</v>
      </c>
      <c r="G28" s="10" t="s">
        <v>204</v>
      </c>
      <c r="H28" s="10" t="s">
        <v>2861</v>
      </c>
      <c r="I28" s="10" t="s">
        <v>2905</v>
      </c>
    </row>
    <row r="30" customFormat="false" ht="27.75" hidden="false" customHeight="true" outlineLevel="0" collapsed="false">
      <c r="A30" s="14" t="s">
        <v>2906</v>
      </c>
      <c r="B30" s="14"/>
      <c r="C30" s="14"/>
      <c r="D30" s="14"/>
      <c r="E30" s="14"/>
      <c r="F30" s="14"/>
      <c r="G30" s="14"/>
      <c r="H30" s="14"/>
    </row>
  </sheetData>
  <autoFilter ref="A1:I24"/>
  <mergeCells count="1">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22"/>
    <col collapsed="false" customWidth="true" hidden="false" outlineLevel="0" max="4" min="4" style="1" width="13"/>
    <col collapsed="false" customWidth="true" hidden="false" outlineLevel="0" max="5" min="5" style="1" width="16"/>
    <col collapsed="false" customWidth="true" hidden="false" outlineLevel="0" max="6" min="6" style="1" width="26"/>
    <col collapsed="false" customWidth="true" hidden="false" outlineLevel="0" max="7" min="7" style="1" width="22"/>
    <col collapsed="false" customWidth="true" hidden="false" outlineLevel="0" max="8" min="8" style="1" width="13"/>
    <col collapsed="false" customWidth="true" hidden="false" outlineLevel="0" max="9" min="9" style="1" width="72"/>
    <col collapsed="false" customWidth="true" hidden="false" outlineLevel="0" max="10" min="10" style="1" width="12"/>
  </cols>
  <sheetData>
    <row r="1" customFormat="false" ht="30" hidden="false" customHeight="true" outlineLevel="0" collapsed="false">
      <c r="A1" s="7" t="s">
        <v>2907</v>
      </c>
      <c r="B1" s="7" t="s">
        <v>2908</v>
      </c>
      <c r="C1" s="7" t="s">
        <v>2909</v>
      </c>
      <c r="D1" s="7" t="s">
        <v>2910</v>
      </c>
      <c r="E1" s="7" t="s">
        <v>2911</v>
      </c>
      <c r="F1" s="7" t="s">
        <v>2912</v>
      </c>
      <c r="G1" s="7" t="s">
        <v>2913</v>
      </c>
      <c r="H1" s="7" t="s">
        <v>2914</v>
      </c>
      <c r="I1" s="7" t="s">
        <v>2915</v>
      </c>
      <c r="J1" s="7" t="s">
        <v>40</v>
      </c>
    </row>
    <row r="2" customFormat="false" ht="15" hidden="false" customHeight="true" outlineLevel="0" collapsed="false">
      <c r="A2" s="9" t="s">
        <v>2916</v>
      </c>
      <c r="B2" s="9" t="s">
        <v>2917</v>
      </c>
      <c r="C2" s="9" t="s">
        <v>1156</v>
      </c>
      <c r="D2" s="9" t="s">
        <v>602</v>
      </c>
      <c r="E2" s="9" t="s">
        <v>2918</v>
      </c>
      <c r="F2" s="9" t="s">
        <v>298</v>
      </c>
      <c r="G2" s="9" t="s">
        <v>298</v>
      </c>
      <c r="H2" s="9" t="s">
        <v>2919</v>
      </c>
      <c r="I2" s="9" t="s">
        <v>2920</v>
      </c>
      <c r="J2" s="9" t="s">
        <v>2921</v>
      </c>
    </row>
    <row r="3" customFormat="false" ht="15" hidden="false" customHeight="true" outlineLevel="0" collapsed="false">
      <c r="A3" s="11" t="s">
        <v>2922</v>
      </c>
      <c r="B3" s="11" t="s">
        <v>2917</v>
      </c>
      <c r="C3" s="11" t="s">
        <v>1156</v>
      </c>
      <c r="D3" s="11" t="s">
        <v>602</v>
      </c>
      <c r="E3" s="11" t="s">
        <v>270</v>
      </c>
      <c r="F3" s="11" t="s">
        <v>299</v>
      </c>
      <c r="G3" s="11" t="s">
        <v>299</v>
      </c>
      <c r="H3" s="11" t="s">
        <v>2919</v>
      </c>
      <c r="I3" s="11" t="s">
        <v>2920</v>
      </c>
      <c r="J3" s="11" t="s">
        <v>2921</v>
      </c>
    </row>
    <row r="4" customFormat="false" ht="15" hidden="false" customHeight="true" outlineLevel="0" collapsed="false">
      <c r="A4" s="9" t="s">
        <v>2923</v>
      </c>
      <c r="B4" s="9" t="s">
        <v>2917</v>
      </c>
      <c r="C4" s="9" t="s">
        <v>1037</v>
      </c>
      <c r="D4" s="9" t="s">
        <v>1031</v>
      </c>
      <c r="E4" s="9" t="s">
        <v>2918</v>
      </c>
      <c r="F4" s="9" t="s">
        <v>283</v>
      </c>
      <c r="G4" s="9" t="s">
        <v>286</v>
      </c>
      <c r="H4" s="9" t="s">
        <v>2919</v>
      </c>
      <c r="I4" s="9" t="s">
        <v>2924</v>
      </c>
      <c r="J4" s="9" t="s">
        <v>2921</v>
      </c>
    </row>
    <row r="5" customFormat="false" ht="15" hidden="false" customHeight="true" outlineLevel="0" collapsed="false">
      <c r="A5" s="11" t="s">
        <v>2925</v>
      </c>
      <c r="B5" s="11" t="s">
        <v>2917</v>
      </c>
      <c r="C5" s="11" t="s">
        <v>790</v>
      </c>
      <c r="D5" s="11" t="s">
        <v>781</v>
      </c>
      <c r="E5" s="11" t="s">
        <v>570</v>
      </c>
      <c r="F5" s="11" t="s">
        <v>354</v>
      </c>
      <c r="G5" s="11" t="s">
        <v>354</v>
      </c>
      <c r="H5" s="11" t="s">
        <v>2926</v>
      </c>
      <c r="I5" s="11" t="s">
        <v>2927</v>
      </c>
      <c r="J5" s="11" t="s">
        <v>2921</v>
      </c>
    </row>
    <row r="6" customFormat="false" ht="21.75" hidden="false" customHeight="true" outlineLevel="0" collapsed="false">
      <c r="A6" s="9" t="s">
        <v>2928</v>
      </c>
      <c r="B6" s="9" t="s">
        <v>2917</v>
      </c>
      <c r="C6" s="9" t="s">
        <v>985</v>
      </c>
      <c r="D6" s="9" t="s">
        <v>978</v>
      </c>
      <c r="E6" s="9" t="s">
        <v>349</v>
      </c>
      <c r="F6" s="9" t="s">
        <v>944</v>
      </c>
      <c r="G6" s="9" t="s">
        <v>952</v>
      </c>
      <c r="H6" s="9" t="s">
        <v>2926</v>
      </c>
      <c r="I6" s="9" t="s">
        <v>2929</v>
      </c>
      <c r="J6" s="9" t="s">
        <v>2921</v>
      </c>
    </row>
    <row r="7" customFormat="false" ht="15" hidden="false" customHeight="true" outlineLevel="0" collapsed="false">
      <c r="A7" s="11" t="s">
        <v>2930</v>
      </c>
      <c r="B7" s="11" t="s">
        <v>2917</v>
      </c>
      <c r="C7" s="11" t="s">
        <v>2931</v>
      </c>
      <c r="D7" s="11"/>
      <c r="E7" s="11" t="s">
        <v>2932</v>
      </c>
      <c r="F7" s="11" t="s">
        <v>2933</v>
      </c>
      <c r="G7" s="11"/>
      <c r="H7" s="11" t="s">
        <v>2919</v>
      </c>
      <c r="I7" s="11" t="s">
        <v>2934</v>
      </c>
      <c r="J7" s="11" t="s">
        <v>2921</v>
      </c>
    </row>
    <row r="8" customFormat="false" ht="15" hidden="false" customHeight="true" outlineLevel="0" collapsed="false">
      <c r="A8" s="9" t="s">
        <v>2935</v>
      </c>
      <c r="B8" s="9" t="s">
        <v>2917</v>
      </c>
      <c r="C8" s="9" t="s">
        <v>1156</v>
      </c>
      <c r="D8" s="9" t="s">
        <v>602</v>
      </c>
      <c r="E8" s="9" t="s">
        <v>2918</v>
      </c>
      <c r="F8" s="9" t="s">
        <v>298</v>
      </c>
      <c r="G8" s="9" t="s">
        <v>298</v>
      </c>
      <c r="H8" s="9" t="s">
        <v>2919</v>
      </c>
      <c r="I8" s="9" t="s">
        <v>2936</v>
      </c>
      <c r="J8" s="9" t="s">
        <v>2921</v>
      </c>
    </row>
    <row r="9" customFormat="false" ht="15" hidden="false" customHeight="true" outlineLevel="0" collapsed="false">
      <c r="A9" s="11" t="s">
        <v>2937</v>
      </c>
      <c r="B9" s="11" t="s">
        <v>2917</v>
      </c>
      <c r="C9" s="11" t="s">
        <v>1075</v>
      </c>
      <c r="D9" s="11" t="s">
        <v>1068</v>
      </c>
      <c r="E9" s="11" t="s">
        <v>547</v>
      </c>
      <c r="F9" s="11" t="s">
        <v>254</v>
      </c>
      <c r="G9" s="11" t="s">
        <v>254</v>
      </c>
      <c r="H9" s="11" t="s">
        <v>2919</v>
      </c>
      <c r="I9" s="11" t="s">
        <v>2938</v>
      </c>
      <c r="J9" s="11" t="s">
        <v>2939</v>
      </c>
    </row>
    <row r="11" customFormat="false" ht="27.75" hidden="false" customHeight="true" outlineLevel="0" collapsed="false">
      <c r="A11" s="13" t="s">
        <v>2940</v>
      </c>
      <c r="B11" s="13"/>
      <c r="C11" s="13"/>
      <c r="D11" s="13"/>
      <c r="E11" s="13"/>
      <c r="F11" s="13"/>
      <c r="G11" s="13"/>
      <c r="H11" s="13"/>
    </row>
  </sheetData>
  <autoFilter ref="A1:J9"/>
  <mergeCells count="1">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3"/>
    <col collapsed="false" customWidth="true" hidden="false" outlineLevel="0" max="3" min="3" style="1" width="16"/>
    <col collapsed="false" customWidth="true" hidden="false" outlineLevel="0" max="4" min="4" style="1" width="10"/>
    <col collapsed="false" customWidth="true" hidden="false" outlineLevel="0" max="5" min="5" style="1" width="12"/>
    <col collapsed="false" customWidth="true" hidden="false" outlineLevel="0" max="6" min="6" style="1" width="11"/>
    <col collapsed="false" customWidth="true" hidden="false" outlineLevel="0" max="7" min="7" style="1" width="12"/>
    <col collapsed="false" customWidth="true" hidden="false" outlineLevel="0" max="8" min="8" style="1" width="15"/>
    <col collapsed="false" customWidth="true" hidden="false" outlineLevel="0" max="9" min="9" style="1" width="12"/>
    <col collapsed="false" customWidth="true" hidden="false" outlineLevel="0" max="10" min="10" style="1" width="9"/>
    <col collapsed="false" customWidth="true" hidden="false" outlineLevel="0" max="11" min="11" style="1" width="24"/>
    <col collapsed="false" customWidth="true" hidden="false" outlineLevel="0" max="12" min="12" style="1" width="26"/>
    <col collapsed="false" customWidth="true" hidden="false" outlineLevel="0" max="13" min="13" style="1" width="62"/>
  </cols>
  <sheetData>
    <row r="1" customFormat="false" ht="30" hidden="false" customHeight="true" outlineLevel="0" collapsed="false">
      <c r="A1" s="7" t="s">
        <v>2941</v>
      </c>
      <c r="B1" s="7" t="s">
        <v>268</v>
      </c>
      <c r="C1" s="7" t="s">
        <v>2942</v>
      </c>
      <c r="D1" s="7" t="s">
        <v>545</v>
      </c>
      <c r="E1" s="7" t="s">
        <v>546</v>
      </c>
      <c r="F1" s="7" t="s">
        <v>547</v>
      </c>
      <c r="G1" s="7" t="s">
        <v>2943</v>
      </c>
      <c r="H1" s="7" t="s">
        <v>2944</v>
      </c>
      <c r="I1" s="7" t="s">
        <v>548</v>
      </c>
      <c r="J1" s="7" t="s">
        <v>549</v>
      </c>
      <c r="K1" s="7" t="s">
        <v>185</v>
      </c>
      <c r="L1" s="7" t="s">
        <v>2945</v>
      </c>
      <c r="M1" s="7" t="s">
        <v>40</v>
      </c>
    </row>
    <row r="2" customFormat="false" ht="15" hidden="false" customHeight="true" outlineLevel="0" collapsed="false">
      <c r="A2" s="9" t="s">
        <v>2946</v>
      </c>
      <c r="B2" s="9" t="s">
        <v>2947</v>
      </c>
      <c r="C2" s="9" t="s">
        <v>574</v>
      </c>
      <c r="D2" s="9" t="s">
        <v>278</v>
      </c>
      <c r="E2" s="9" t="s">
        <v>352</v>
      </c>
      <c r="F2" s="9" t="s">
        <v>227</v>
      </c>
      <c r="G2" s="9" t="s">
        <v>2948</v>
      </c>
      <c r="H2" s="9" t="s">
        <v>759</v>
      </c>
      <c r="I2" s="9" t="n">
        <v>4</v>
      </c>
      <c r="J2" s="9" t="n">
        <v>3</v>
      </c>
      <c r="K2" s="9" t="s">
        <v>2949</v>
      </c>
      <c r="L2" s="9" t="s">
        <v>2950</v>
      </c>
      <c r="M2" s="9" t="s">
        <v>2951</v>
      </c>
    </row>
    <row r="3" customFormat="false" ht="21.75" hidden="false" customHeight="true" outlineLevel="0" collapsed="false">
      <c r="A3" s="11" t="s">
        <v>2606</v>
      </c>
      <c r="B3" s="11" t="s">
        <v>2952</v>
      </c>
      <c r="C3" s="11"/>
      <c r="D3" s="11" t="s">
        <v>278</v>
      </c>
      <c r="E3" s="11" t="s">
        <v>365</v>
      </c>
      <c r="F3" s="11" t="s">
        <v>227</v>
      </c>
      <c r="G3" s="11" t="s">
        <v>1524</v>
      </c>
      <c r="H3" s="11" t="s">
        <v>759</v>
      </c>
      <c r="I3" s="11" t="n">
        <v>24</v>
      </c>
      <c r="J3" s="11" t="n">
        <v>24</v>
      </c>
      <c r="K3" s="11" t="s">
        <v>2953</v>
      </c>
      <c r="L3" s="11" t="s">
        <v>2954</v>
      </c>
      <c r="M3" s="11" t="s">
        <v>2955</v>
      </c>
    </row>
    <row r="4" customFormat="false" ht="15" hidden="false" customHeight="true" outlineLevel="0" collapsed="false">
      <c r="A4" s="9" t="s">
        <v>2956</v>
      </c>
      <c r="B4" s="9" t="s">
        <v>2947</v>
      </c>
      <c r="C4" s="9" t="s">
        <v>590</v>
      </c>
      <c r="D4" s="9" t="s">
        <v>282</v>
      </c>
      <c r="E4" s="9" t="s">
        <v>365</v>
      </c>
      <c r="F4" s="9" t="s">
        <v>234</v>
      </c>
      <c r="G4" s="9" t="s">
        <v>1511</v>
      </c>
      <c r="H4" s="9" t="s">
        <v>945</v>
      </c>
      <c r="I4" s="9" t="n">
        <v>18</v>
      </c>
      <c r="J4" s="9" t="n">
        <v>16</v>
      </c>
      <c r="K4" s="9" t="s">
        <v>2957</v>
      </c>
      <c r="L4" s="9" t="s">
        <v>2958</v>
      </c>
      <c r="M4" s="9" t="s">
        <v>558</v>
      </c>
    </row>
    <row r="5" customFormat="false" ht="15" hidden="false" customHeight="true" outlineLevel="0" collapsed="false">
      <c r="A5" s="11" t="s">
        <v>2959</v>
      </c>
      <c r="B5" s="11" t="s">
        <v>2947</v>
      </c>
      <c r="C5" s="11" t="s">
        <v>594</v>
      </c>
      <c r="D5" s="11" t="s">
        <v>282</v>
      </c>
      <c r="E5" s="11" t="s">
        <v>365</v>
      </c>
      <c r="F5" s="11" t="s">
        <v>234</v>
      </c>
      <c r="G5" s="11" t="s">
        <v>2960</v>
      </c>
      <c r="H5" s="11" t="s">
        <v>945</v>
      </c>
      <c r="I5" s="11" t="n">
        <v>18</v>
      </c>
      <c r="J5" s="11" t="n">
        <v>16</v>
      </c>
      <c r="K5" s="11" t="s">
        <v>2961</v>
      </c>
      <c r="L5" s="11" t="s">
        <v>2958</v>
      </c>
      <c r="M5" s="11" t="s">
        <v>558</v>
      </c>
    </row>
    <row r="6" customFormat="false" ht="15" hidden="false" customHeight="true" outlineLevel="0" collapsed="false">
      <c r="A6" s="9" t="s">
        <v>2602</v>
      </c>
      <c r="B6" s="9" t="s">
        <v>2947</v>
      </c>
      <c r="C6" s="9" t="s">
        <v>600</v>
      </c>
      <c r="D6" s="9" t="s">
        <v>297</v>
      </c>
      <c r="E6" s="9" t="s">
        <v>360</v>
      </c>
      <c r="F6" s="9" t="s">
        <v>234</v>
      </c>
      <c r="G6" s="9" t="s">
        <v>2962</v>
      </c>
      <c r="H6" s="9" t="s">
        <v>938</v>
      </c>
      <c r="I6" s="9" t="n">
        <v>3</v>
      </c>
      <c r="J6" s="9" t="n">
        <v>3</v>
      </c>
      <c r="K6" s="9" t="s">
        <v>2963</v>
      </c>
      <c r="L6" s="9" t="s">
        <v>2958</v>
      </c>
      <c r="M6" s="9" t="s">
        <v>2964</v>
      </c>
    </row>
    <row r="7" customFormat="false" ht="15" hidden="false" customHeight="true" outlineLevel="0" collapsed="false">
      <c r="A7" s="11" t="s">
        <v>2593</v>
      </c>
      <c r="B7" s="11" t="s">
        <v>2952</v>
      </c>
      <c r="C7" s="11"/>
      <c r="D7" s="11" t="s">
        <v>300</v>
      </c>
      <c r="E7" s="11" t="s">
        <v>356</v>
      </c>
      <c r="F7" s="11" t="s">
        <v>215</v>
      </c>
      <c r="G7" s="11" t="s">
        <v>2965</v>
      </c>
      <c r="H7" s="11" t="s">
        <v>671</v>
      </c>
      <c r="I7" s="11" t="n">
        <v>6</v>
      </c>
      <c r="J7" s="11" t="n">
        <v>5</v>
      </c>
      <c r="K7" s="11" t="s">
        <v>2966</v>
      </c>
      <c r="L7" s="11" t="s">
        <v>2958</v>
      </c>
      <c r="M7" s="11" t="s">
        <v>2597</v>
      </c>
    </row>
    <row r="8" customFormat="false" ht="15" hidden="false" customHeight="true" outlineLevel="0" collapsed="false">
      <c r="A8" s="9" t="s">
        <v>2967</v>
      </c>
      <c r="B8" s="9" t="s">
        <v>2947</v>
      </c>
      <c r="C8" s="9" t="s">
        <v>603</v>
      </c>
      <c r="D8" s="9" t="s">
        <v>278</v>
      </c>
      <c r="E8" s="9" t="s">
        <v>365</v>
      </c>
      <c r="F8" s="9" t="s">
        <v>254</v>
      </c>
      <c r="G8" s="9" t="s">
        <v>2968</v>
      </c>
      <c r="H8" s="9" t="s">
        <v>1054</v>
      </c>
      <c r="I8" s="9" t="n">
        <v>20</v>
      </c>
      <c r="J8" s="9" t="n">
        <v>18</v>
      </c>
      <c r="K8" s="9" t="s">
        <v>2957</v>
      </c>
      <c r="L8" s="9" t="s">
        <v>2969</v>
      </c>
      <c r="M8" s="9" t="s">
        <v>558</v>
      </c>
    </row>
    <row r="10" customFormat="false" ht="27.75" hidden="false" customHeight="true" outlineLevel="0" collapsed="false">
      <c r="A10" s="13" t="s">
        <v>2970</v>
      </c>
      <c r="B10" s="13"/>
      <c r="C10" s="13"/>
      <c r="D10" s="13"/>
      <c r="E10" s="13"/>
      <c r="F10" s="13"/>
      <c r="G10" s="13"/>
      <c r="H10" s="13"/>
    </row>
  </sheetData>
  <autoFilter ref="A1:M8"/>
  <mergeCells count="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1"/>
    <col collapsed="false" customWidth="true" hidden="false" outlineLevel="0" max="4" min="4" style="0" width="15"/>
    <col collapsed="false" customWidth="true" hidden="false" outlineLevel="0" max="5" min="5" style="0" width="22"/>
    <col collapsed="false" customWidth="true" hidden="false" outlineLevel="0" max="6" min="6" style="0" width="11"/>
    <col collapsed="false" customWidth="true" hidden="false" outlineLevel="0" max="7" min="7" style="0" width="16"/>
    <col collapsed="false" customWidth="true" hidden="false" outlineLevel="0" max="8" min="8" style="0" width="11"/>
    <col collapsed="false" customWidth="true" hidden="false" outlineLevel="0" max="9" min="9" style="0" width="13"/>
    <col collapsed="false" customWidth="true" hidden="false" outlineLevel="0" max="10" min="10" style="0" width="18"/>
    <col collapsed="false" customWidth="true" hidden="false" outlineLevel="0" max="11" min="11" style="0" width="15"/>
    <col collapsed="false" customWidth="true" hidden="false" outlineLevel="0" max="12" min="12" style="0" width="11"/>
    <col collapsed="false" customWidth="true" hidden="false" outlineLevel="0" max="13" min="13" style="0" width="44"/>
  </cols>
  <sheetData>
    <row r="1" customFormat="false" ht="30" hidden="false" customHeight="true" outlineLevel="0" collapsed="false">
      <c r="A1" s="8" t="s">
        <v>2971</v>
      </c>
      <c r="B1" s="8" t="s">
        <v>2972</v>
      </c>
      <c r="C1" s="8" t="s">
        <v>2973</v>
      </c>
      <c r="D1" s="8" t="s">
        <v>2974</v>
      </c>
      <c r="E1" s="8" t="s">
        <v>2975</v>
      </c>
      <c r="F1" s="8" t="s">
        <v>623</v>
      </c>
      <c r="G1" s="8" t="s">
        <v>393</v>
      </c>
      <c r="H1" s="8" t="s">
        <v>624</v>
      </c>
      <c r="I1" s="8" t="s">
        <v>326</v>
      </c>
      <c r="J1" s="8" t="s">
        <v>2976</v>
      </c>
      <c r="K1" s="8" t="s">
        <v>2977</v>
      </c>
      <c r="L1" s="8" t="s">
        <v>2978</v>
      </c>
      <c r="M1" s="8" t="s">
        <v>40</v>
      </c>
    </row>
    <row r="2" customFormat="false" ht="15" hidden="false" customHeight="false" outlineLevel="0" collapsed="false">
      <c r="A2" s="10" t="s">
        <v>2979</v>
      </c>
      <c r="B2" s="10" t="s">
        <v>400</v>
      </c>
      <c r="C2" s="10" t="s">
        <v>226</v>
      </c>
      <c r="D2" s="10"/>
      <c r="E2" s="10"/>
      <c r="F2" s="10" t="s">
        <v>233</v>
      </c>
      <c r="G2" s="10" t="s">
        <v>401</v>
      </c>
      <c r="H2" s="10" t="s">
        <v>402</v>
      </c>
      <c r="I2" s="10" t="s">
        <v>346</v>
      </c>
      <c r="J2" s="10" t="s">
        <v>647</v>
      </c>
      <c r="K2" s="10" t="s">
        <v>399</v>
      </c>
      <c r="L2" s="10" t="n">
        <v>44</v>
      </c>
      <c r="M2" s="10"/>
    </row>
    <row r="3" customFormat="false" ht="22.35" hidden="false" customHeight="false" outlineLevel="0" collapsed="false">
      <c r="A3" s="12" t="s">
        <v>2980</v>
      </c>
      <c r="B3" s="12" t="s">
        <v>406</v>
      </c>
      <c r="C3" s="12" t="s">
        <v>226</v>
      </c>
      <c r="D3" s="12"/>
      <c r="E3" s="12"/>
      <c r="F3" s="12" t="s">
        <v>233</v>
      </c>
      <c r="G3" s="12" t="s">
        <v>401</v>
      </c>
      <c r="H3" s="12" t="s">
        <v>402</v>
      </c>
      <c r="I3" s="12" t="s">
        <v>346</v>
      </c>
      <c r="J3" s="12" t="s">
        <v>647</v>
      </c>
      <c r="K3" s="12" t="s">
        <v>405</v>
      </c>
      <c r="L3" s="12" t="n">
        <v>0</v>
      </c>
      <c r="M3" s="12" t="s">
        <v>2981</v>
      </c>
    </row>
    <row r="4" customFormat="false" ht="15" hidden="false" customHeight="false" outlineLevel="0" collapsed="false">
      <c r="A4" s="10" t="s">
        <v>2982</v>
      </c>
      <c r="B4" s="10" t="s">
        <v>2983</v>
      </c>
      <c r="C4" s="10" t="s">
        <v>226</v>
      </c>
      <c r="D4" s="10"/>
      <c r="E4" s="10"/>
      <c r="F4" s="10" t="s">
        <v>226</v>
      </c>
      <c r="G4" s="10"/>
      <c r="H4" s="10" t="s">
        <v>419</v>
      </c>
      <c r="I4" s="10" t="s">
        <v>382</v>
      </c>
      <c r="J4" s="10" t="s">
        <v>647</v>
      </c>
      <c r="K4" s="10" t="s">
        <v>416</v>
      </c>
      <c r="L4" s="10" t="n">
        <v>5</v>
      </c>
      <c r="M4" s="10" t="s">
        <v>2984</v>
      </c>
    </row>
    <row r="5" customFormat="false" ht="22.35" hidden="false" customHeight="false" outlineLevel="0" collapsed="false">
      <c r="A5" s="12" t="s">
        <v>2985</v>
      </c>
      <c r="B5" s="12" t="s">
        <v>2986</v>
      </c>
      <c r="C5" s="12" t="s">
        <v>233</v>
      </c>
      <c r="D5" s="12" t="s">
        <v>2987</v>
      </c>
      <c r="E5" s="12" t="s">
        <v>2988</v>
      </c>
      <c r="F5" s="12" t="s">
        <v>233</v>
      </c>
      <c r="G5" s="12" t="s">
        <v>401</v>
      </c>
      <c r="H5" s="12" t="s">
        <v>402</v>
      </c>
      <c r="I5" s="12" t="s">
        <v>382</v>
      </c>
      <c r="J5" s="12" t="s">
        <v>904</v>
      </c>
      <c r="K5" s="12" t="s">
        <v>421</v>
      </c>
      <c r="L5" s="12" t="n">
        <v>3</v>
      </c>
      <c r="M5" s="12" t="s">
        <v>425</v>
      </c>
    </row>
    <row r="6" customFormat="false" ht="22.35" hidden="false" customHeight="false" outlineLevel="0" collapsed="false">
      <c r="A6" s="10" t="s">
        <v>2985</v>
      </c>
      <c r="B6" s="10" t="s">
        <v>2986</v>
      </c>
      <c r="C6" s="10" t="s">
        <v>233</v>
      </c>
      <c r="D6" s="10" t="s">
        <v>2989</v>
      </c>
      <c r="E6" s="10" t="s">
        <v>378</v>
      </c>
      <c r="F6" s="10" t="s">
        <v>226</v>
      </c>
      <c r="G6" s="10"/>
      <c r="H6" s="10" t="s">
        <v>419</v>
      </c>
      <c r="I6" s="10" t="s">
        <v>382</v>
      </c>
      <c r="J6" s="10" t="s">
        <v>904</v>
      </c>
      <c r="K6" s="10" t="s">
        <v>426</v>
      </c>
      <c r="L6" s="10" t="n">
        <v>4</v>
      </c>
      <c r="M6" s="10" t="s">
        <v>2990</v>
      </c>
    </row>
    <row r="7" customFormat="false" ht="15" hidden="false" customHeight="false" outlineLevel="0" collapsed="false">
      <c r="A7" s="12" t="s">
        <v>2991</v>
      </c>
      <c r="B7" s="12" t="s">
        <v>409</v>
      </c>
      <c r="C7" s="12" t="s">
        <v>226</v>
      </c>
      <c r="D7" s="12" t="s">
        <v>2992</v>
      </c>
      <c r="E7" s="12" t="s">
        <v>370</v>
      </c>
      <c r="F7" s="12" t="s">
        <v>233</v>
      </c>
      <c r="G7" s="12" t="s">
        <v>401</v>
      </c>
      <c r="H7" s="12" t="s">
        <v>402</v>
      </c>
      <c r="I7" s="12" t="s">
        <v>373</v>
      </c>
      <c r="J7" s="12" t="s">
        <v>2993</v>
      </c>
      <c r="K7" s="12" t="s">
        <v>408</v>
      </c>
      <c r="L7" s="12" t="n">
        <v>1</v>
      </c>
      <c r="M7" s="12" t="s">
        <v>2994</v>
      </c>
    </row>
    <row r="8" customFormat="false" ht="15" hidden="false" customHeight="false" outlineLevel="0" collapsed="false">
      <c r="A8" s="10" t="s">
        <v>2991</v>
      </c>
      <c r="B8" s="10" t="s">
        <v>409</v>
      </c>
      <c r="C8" s="10" t="s">
        <v>226</v>
      </c>
      <c r="D8" s="10" t="s">
        <v>2995</v>
      </c>
      <c r="E8" s="10" t="s">
        <v>375</v>
      </c>
      <c r="F8" s="10" t="s">
        <v>233</v>
      </c>
      <c r="G8" s="10" t="s">
        <v>401</v>
      </c>
      <c r="H8" s="10" t="s">
        <v>402</v>
      </c>
      <c r="I8" s="10" t="s">
        <v>373</v>
      </c>
      <c r="J8" s="10" t="s">
        <v>2993</v>
      </c>
      <c r="K8" s="10" t="s">
        <v>408</v>
      </c>
      <c r="L8" s="10" t="n">
        <v>1</v>
      </c>
      <c r="M8" s="10" t="s">
        <v>412</v>
      </c>
    </row>
    <row r="9" customFormat="false" ht="22.35" hidden="false" customHeight="false" outlineLevel="0" collapsed="false">
      <c r="A9" s="12" t="s">
        <v>2996</v>
      </c>
      <c r="B9" s="12" t="s">
        <v>386</v>
      </c>
      <c r="C9" s="12" t="s">
        <v>226</v>
      </c>
      <c r="D9" s="12"/>
      <c r="E9" s="12"/>
      <c r="F9" s="12" t="s">
        <v>233</v>
      </c>
      <c r="G9" s="12" t="s">
        <v>401</v>
      </c>
      <c r="H9" s="12" t="s">
        <v>402</v>
      </c>
      <c r="I9" s="12" t="s">
        <v>382</v>
      </c>
      <c r="J9" s="12" t="s">
        <v>2993</v>
      </c>
      <c r="K9" s="12" t="s">
        <v>413</v>
      </c>
      <c r="L9" s="12" t="n">
        <v>1</v>
      </c>
      <c r="M9" s="12" t="s">
        <v>2997</v>
      </c>
    </row>
    <row r="10" customFormat="false" ht="15" hidden="false" customHeight="false" outlineLevel="0" collapsed="false">
      <c r="A10" s="10" t="s">
        <v>2998</v>
      </c>
      <c r="B10" s="10" t="s">
        <v>430</v>
      </c>
      <c r="C10" s="10" t="s">
        <v>226</v>
      </c>
      <c r="D10" s="10"/>
      <c r="E10" s="10"/>
      <c r="F10" s="10" t="s">
        <v>226</v>
      </c>
      <c r="G10" s="10"/>
      <c r="H10" s="10" t="s">
        <v>402</v>
      </c>
      <c r="I10" s="10" t="s">
        <v>382</v>
      </c>
      <c r="J10" s="10" t="s">
        <v>2993</v>
      </c>
      <c r="K10" s="10" t="s">
        <v>429</v>
      </c>
      <c r="L10" s="10" t="n">
        <v>1</v>
      </c>
      <c r="M10" s="10"/>
    </row>
    <row r="11" customFormat="false" ht="22.35" hidden="false" customHeight="false" outlineLevel="0" collapsed="false">
      <c r="A11" s="12" t="s">
        <v>2999</v>
      </c>
      <c r="B11" s="12" t="s">
        <v>3000</v>
      </c>
      <c r="C11" s="12" t="s">
        <v>226</v>
      </c>
      <c r="D11" s="12"/>
      <c r="E11" s="12"/>
      <c r="F11" s="12" t="s">
        <v>226</v>
      </c>
      <c r="G11" s="12"/>
      <c r="H11" s="12" t="s">
        <v>434</v>
      </c>
      <c r="I11" s="12" t="s">
        <v>382</v>
      </c>
      <c r="J11" s="12" t="s">
        <v>2993</v>
      </c>
      <c r="K11" s="12" t="s">
        <v>432</v>
      </c>
      <c r="L11" s="12" t="n">
        <v>0</v>
      </c>
      <c r="M11" s="12" t="s">
        <v>3001</v>
      </c>
    </row>
    <row r="13" customFormat="false" ht="27.75" hidden="false" customHeight="true" outlineLevel="0" collapsed="false">
      <c r="A13" s="14" t="s">
        <v>3002</v>
      </c>
      <c r="B13" s="14"/>
      <c r="C13" s="14"/>
      <c r="D13" s="14"/>
      <c r="E13" s="14"/>
      <c r="F13" s="14"/>
      <c r="G13" s="14"/>
      <c r="H13" s="14"/>
      <c r="I13" s="14"/>
      <c r="J13" s="14"/>
    </row>
  </sheetData>
  <mergeCells count="1">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3"/>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4"/>
    <col collapsed="false" customWidth="true" hidden="false" outlineLevel="0" max="10" min="9" style="0" width="12"/>
    <col collapsed="false" customWidth="true" hidden="false" outlineLevel="0" max="11" min="11" style="0" width="24"/>
    <col collapsed="false" customWidth="true" hidden="false" outlineLevel="0" max="12" min="12" style="0" width="11"/>
    <col collapsed="false" customWidth="true" hidden="false" outlineLevel="0" max="13" min="13" style="0" width="56"/>
  </cols>
  <sheetData>
    <row r="1" customFormat="false" ht="30" hidden="false" customHeight="true" outlineLevel="0" collapsed="false">
      <c r="A1" s="8" t="s">
        <v>3003</v>
      </c>
      <c r="B1" s="8" t="s">
        <v>3004</v>
      </c>
      <c r="C1" s="8" t="s">
        <v>3005</v>
      </c>
      <c r="D1" s="8" t="s">
        <v>3006</v>
      </c>
      <c r="E1" s="8" t="s">
        <v>3007</v>
      </c>
      <c r="F1" s="8" t="s">
        <v>3008</v>
      </c>
      <c r="G1" s="8" t="s">
        <v>3009</v>
      </c>
      <c r="H1" s="8" t="s">
        <v>3010</v>
      </c>
      <c r="I1" s="8" t="s">
        <v>630</v>
      </c>
      <c r="J1" s="8" t="s">
        <v>3011</v>
      </c>
      <c r="K1" s="8" t="s">
        <v>3012</v>
      </c>
      <c r="L1" s="8" t="s">
        <v>3013</v>
      </c>
      <c r="M1" s="8" t="s">
        <v>40</v>
      </c>
    </row>
    <row r="2" customFormat="false" ht="15" hidden="false" customHeight="false" outlineLevel="0" collapsed="false">
      <c r="A2" s="10" t="s">
        <v>333</v>
      </c>
      <c r="B2" s="10" t="s">
        <v>3014</v>
      </c>
      <c r="C2" s="10" t="n">
        <v>70</v>
      </c>
      <c r="D2" s="10" t="s">
        <v>226</v>
      </c>
      <c r="E2" s="10" t="s">
        <v>1212</v>
      </c>
      <c r="F2" s="10" t="s">
        <v>1218</v>
      </c>
      <c r="G2" s="10" t="s">
        <v>1218</v>
      </c>
      <c r="H2" s="10" t="n">
        <v>45</v>
      </c>
      <c r="I2" s="10" t="n">
        <v>60</v>
      </c>
      <c r="J2" s="10" t="s">
        <v>233</v>
      </c>
      <c r="K2" s="10" t="s">
        <v>3015</v>
      </c>
      <c r="L2" s="10" t="n">
        <v>4</v>
      </c>
      <c r="M2" s="10" t="s">
        <v>3016</v>
      </c>
    </row>
    <row r="3" customFormat="false" ht="22.35" hidden="false" customHeight="false" outlineLevel="0" collapsed="false">
      <c r="A3" s="12" t="s">
        <v>346</v>
      </c>
      <c r="B3" s="12" t="s">
        <v>3017</v>
      </c>
      <c r="C3" s="12" t="n">
        <v>0</v>
      </c>
      <c r="D3" s="12" t="s">
        <v>226</v>
      </c>
      <c r="E3" s="12" t="s">
        <v>1212</v>
      </c>
      <c r="F3" s="12" t="s">
        <v>1218</v>
      </c>
      <c r="G3" s="12" t="s">
        <v>1218</v>
      </c>
      <c r="H3" s="12" t="n">
        <v>45</v>
      </c>
      <c r="I3" s="12" t="n">
        <v>60</v>
      </c>
      <c r="J3" s="12" t="s">
        <v>233</v>
      </c>
      <c r="K3" s="12" t="s">
        <v>3018</v>
      </c>
      <c r="L3" s="12" t="n">
        <v>40</v>
      </c>
      <c r="M3" s="12" t="s">
        <v>3019</v>
      </c>
    </row>
    <row r="4" customFormat="false" ht="15" hidden="false" customHeight="false" outlineLevel="0" collapsed="false">
      <c r="A4" s="10" t="s">
        <v>373</v>
      </c>
      <c r="B4" s="10" t="s">
        <v>3020</v>
      </c>
      <c r="C4" s="10" t="n">
        <v>0</v>
      </c>
      <c r="D4" s="10" t="s">
        <v>233</v>
      </c>
      <c r="E4" s="10" t="s">
        <v>222</v>
      </c>
      <c r="F4" s="10" t="s">
        <v>1218</v>
      </c>
      <c r="G4" s="10" t="s">
        <v>222</v>
      </c>
      <c r="H4" s="10"/>
      <c r="I4" s="10" t="n">
        <v>60</v>
      </c>
      <c r="J4" s="10" t="s">
        <v>226</v>
      </c>
      <c r="K4" s="10" t="s">
        <v>3021</v>
      </c>
      <c r="L4" s="10" t="n">
        <v>2</v>
      </c>
      <c r="M4" s="10" t="s">
        <v>3022</v>
      </c>
    </row>
    <row r="5" customFormat="false" ht="15" hidden="false" customHeight="false" outlineLevel="0" collapsed="false">
      <c r="A5" s="12" t="s">
        <v>382</v>
      </c>
      <c r="B5" s="12" t="s">
        <v>3023</v>
      </c>
      <c r="C5" s="12" t="n">
        <v>0</v>
      </c>
      <c r="D5" s="12" t="s">
        <v>226</v>
      </c>
      <c r="E5" s="12" t="s">
        <v>222</v>
      </c>
      <c r="F5" s="12" t="s">
        <v>222</v>
      </c>
      <c r="G5" s="12" t="s">
        <v>222</v>
      </c>
      <c r="H5" s="12"/>
      <c r="I5" s="12"/>
      <c r="J5" s="12" t="s">
        <v>226</v>
      </c>
      <c r="K5" s="12" t="s">
        <v>332</v>
      </c>
      <c r="L5" s="12" t="n">
        <v>23</v>
      </c>
      <c r="M5" s="12" t="s">
        <v>3024</v>
      </c>
    </row>
    <row r="7" customFormat="false" ht="27.75" hidden="false" customHeight="true" outlineLevel="0" collapsed="false">
      <c r="A7" s="14" t="s">
        <v>3025</v>
      </c>
      <c r="B7" s="14"/>
      <c r="C7" s="14"/>
      <c r="D7" s="14"/>
      <c r="E7" s="14"/>
      <c r="F7" s="14"/>
      <c r="G7" s="14"/>
      <c r="H7" s="14"/>
      <c r="I7" s="14"/>
      <c r="J7" s="14"/>
    </row>
  </sheetData>
  <mergeCells count="1">
    <mergeCell ref="A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1"/>
    <col collapsed="false" customWidth="true" hidden="false" outlineLevel="0" max="4" min="4" style="0" width="17"/>
    <col collapsed="false" customWidth="true" hidden="false" outlineLevel="0" max="5" min="5" style="0" width="15"/>
    <col collapsed="false" customWidth="true" hidden="false" outlineLevel="0" max="7" min="6" style="0" width="14"/>
    <col collapsed="false" customWidth="true" hidden="false" outlineLevel="0" max="8" min="8" style="0" width="12"/>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26"/>
    <col collapsed="false" customWidth="true" hidden="false" outlineLevel="0" max="13" min="13" style="0" width="44"/>
    <col collapsed="false" customWidth="true" hidden="false" outlineLevel="0" max="14" min="14" style="0" width="12"/>
  </cols>
  <sheetData>
    <row r="1" customFormat="false" ht="30" hidden="false" customHeight="true" outlineLevel="0" collapsed="false">
      <c r="A1" s="8" t="s">
        <v>1264</v>
      </c>
      <c r="B1" s="8" t="s">
        <v>3026</v>
      </c>
      <c r="C1" s="8" t="s">
        <v>1198</v>
      </c>
      <c r="D1" s="8" t="s">
        <v>1204</v>
      </c>
      <c r="E1" s="8" t="s">
        <v>3027</v>
      </c>
      <c r="F1" s="8" t="s">
        <v>3028</v>
      </c>
      <c r="G1" s="8" t="s">
        <v>3029</v>
      </c>
      <c r="H1" s="8" t="s">
        <v>3030</v>
      </c>
      <c r="I1" s="8" t="s">
        <v>3031</v>
      </c>
      <c r="J1" s="8" t="s">
        <v>3032</v>
      </c>
      <c r="K1" s="8" t="s">
        <v>3033</v>
      </c>
      <c r="L1" s="8" t="s">
        <v>3034</v>
      </c>
      <c r="M1" s="8" t="s">
        <v>3035</v>
      </c>
      <c r="N1" s="8" t="s">
        <v>40</v>
      </c>
    </row>
    <row r="2" customFormat="false" ht="22.35" hidden="false" customHeight="false" outlineLevel="0" collapsed="false">
      <c r="A2" s="10" t="s">
        <v>3036</v>
      </c>
      <c r="B2" s="10" t="s">
        <v>346</v>
      </c>
      <c r="C2" s="10" t="s">
        <v>1213</v>
      </c>
      <c r="D2" s="10" t="s">
        <v>1219</v>
      </c>
      <c r="E2" s="10" t="s">
        <v>233</v>
      </c>
      <c r="F2" s="10" t="n">
        <v>2</v>
      </c>
      <c r="G2" s="10" t="n">
        <v>0</v>
      </c>
      <c r="H2" s="10"/>
      <c r="I2" s="10" t="s">
        <v>233</v>
      </c>
      <c r="J2" s="10" t="s">
        <v>226</v>
      </c>
      <c r="K2" s="10" t="s">
        <v>1304</v>
      </c>
      <c r="L2" s="10" t="s">
        <v>3037</v>
      </c>
      <c r="M2" s="10" t="s">
        <v>3038</v>
      </c>
      <c r="N2" s="10" t="s">
        <v>412</v>
      </c>
    </row>
    <row r="3" customFormat="false" ht="22.35" hidden="false" customHeight="false" outlineLevel="0" collapsed="false">
      <c r="A3" s="12" t="s">
        <v>3039</v>
      </c>
      <c r="B3" s="12" t="s">
        <v>346</v>
      </c>
      <c r="C3" s="12" t="s">
        <v>1207</v>
      </c>
      <c r="D3" s="12" t="s">
        <v>1213</v>
      </c>
      <c r="E3" s="12" t="s">
        <v>233</v>
      </c>
      <c r="F3" s="12" t="n">
        <v>10</v>
      </c>
      <c r="G3" s="12" t="n">
        <v>6</v>
      </c>
      <c r="H3" s="12" t="n">
        <v>9</v>
      </c>
      <c r="I3" s="12" t="s">
        <v>233</v>
      </c>
      <c r="J3" s="12" t="s">
        <v>233</v>
      </c>
      <c r="K3" s="12" t="s">
        <v>1304</v>
      </c>
      <c r="L3" s="12" t="s">
        <v>3037</v>
      </c>
      <c r="M3" s="12" t="s">
        <v>3040</v>
      </c>
      <c r="N3" s="12" t="s">
        <v>412</v>
      </c>
    </row>
    <row r="4" customFormat="false" ht="22.35" hidden="false" customHeight="false" outlineLevel="0" collapsed="false">
      <c r="A4" s="10" t="s">
        <v>3041</v>
      </c>
      <c r="B4" s="10" t="s">
        <v>346</v>
      </c>
      <c r="C4" s="10" t="s">
        <v>1222</v>
      </c>
      <c r="D4" s="10" t="s">
        <v>1213</v>
      </c>
      <c r="E4" s="10" t="s">
        <v>233</v>
      </c>
      <c r="F4" s="10"/>
      <c r="G4" s="10" t="n">
        <v>0</v>
      </c>
      <c r="H4" s="10"/>
      <c r="I4" s="10" t="s">
        <v>233</v>
      </c>
      <c r="J4" s="10" t="s">
        <v>226</v>
      </c>
      <c r="K4" s="10" t="s">
        <v>1304</v>
      </c>
      <c r="L4" s="10" t="s">
        <v>3042</v>
      </c>
      <c r="M4" s="10" t="s">
        <v>3043</v>
      </c>
      <c r="N4" s="10" t="s">
        <v>412</v>
      </c>
    </row>
    <row r="5" customFormat="false" ht="22.35" hidden="false" customHeight="false" outlineLevel="0" collapsed="false">
      <c r="A5" s="12" t="s">
        <v>3044</v>
      </c>
      <c r="B5" s="12" t="s">
        <v>346</v>
      </c>
      <c r="C5" s="12" t="s">
        <v>1224</v>
      </c>
      <c r="D5" s="12"/>
      <c r="E5" s="12" t="s">
        <v>226</v>
      </c>
      <c r="F5" s="12"/>
      <c r="G5" s="12" t="n">
        <v>0</v>
      </c>
      <c r="H5" s="12"/>
      <c r="I5" s="12" t="s">
        <v>226</v>
      </c>
      <c r="J5" s="12" t="s">
        <v>226</v>
      </c>
      <c r="K5" s="12" t="s">
        <v>1304</v>
      </c>
      <c r="L5" s="12" t="s">
        <v>3045</v>
      </c>
      <c r="M5" s="12" t="s">
        <v>3046</v>
      </c>
      <c r="N5" s="12" t="s">
        <v>1229</v>
      </c>
    </row>
    <row r="6" customFormat="false" ht="22.35" hidden="false" customHeight="false" outlineLevel="0" collapsed="false">
      <c r="A6" s="10" t="s">
        <v>3047</v>
      </c>
      <c r="B6" s="10" t="s">
        <v>346</v>
      </c>
      <c r="C6" s="10" t="s">
        <v>1230</v>
      </c>
      <c r="D6" s="10"/>
      <c r="E6" s="10" t="s">
        <v>226</v>
      </c>
      <c r="F6" s="10" t="n">
        <v>1</v>
      </c>
      <c r="G6" s="10" t="n">
        <v>0</v>
      </c>
      <c r="H6" s="10"/>
      <c r="I6" s="10" t="s">
        <v>226</v>
      </c>
      <c r="J6" s="10" t="s">
        <v>226</v>
      </c>
      <c r="K6" s="10" t="s">
        <v>1304</v>
      </c>
      <c r="L6" s="10" t="s">
        <v>3048</v>
      </c>
      <c r="M6" s="10" t="s">
        <v>3049</v>
      </c>
      <c r="N6" s="10" t="s">
        <v>412</v>
      </c>
    </row>
    <row r="7" customFormat="false" ht="15" hidden="false" customHeight="false" outlineLevel="0" collapsed="false">
      <c r="A7" s="12" t="s">
        <v>3050</v>
      </c>
      <c r="B7" s="12" t="s">
        <v>333</v>
      </c>
      <c r="C7" s="12" t="s">
        <v>1213</v>
      </c>
      <c r="D7" s="12" t="s">
        <v>1219</v>
      </c>
      <c r="E7" s="12" t="s">
        <v>233</v>
      </c>
      <c r="F7" s="12" t="n">
        <v>2</v>
      </c>
      <c r="G7" s="12" t="n">
        <v>0</v>
      </c>
      <c r="H7" s="12"/>
      <c r="I7" s="12" t="s">
        <v>233</v>
      </c>
      <c r="J7" s="12" t="s">
        <v>226</v>
      </c>
      <c r="K7" s="12" t="s">
        <v>1304</v>
      </c>
      <c r="L7" s="12" t="s">
        <v>3042</v>
      </c>
      <c r="M7" s="12" t="s">
        <v>3051</v>
      </c>
      <c r="N7" s="12" t="s">
        <v>412</v>
      </c>
    </row>
    <row r="8" customFormat="false" ht="15" hidden="false" customHeight="false" outlineLevel="0" collapsed="false">
      <c r="A8" s="10" t="s">
        <v>3052</v>
      </c>
      <c r="B8" s="10" t="s">
        <v>333</v>
      </c>
      <c r="C8" s="10" t="s">
        <v>1207</v>
      </c>
      <c r="D8" s="10" t="s">
        <v>1213</v>
      </c>
      <c r="E8" s="10" t="s">
        <v>233</v>
      </c>
      <c r="F8" s="10" t="n">
        <v>10</v>
      </c>
      <c r="G8" s="10" t="n">
        <v>0</v>
      </c>
      <c r="H8" s="10"/>
      <c r="I8" s="10" t="s">
        <v>233</v>
      </c>
      <c r="J8" s="10" t="s">
        <v>233</v>
      </c>
      <c r="K8" s="10" t="s">
        <v>1304</v>
      </c>
      <c r="L8" s="10" t="s">
        <v>3042</v>
      </c>
      <c r="M8" s="10" t="s">
        <v>3053</v>
      </c>
      <c r="N8" s="10" t="s">
        <v>412</v>
      </c>
    </row>
    <row r="9" customFormat="false" ht="22.35" hidden="false" customHeight="false" outlineLevel="0" collapsed="false">
      <c r="A9" s="12" t="s">
        <v>3054</v>
      </c>
      <c r="B9" s="12" t="s">
        <v>373</v>
      </c>
      <c r="C9" s="12" t="s">
        <v>1213</v>
      </c>
      <c r="D9" s="12"/>
      <c r="E9" s="12" t="s">
        <v>226</v>
      </c>
      <c r="F9" s="12" t="n">
        <v>2</v>
      </c>
      <c r="G9" s="12" t="n">
        <v>0</v>
      </c>
      <c r="H9" s="12"/>
      <c r="I9" s="12" t="s">
        <v>233</v>
      </c>
      <c r="J9" s="12" t="s">
        <v>226</v>
      </c>
      <c r="K9" s="12" t="s">
        <v>1304</v>
      </c>
      <c r="L9" s="12" t="s">
        <v>3042</v>
      </c>
      <c r="M9" s="12" t="s">
        <v>3055</v>
      </c>
      <c r="N9" s="12" t="s">
        <v>412</v>
      </c>
    </row>
    <row r="10" customFormat="false" ht="15" hidden="false" customHeight="false" outlineLevel="0" collapsed="false">
      <c r="A10" s="10" t="s">
        <v>3056</v>
      </c>
      <c r="B10" s="10" t="s">
        <v>3057</v>
      </c>
      <c r="C10" s="10" t="s">
        <v>1238</v>
      </c>
      <c r="D10" s="10"/>
      <c r="E10" s="10" t="s">
        <v>226</v>
      </c>
      <c r="F10" s="10"/>
      <c r="G10" s="10" t="n">
        <v>0</v>
      </c>
      <c r="H10" s="10"/>
      <c r="I10" s="10" t="s">
        <v>233</v>
      </c>
      <c r="J10" s="10" t="s">
        <v>226</v>
      </c>
      <c r="K10" s="10" t="s">
        <v>1304</v>
      </c>
      <c r="L10" s="10" t="s">
        <v>3058</v>
      </c>
      <c r="M10" s="10" t="s">
        <v>3059</v>
      </c>
      <c r="N10" s="10" t="s">
        <v>3060</v>
      </c>
    </row>
    <row r="12" customFormat="false" ht="27.75" hidden="false" customHeight="true" outlineLevel="0" collapsed="false">
      <c r="A12" s="14" t="s">
        <v>3061</v>
      </c>
      <c r="B12" s="14"/>
      <c r="C12" s="14"/>
      <c r="D12" s="14"/>
      <c r="E12" s="14"/>
      <c r="F12" s="14"/>
      <c r="G12" s="14"/>
      <c r="H12" s="14"/>
      <c r="I12" s="14"/>
      <c r="J12" s="14"/>
    </row>
  </sheetData>
  <mergeCells count="1">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4" min="3" style="0" width="14"/>
    <col collapsed="false" customWidth="true" hidden="false" outlineLevel="0" max="5" min="5" style="0" width="13"/>
    <col collapsed="false" customWidth="true" hidden="false" outlineLevel="0" max="6" min="6" style="0" width="16"/>
    <col collapsed="false" customWidth="true" hidden="false" outlineLevel="0" max="7" min="7" style="0" width="14"/>
    <col collapsed="false" customWidth="true" hidden="false" outlineLevel="0" max="8" min="8" style="0" width="13"/>
    <col collapsed="false" customWidth="true" hidden="false" outlineLevel="0" max="9" min="9" style="0" width="40"/>
    <col collapsed="false" customWidth="true" hidden="false" outlineLevel="0" max="10" min="10" style="0" width="12"/>
    <col collapsed="false" customWidth="true" hidden="false" outlineLevel="0" max="11" min="11" style="0" width="52"/>
    <col collapsed="false" customWidth="true" hidden="false" outlineLevel="0" max="12" min="12" style="0" width="11"/>
  </cols>
  <sheetData>
    <row r="1" customFormat="false" ht="30" hidden="false" customHeight="true" outlineLevel="0" collapsed="false">
      <c r="A1" s="8" t="s">
        <v>1242</v>
      </c>
      <c r="B1" s="8" t="s">
        <v>3062</v>
      </c>
      <c r="C1" s="8" t="s">
        <v>3063</v>
      </c>
      <c r="D1" s="8" t="s">
        <v>3064</v>
      </c>
      <c r="E1" s="8" t="s">
        <v>3065</v>
      </c>
      <c r="F1" s="8" t="s">
        <v>3066</v>
      </c>
      <c r="G1" s="8" t="s">
        <v>3067</v>
      </c>
      <c r="H1" s="8" t="s">
        <v>3068</v>
      </c>
      <c r="I1" s="8" t="s">
        <v>3069</v>
      </c>
      <c r="J1" s="8" t="s">
        <v>551</v>
      </c>
      <c r="K1" s="8" t="s">
        <v>3035</v>
      </c>
      <c r="L1" s="8" t="s">
        <v>40</v>
      </c>
    </row>
    <row r="2" customFormat="false" ht="22.35" hidden="false" customHeight="false" outlineLevel="0" collapsed="false">
      <c r="A2" s="10" t="s">
        <v>3070</v>
      </c>
      <c r="B2" s="10" t="s">
        <v>3071</v>
      </c>
      <c r="C2" s="10" t="n">
        <v>15</v>
      </c>
      <c r="D2" s="10" t="n">
        <v>15</v>
      </c>
      <c r="E2" s="10" t="n">
        <v>3</v>
      </c>
      <c r="F2" s="10" t="s">
        <v>3072</v>
      </c>
      <c r="G2" s="10" t="s">
        <v>3073</v>
      </c>
      <c r="H2" s="10" t="n">
        <v>50</v>
      </c>
      <c r="I2" s="10" t="s">
        <v>3074</v>
      </c>
      <c r="J2" s="10" t="s">
        <v>554</v>
      </c>
      <c r="K2" s="10" t="s">
        <v>3075</v>
      </c>
      <c r="L2" s="10" t="s">
        <v>3060</v>
      </c>
    </row>
    <row r="3" customFormat="false" ht="22.35" hidden="false" customHeight="false" outlineLevel="0" collapsed="false">
      <c r="A3" s="12" t="s">
        <v>3076</v>
      </c>
      <c r="B3" s="12" t="s">
        <v>3077</v>
      </c>
      <c r="C3" s="12" t="n">
        <v>15</v>
      </c>
      <c r="D3" s="12" t="n">
        <v>15</v>
      </c>
      <c r="E3" s="12" t="n">
        <v>3</v>
      </c>
      <c r="F3" s="12" t="s">
        <v>3078</v>
      </c>
      <c r="G3" s="12" t="s">
        <v>3073</v>
      </c>
      <c r="H3" s="12" t="n">
        <v>50</v>
      </c>
      <c r="I3" s="12" t="s">
        <v>3079</v>
      </c>
      <c r="J3" s="12" t="s">
        <v>554</v>
      </c>
      <c r="K3" s="12" t="s">
        <v>3080</v>
      </c>
      <c r="L3" s="12" t="s">
        <v>3060</v>
      </c>
    </row>
    <row r="5" customFormat="false" ht="27.75" hidden="false" customHeight="true" outlineLevel="0" collapsed="false">
      <c r="A5" s="14" t="s">
        <v>3081</v>
      </c>
      <c r="B5" s="14"/>
      <c r="C5" s="14"/>
      <c r="D5" s="14"/>
      <c r="E5" s="14"/>
      <c r="F5" s="14"/>
      <c r="G5" s="14"/>
      <c r="H5" s="14"/>
      <c r="I5" s="14"/>
      <c r="J5" s="14"/>
    </row>
  </sheetData>
  <mergeCells count="1">
    <mergeCell ref="A5:J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5"/>
    <col collapsed="false" customWidth="true" hidden="false" outlineLevel="0" max="4" min="4" style="0" width="14"/>
    <col collapsed="false" customWidth="true" hidden="false" outlineLevel="0" max="5" min="5" style="0" width="15"/>
    <col collapsed="false" customWidth="true" hidden="false" outlineLevel="0" max="6" min="6" style="0" width="13"/>
    <col collapsed="false" customWidth="true" hidden="false" outlineLevel="0" max="7" min="7" style="0" width="12"/>
    <col collapsed="false" customWidth="true" hidden="false" outlineLevel="0" max="9" min="8" style="0" width="13"/>
    <col collapsed="false" customWidth="true" hidden="false" outlineLevel="0" max="10" min="10" style="0" width="12"/>
    <col collapsed="false" customWidth="true" hidden="false" outlineLevel="0" max="11" min="11" style="0" width="62"/>
    <col collapsed="false" customWidth="true" hidden="false" outlineLevel="0" max="12" min="12" style="0" width="11"/>
  </cols>
  <sheetData>
    <row r="1" customFormat="false" ht="30" hidden="false" customHeight="true" outlineLevel="0" collapsed="false">
      <c r="A1" s="8" t="s">
        <v>1264</v>
      </c>
      <c r="B1" s="8" t="s">
        <v>3082</v>
      </c>
      <c r="C1" s="8" t="s">
        <v>3083</v>
      </c>
      <c r="D1" s="8" t="s">
        <v>3084</v>
      </c>
      <c r="E1" s="8" t="s">
        <v>3085</v>
      </c>
      <c r="F1" s="8" t="s">
        <v>3086</v>
      </c>
      <c r="G1" s="8" t="s">
        <v>3087</v>
      </c>
      <c r="H1" s="8" t="s">
        <v>3088</v>
      </c>
      <c r="I1" s="8" t="s">
        <v>3089</v>
      </c>
      <c r="J1" s="8" t="s">
        <v>551</v>
      </c>
      <c r="K1" s="8" t="s">
        <v>3035</v>
      </c>
      <c r="L1" s="8" t="s">
        <v>40</v>
      </c>
    </row>
    <row r="2" customFormat="false" ht="32.8" hidden="false" customHeight="false" outlineLevel="0" collapsed="false">
      <c r="A2" s="10" t="s">
        <v>3090</v>
      </c>
      <c r="B2" s="10" t="s">
        <v>454</v>
      </c>
      <c r="C2" s="10" t="s">
        <v>475</v>
      </c>
      <c r="D2" s="10" t="s">
        <v>488</v>
      </c>
      <c r="E2" s="10" t="s">
        <v>458</v>
      </c>
      <c r="F2" s="10" t="s">
        <v>3091</v>
      </c>
      <c r="G2" s="10" t="s">
        <v>233</v>
      </c>
      <c r="H2" s="10" t="s">
        <v>233</v>
      </c>
      <c r="I2" s="10"/>
      <c r="J2" s="10" t="s">
        <v>554</v>
      </c>
      <c r="K2" s="10" t="s">
        <v>3092</v>
      </c>
      <c r="L2" s="10" t="s">
        <v>3060</v>
      </c>
    </row>
    <row r="3" customFormat="false" ht="15" hidden="false" customHeight="false" outlineLevel="0" collapsed="false">
      <c r="A3" s="12" t="s">
        <v>3093</v>
      </c>
      <c r="B3" s="12" t="s">
        <v>462</v>
      </c>
      <c r="C3" s="12" t="s">
        <v>475</v>
      </c>
      <c r="D3" s="12" t="s">
        <v>488</v>
      </c>
      <c r="E3" s="12" t="s">
        <v>458</v>
      </c>
      <c r="F3" s="12" t="s">
        <v>3091</v>
      </c>
      <c r="G3" s="12" t="s">
        <v>233</v>
      </c>
      <c r="H3" s="12" t="s">
        <v>233</v>
      </c>
      <c r="I3" s="12"/>
      <c r="J3" s="12" t="s">
        <v>554</v>
      </c>
      <c r="K3" s="12" t="s">
        <v>3094</v>
      </c>
      <c r="L3" s="12" t="s">
        <v>3060</v>
      </c>
    </row>
    <row r="5" customFormat="false" ht="27.75" hidden="false" customHeight="true" outlineLevel="0" collapsed="false">
      <c r="A5" s="14" t="s">
        <v>3095</v>
      </c>
      <c r="B5" s="14"/>
      <c r="C5" s="14"/>
      <c r="D5" s="14"/>
      <c r="E5" s="14"/>
      <c r="F5" s="14"/>
      <c r="G5" s="14"/>
      <c r="H5" s="14"/>
      <c r="I5" s="14"/>
      <c r="J5" s="14"/>
    </row>
  </sheetData>
  <mergeCells count="1">
    <mergeCell ref="A5:J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22"/>
    <col collapsed="false" customWidth="true" hidden="false" outlineLevel="0" max="4" min="4" style="0" width="32"/>
    <col collapsed="false" customWidth="true" hidden="false" outlineLevel="0" max="6" min="5" style="0" width="14"/>
    <col collapsed="false" customWidth="true" hidden="false" outlineLevel="0" max="8" min="7" style="0" width="13"/>
    <col collapsed="false" customWidth="true" hidden="false" outlineLevel="0" max="9" min="9" style="0" width="12"/>
    <col collapsed="false" customWidth="true" hidden="false" outlineLevel="0" max="10" min="10" style="0" width="26"/>
    <col collapsed="false" customWidth="true" hidden="false" outlineLevel="0" max="11" min="11" style="0" width="22"/>
    <col collapsed="false" customWidth="true" hidden="false" outlineLevel="0" max="12" min="12" style="0" width="44"/>
  </cols>
  <sheetData>
    <row r="1" customFormat="false" ht="30" hidden="false" customHeight="true" outlineLevel="0" collapsed="false">
      <c r="A1" s="8" t="s">
        <v>3096</v>
      </c>
      <c r="B1" s="8" t="s">
        <v>3097</v>
      </c>
      <c r="C1" s="8" t="s">
        <v>3098</v>
      </c>
      <c r="D1" s="8" t="s">
        <v>3099</v>
      </c>
      <c r="E1" s="8" t="s">
        <v>3100</v>
      </c>
      <c r="F1" s="8" t="s">
        <v>3101</v>
      </c>
      <c r="G1" s="8" t="s">
        <v>3102</v>
      </c>
      <c r="H1" s="8" t="s">
        <v>3103</v>
      </c>
      <c r="I1" s="8" t="s">
        <v>3104</v>
      </c>
      <c r="J1" s="8" t="s">
        <v>3105</v>
      </c>
      <c r="K1" s="8" t="s">
        <v>3106</v>
      </c>
      <c r="L1" s="8" t="s">
        <v>40</v>
      </c>
    </row>
    <row r="2" customFormat="false" ht="22.35" hidden="false" customHeight="false" outlineLevel="0" collapsed="false">
      <c r="A2" s="10" t="s">
        <v>3107</v>
      </c>
      <c r="B2" s="10" t="s">
        <v>3108</v>
      </c>
      <c r="C2" s="10" t="s">
        <v>633</v>
      </c>
      <c r="D2" s="10" t="s">
        <v>254</v>
      </c>
      <c r="E2" s="10" t="s">
        <v>226</v>
      </c>
      <c r="F2" s="10" t="s">
        <v>226</v>
      </c>
      <c r="G2" s="10" t="s">
        <v>233</v>
      </c>
      <c r="H2" s="10" t="s">
        <v>233</v>
      </c>
      <c r="I2" s="10" t="s">
        <v>226</v>
      </c>
      <c r="J2" s="10" t="s">
        <v>3109</v>
      </c>
      <c r="K2" s="10" t="s">
        <v>3110</v>
      </c>
      <c r="L2" s="10" t="s">
        <v>3111</v>
      </c>
    </row>
    <row r="3" customFormat="false" ht="22.35" hidden="false" customHeight="false" outlineLevel="0" collapsed="false">
      <c r="A3" s="12" t="s">
        <v>3107</v>
      </c>
      <c r="B3" s="12" t="s">
        <v>3112</v>
      </c>
      <c r="C3" s="12" t="s">
        <v>633</v>
      </c>
      <c r="D3" s="12" t="s">
        <v>227</v>
      </c>
      <c r="E3" s="12" t="s">
        <v>226</v>
      </c>
      <c r="F3" s="12" t="s">
        <v>226</v>
      </c>
      <c r="G3" s="12" t="s">
        <v>233</v>
      </c>
      <c r="H3" s="12" t="s">
        <v>233</v>
      </c>
      <c r="I3" s="12" t="s">
        <v>226</v>
      </c>
      <c r="J3" s="12" t="s">
        <v>3109</v>
      </c>
      <c r="K3" s="12" t="s">
        <v>3110</v>
      </c>
      <c r="L3" s="12" t="s">
        <v>3111</v>
      </c>
    </row>
    <row r="4" customFormat="false" ht="22.35" hidden="false" customHeight="false" outlineLevel="0" collapsed="false">
      <c r="A4" s="10" t="s">
        <v>3113</v>
      </c>
      <c r="B4" s="10" t="s">
        <v>3114</v>
      </c>
      <c r="C4" s="10" t="s">
        <v>632</v>
      </c>
      <c r="D4" s="10" t="s">
        <v>3115</v>
      </c>
      <c r="E4" s="10" t="s">
        <v>233</v>
      </c>
      <c r="F4" s="10" t="s">
        <v>233</v>
      </c>
      <c r="G4" s="10" t="s">
        <v>233</v>
      </c>
      <c r="H4" s="10" t="s">
        <v>226</v>
      </c>
      <c r="I4" s="10" t="s">
        <v>233</v>
      </c>
      <c r="J4" s="10" t="s">
        <v>3116</v>
      </c>
      <c r="K4" s="10" t="s">
        <v>3110</v>
      </c>
      <c r="L4" s="10" t="s">
        <v>3111</v>
      </c>
    </row>
    <row r="5" customFormat="false" ht="22.35" hidden="false" customHeight="false" outlineLevel="0" collapsed="false">
      <c r="A5" s="12" t="s">
        <v>3117</v>
      </c>
      <c r="B5" s="12" t="s">
        <v>3118</v>
      </c>
      <c r="C5" s="12" t="s">
        <v>632</v>
      </c>
      <c r="D5" s="12" t="s">
        <v>3119</v>
      </c>
      <c r="E5" s="12" t="s">
        <v>233</v>
      </c>
      <c r="F5" s="12" t="s">
        <v>233</v>
      </c>
      <c r="G5" s="12" t="s">
        <v>233</v>
      </c>
      <c r="H5" s="12" t="s">
        <v>226</v>
      </c>
      <c r="I5" s="12" t="s">
        <v>233</v>
      </c>
      <c r="J5" s="12" t="s">
        <v>3120</v>
      </c>
      <c r="K5" s="12" t="s">
        <v>3110</v>
      </c>
      <c r="L5" s="12" t="s">
        <v>3121</v>
      </c>
    </row>
    <row r="6" customFormat="false" ht="22.35" hidden="false" customHeight="false" outlineLevel="0" collapsed="false">
      <c r="A6" s="10" t="s">
        <v>3122</v>
      </c>
      <c r="B6" s="10" t="s">
        <v>3123</v>
      </c>
      <c r="C6" s="10" t="s">
        <v>3124</v>
      </c>
      <c r="D6" s="10" t="s">
        <v>3125</v>
      </c>
      <c r="E6" s="10" t="s">
        <v>226</v>
      </c>
      <c r="F6" s="10" t="s">
        <v>226</v>
      </c>
      <c r="G6" s="10" t="s">
        <v>233</v>
      </c>
      <c r="H6" s="10" t="s">
        <v>226</v>
      </c>
      <c r="I6" s="10" t="s">
        <v>226</v>
      </c>
      <c r="J6" s="10" t="s">
        <v>3126</v>
      </c>
      <c r="K6" s="10" t="s">
        <v>3127</v>
      </c>
      <c r="L6" s="10" t="s">
        <v>3128</v>
      </c>
    </row>
    <row r="7" customFormat="false" ht="22.35" hidden="false" customHeight="false" outlineLevel="0" collapsed="false">
      <c r="A7" s="12" t="s">
        <v>3129</v>
      </c>
      <c r="B7" s="12" t="s">
        <v>3130</v>
      </c>
      <c r="C7" s="12" t="s">
        <v>3131</v>
      </c>
      <c r="D7" s="12" t="s">
        <v>3132</v>
      </c>
      <c r="E7" s="12" t="s">
        <v>233</v>
      </c>
      <c r="F7" s="12" t="s">
        <v>226</v>
      </c>
      <c r="G7" s="12" t="s">
        <v>233</v>
      </c>
      <c r="H7" s="12" t="s">
        <v>233</v>
      </c>
      <c r="I7" s="12" t="s">
        <v>226</v>
      </c>
      <c r="J7" s="12" t="s">
        <v>3133</v>
      </c>
      <c r="K7" s="12" t="s">
        <v>3110</v>
      </c>
      <c r="L7" s="12" t="s">
        <v>3134</v>
      </c>
    </row>
    <row r="8" customFormat="false" ht="22.35" hidden="false" customHeight="false" outlineLevel="0" collapsed="false">
      <c r="A8" s="10" t="s">
        <v>3135</v>
      </c>
      <c r="B8" s="10" t="s">
        <v>3136</v>
      </c>
      <c r="C8" s="10" t="s">
        <v>3131</v>
      </c>
      <c r="D8" s="10" t="s">
        <v>3132</v>
      </c>
      <c r="E8" s="10" t="s">
        <v>233</v>
      </c>
      <c r="F8" s="10" t="s">
        <v>226</v>
      </c>
      <c r="G8" s="10" t="s">
        <v>226</v>
      </c>
      <c r="H8" s="10" t="s">
        <v>226</v>
      </c>
      <c r="I8" s="10" t="s">
        <v>226</v>
      </c>
      <c r="J8" s="10" t="s">
        <v>3137</v>
      </c>
      <c r="K8" s="10" t="s">
        <v>3138</v>
      </c>
      <c r="L8" s="10" t="s">
        <v>3139</v>
      </c>
    </row>
    <row r="9" customFormat="false" ht="15" hidden="false" customHeight="false" outlineLevel="0" collapsed="false">
      <c r="A9" s="12" t="s">
        <v>3140</v>
      </c>
      <c r="B9" s="12" t="s">
        <v>3141</v>
      </c>
      <c r="C9" s="12" t="s">
        <v>3131</v>
      </c>
      <c r="D9" s="12" t="s">
        <v>3132</v>
      </c>
      <c r="E9" s="12" t="s">
        <v>233</v>
      </c>
      <c r="F9" s="12" t="s">
        <v>233</v>
      </c>
      <c r="G9" s="12" t="s">
        <v>233</v>
      </c>
      <c r="H9" s="12" t="s">
        <v>226</v>
      </c>
      <c r="I9" s="12" t="s">
        <v>226</v>
      </c>
      <c r="J9" s="12" t="s">
        <v>3142</v>
      </c>
      <c r="K9" s="12" t="s">
        <v>3143</v>
      </c>
      <c r="L9" s="12" t="s">
        <v>2878</v>
      </c>
    </row>
    <row r="10" customFormat="false" ht="15" hidden="false" customHeight="false" outlineLevel="0" collapsed="false">
      <c r="A10" s="10" t="s">
        <v>3144</v>
      </c>
      <c r="B10" s="10" t="s">
        <v>708</v>
      </c>
      <c r="C10" s="10" t="s">
        <v>3145</v>
      </c>
      <c r="D10" s="10" t="s">
        <v>3146</v>
      </c>
      <c r="E10" s="10" t="s">
        <v>226</v>
      </c>
      <c r="F10" s="10" t="s">
        <v>226</v>
      </c>
      <c r="G10" s="10" t="s">
        <v>233</v>
      </c>
      <c r="H10" s="10" t="s">
        <v>226</v>
      </c>
      <c r="I10" s="10" t="s">
        <v>226</v>
      </c>
      <c r="J10" s="10" t="s">
        <v>3147</v>
      </c>
      <c r="K10" s="10" t="s">
        <v>3143</v>
      </c>
      <c r="L10" s="10" t="s">
        <v>3148</v>
      </c>
    </row>
    <row r="11" customFormat="false" ht="15" hidden="false" customHeight="false" outlineLevel="0" collapsed="false">
      <c r="A11" s="12" t="s">
        <v>3149</v>
      </c>
      <c r="B11" s="12" t="s">
        <v>3150</v>
      </c>
      <c r="C11" s="12" t="s">
        <v>3151</v>
      </c>
      <c r="D11" s="12" t="s">
        <v>3152</v>
      </c>
      <c r="E11" s="12" t="s">
        <v>3153</v>
      </c>
      <c r="F11" s="12" t="s">
        <v>226</v>
      </c>
      <c r="G11" s="12" t="s">
        <v>3153</v>
      </c>
      <c r="H11" s="12" t="s">
        <v>226</v>
      </c>
      <c r="I11" s="12" t="s">
        <v>226</v>
      </c>
      <c r="J11" s="12" t="s">
        <v>332</v>
      </c>
      <c r="K11" s="12" t="s">
        <v>3154</v>
      </c>
      <c r="L11" s="12"/>
    </row>
    <row r="13" customFormat="false" ht="27.75" hidden="false" customHeight="true" outlineLevel="0" collapsed="false">
      <c r="A13" s="14" t="s">
        <v>3155</v>
      </c>
      <c r="B13" s="14"/>
      <c r="C13" s="14"/>
      <c r="D13" s="14"/>
      <c r="E13" s="14"/>
      <c r="F13" s="14"/>
      <c r="G13" s="14"/>
      <c r="H13" s="14"/>
      <c r="I13" s="14"/>
      <c r="J13" s="14"/>
    </row>
  </sheetData>
  <mergeCells count="1">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1"/>
    <col collapsed="false" customWidth="true" hidden="false" outlineLevel="0" max="5" min="4" style="0" width="14"/>
    <col collapsed="false" customWidth="true" hidden="false" outlineLevel="0" max="6" min="6" style="0" width="24"/>
    <col collapsed="false" customWidth="true" hidden="false" outlineLevel="0" max="7" min="7" style="0" width="28"/>
    <col collapsed="false" customWidth="true" hidden="false" outlineLevel="0" max="8" min="8" style="0" width="64"/>
    <col collapsed="false" customWidth="true" hidden="false" outlineLevel="0" max="9" min="9" style="0" width="12"/>
  </cols>
  <sheetData>
    <row r="1" customFormat="false" ht="30" hidden="false" customHeight="true" outlineLevel="0" collapsed="false">
      <c r="A1" s="8" t="s">
        <v>3156</v>
      </c>
      <c r="B1" s="8" t="s">
        <v>3157</v>
      </c>
      <c r="C1" s="8" t="s">
        <v>609</v>
      </c>
      <c r="D1" s="8" t="s">
        <v>3158</v>
      </c>
      <c r="E1" s="8" t="s">
        <v>3159</v>
      </c>
      <c r="F1" s="8" t="s">
        <v>3160</v>
      </c>
      <c r="G1" s="8" t="s">
        <v>3161</v>
      </c>
      <c r="H1" s="8" t="s">
        <v>45</v>
      </c>
      <c r="I1" s="8" t="s">
        <v>40</v>
      </c>
    </row>
    <row r="2" customFormat="false" ht="32.8" hidden="false" customHeight="false" outlineLevel="0" collapsed="false">
      <c r="A2" s="10" t="s">
        <v>3162</v>
      </c>
      <c r="B2" s="10" t="s">
        <v>3163</v>
      </c>
      <c r="C2" s="10" t="s">
        <v>1062</v>
      </c>
      <c r="D2" s="10" t="s">
        <v>1061</v>
      </c>
      <c r="E2" s="10" t="s">
        <v>3107</v>
      </c>
      <c r="F2" s="10" t="s">
        <v>254</v>
      </c>
      <c r="G2" s="10" t="s">
        <v>3164</v>
      </c>
      <c r="H2" s="10" t="s">
        <v>3165</v>
      </c>
      <c r="I2" s="10" t="s">
        <v>3111</v>
      </c>
    </row>
    <row r="3" customFormat="false" ht="22.35" hidden="false" customHeight="false" outlineLevel="0" collapsed="false">
      <c r="A3" s="12" t="s">
        <v>3166</v>
      </c>
      <c r="B3" s="12" t="s">
        <v>3167</v>
      </c>
      <c r="C3" s="12" t="s">
        <v>688</v>
      </c>
      <c r="D3" s="12" t="s">
        <v>687</v>
      </c>
      <c r="E3" s="12" t="s">
        <v>3113</v>
      </c>
      <c r="F3" s="12" t="s">
        <v>3168</v>
      </c>
      <c r="G3" s="12" t="s">
        <v>3169</v>
      </c>
      <c r="H3" s="12" t="s">
        <v>3170</v>
      </c>
      <c r="I3" s="12" t="s">
        <v>3111</v>
      </c>
    </row>
    <row r="4" customFormat="false" ht="22.35" hidden="false" customHeight="false" outlineLevel="0" collapsed="false">
      <c r="A4" s="10" t="s">
        <v>3171</v>
      </c>
      <c r="B4" s="10" t="s">
        <v>3172</v>
      </c>
      <c r="C4" s="10" t="s">
        <v>760</v>
      </c>
      <c r="D4" s="10" t="s">
        <v>759</v>
      </c>
      <c r="E4" s="10" t="s">
        <v>3122</v>
      </c>
      <c r="F4" s="10" t="s">
        <v>3173</v>
      </c>
      <c r="G4" s="10" t="s">
        <v>3174</v>
      </c>
      <c r="H4" s="10" t="s">
        <v>3175</v>
      </c>
      <c r="I4" s="10" t="s">
        <v>3176</v>
      </c>
    </row>
    <row r="5" customFormat="false" ht="22.35" hidden="false" customHeight="false" outlineLevel="0" collapsed="false">
      <c r="A5" s="12" t="s">
        <v>3177</v>
      </c>
      <c r="B5" s="12" t="s">
        <v>3178</v>
      </c>
      <c r="C5" s="12" t="s">
        <v>786</v>
      </c>
      <c r="D5" s="12" t="s">
        <v>785</v>
      </c>
      <c r="E5" s="12" t="s">
        <v>3122</v>
      </c>
      <c r="F5" s="12" t="s">
        <v>3173</v>
      </c>
      <c r="G5" s="12" t="s">
        <v>3179</v>
      </c>
      <c r="H5" s="12" t="s">
        <v>3180</v>
      </c>
      <c r="I5" s="12" t="s">
        <v>3060</v>
      </c>
    </row>
    <row r="6" customFormat="false" ht="22.35" hidden="false" customHeight="false" outlineLevel="0" collapsed="false">
      <c r="A6" s="10" t="s">
        <v>3181</v>
      </c>
      <c r="B6" s="10" t="s">
        <v>3182</v>
      </c>
      <c r="C6" s="10" t="s">
        <v>665</v>
      </c>
      <c r="D6" s="10" t="s">
        <v>664</v>
      </c>
      <c r="E6" s="10" t="s">
        <v>3129</v>
      </c>
      <c r="F6" s="10" t="s">
        <v>3132</v>
      </c>
      <c r="G6" s="10" t="s">
        <v>3183</v>
      </c>
      <c r="H6" s="10" t="s">
        <v>3184</v>
      </c>
      <c r="I6" s="10" t="s">
        <v>1334</v>
      </c>
    </row>
    <row r="7" customFormat="false" ht="22.35" hidden="false" customHeight="false" outlineLevel="0" collapsed="false">
      <c r="A7" s="12" t="s">
        <v>3185</v>
      </c>
      <c r="B7" s="12" t="s">
        <v>3186</v>
      </c>
      <c r="C7" s="12" t="s">
        <v>679</v>
      </c>
      <c r="D7" s="12" t="s">
        <v>678</v>
      </c>
      <c r="E7" s="12" t="s">
        <v>3129</v>
      </c>
      <c r="F7" s="12" t="s">
        <v>186</v>
      </c>
      <c r="G7" s="12" t="s">
        <v>3187</v>
      </c>
      <c r="H7" s="12" t="s">
        <v>3188</v>
      </c>
      <c r="I7" s="12" t="s">
        <v>1396</v>
      </c>
    </row>
    <row r="8" customFormat="false" ht="22.35" hidden="false" customHeight="false" outlineLevel="0" collapsed="false">
      <c r="A8" s="10" t="s">
        <v>3189</v>
      </c>
      <c r="B8" s="10" t="s">
        <v>3190</v>
      </c>
      <c r="C8" s="10" t="s">
        <v>711</v>
      </c>
      <c r="D8" s="10" t="s">
        <v>710</v>
      </c>
      <c r="E8" s="10" t="s">
        <v>3135</v>
      </c>
      <c r="F8" s="10" t="s">
        <v>3132</v>
      </c>
      <c r="G8" s="10" t="s">
        <v>3191</v>
      </c>
      <c r="H8" s="10" t="s">
        <v>3192</v>
      </c>
      <c r="I8" s="10" t="s">
        <v>2808</v>
      </c>
    </row>
    <row r="9" customFormat="false" ht="22.35" hidden="false" customHeight="false" outlineLevel="0" collapsed="false">
      <c r="A9" s="12" t="s">
        <v>3193</v>
      </c>
      <c r="B9" s="12" t="s">
        <v>3194</v>
      </c>
      <c r="C9" s="12" t="s">
        <v>640</v>
      </c>
      <c r="D9" s="12" t="s">
        <v>639</v>
      </c>
      <c r="E9" s="12" t="s">
        <v>3140</v>
      </c>
      <c r="F9" s="12" t="s">
        <v>3132</v>
      </c>
      <c r="G9" s="12" t="s">
        <v>3195</v>
      </c>
      <c r="H9" s="12" t="s">
        <v>3196</v>
      </c>
      <c r="I9" s="12" t="s">
        <v>2878</v>
      </c>
    </row>
    <row r="10" customFormat="false" ht="22.35" hidden="false" customHeight="false" outlineLevel="0" collapsed="false">
      <c r="A10" s="10" t="s">
        <v>3197</v>
      </c>
      <c r="B10" s="10" t="s">
        <v>3198</v>
      </c>
      <c r="C10" s="10" t="s">
        <v>703</v>
      </c>
      <c r="D10" s="10" t="s">
        <v>702</v>
      </c>
      <c r="E10" s="10" t="s">
        <v>3144</v>
      </c>
      <c r="F10" s="10" t="s">
        <v>3146</v>
      </c>
      <c r="G10" s="10" t="s">
        <v>3199</v>
      </c>
      <c r="H10" s="10" t="s">
        <v>3200</v>
      </c>
      <c r="I10" s="10" t="s">
        <v>3148</v>
      </c>
    </row>
    <row r="11" customFormat="false" ht="22.35" hidden="false" customHeight="false" outlineLevel="0" collapsed="false">
      <c r="A11" s="12" t="s">
        <v>3201</v>
      </c>
      <c r="B11" s="12" t="s">
        <v>3202</v>
      </c>
      <c r="C11" s="12" t="s">
        <v>766</v>
      </c>
      <c r="D11" s="12" t="s">
        <v>580</v>
      </c>
      <c r="E11" s="12" t="s">
        <v>3149</v>
      </c>
      <c r="F11" s="12" t="s">
        <v>3151</v>
      </c>
      <c r="G11" s="12" t="s">
        <v>3203</v>
      </c>
      <c r="H11" s="12" t="s">
        <v>3204</v>
      </c>
      <c r="I11" s="12" t="s">
        <v>3176</v>
      </c>
    </row>
    <row r="13" customFormat="false" ht="27.75" hidden="false" customHeight="true" outlineLevel="0" collapsed="false">
      <c r="A13" s="14" t="s">
        <v>3205</v>
      </c>
      <c r="B13" s="14"/>
      <c r="C13" s="14"/>
      <c r="D13" s="14"/>
      <c r="E13" s="14"/>
      <c r="F13" s="14"/>
      <c r="G13" s="14"/>
      <c r="H13" s="14"/>
      <c r="I13" s="14"/>
    </row>
  </sheetData>
  <mergeCells count="1">
    <mergeCell ref="A13:I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30"/>
    <col collapsed="false" customWidth="true" hidden="false" outlineLevel="0" max="4" min="4" style="0" width="13"/>
    <col collapsed="false" customWidth="true" hidden="false" outlineLevel="0" max="6" min="5" style="0" width="12"/>
    <col collapsed="false" customWidth="true" hidden="false" outlineLevel="0" max="7" min="7" style="0" width="19"/>
    <col collapsed="false" customWidth="true" hidden="false" outlineLevel="0" max="8" min="8" style="0" width="16"/>
    <col collapsed="false" customWidth="true" hidden="false" outlineLevel="0" max="9" min="9" style="0" width="18"/>
    <col collapsed="false" customWidth="true" hidden="false" outlineLevel="0" max="10" min="10" style="0" width="11"/>
    <col collapsed="false" customWidth="true" hidden="false" outlineLevel="0" max="11" min="11" style="0" width="16"/>
    <col collapsed="false" customWidth="true" hidden="false" outlineLevel="0" max="12" min="12" style="0" width="22"/>
    <col collapsed="false" customWidth="true" hidden="false" outlineLevel="0" max="13" min="13" style="0" width="40"/>
    <col collapsed="false" customWidth="true" hidden="false" outlineLevel="0" max="14" min="14" style="0" width="12"/>
  </cols>
  <sheetData>
    <row r="1" customFormat="false" ht="30" hidden="false" customHeight="true" outlineLevel="0" collapsed="false">
      <c r="A1" s="8" t="s">
        <v>3206</v>
      </c>
      <c r="B1" s="8" t="s">
        <v>3207</v>
      </c>
      <c r="C1" s="8" t="s">
        <v>3208</v>
      </c>
      <c r="D1" s="8" t="s">
        <v>3209</v>
      </c>
      <c r="E1" s="8" t="s">
        <v>3210</v>
      </c>
      <c r="F1" s="8" t="s">
        <v>3211</v>
      </c>
      <c r="G1" s="8" t="s">
        <v>3212</v>
      </c>
      <c r="H1" s="8" t="s">
        <v>3213</v>
      </c>
      <c r="I1" s="8" t="s">
        <v>3214</v>
      </c>
      <c r="J1" s="8" t="s">
        <v>3215</v>
      </c>
      <c r="K1" s="8" t="s">
        <v>3216</v>
      </c>
      <c r="L1" s="8" t="s">
        <v>3217</v>
      </c>
      <c r="M1" s="8" t="s">
        <v>3218</v>
      </c>
      <c r="N1" s="8" t="s">
        <v>40</v>
      </c>
    </row>
    <row r="2" customFormat="false" ht="15" hidden="false" customHeight="false" outlineLevel="0" collapsed="false">
      <c r="A2" s="10" t="s">
        <v>898</v>
      </c>
      <c r="B2" s="10" t="s">
        <v>3219</v>
      </c>
      <c r="C2" s="10" t="s">
        <v>3220</v>
      </c>
      <c r="D2" s="10" t="s">
        <v>227</v>
      </c>
      <c r="E2" s="10" t="s">
        <v>878</v>
      </c>
      <c r="F2" s="10" t="s">
        <v>3221</v>
      </c>
      <c r="G2" s="10" t="s">
        <v>3222</v>
      </c>
      <c r="H2" s="10" t="s">
        <v>3223</v>
      </c>
      <c r="I2" s="10" t="s">
        <v>3224</v>
      </c>
      <c r="J2" s="10" t="n">
        <v>4</v>
      </c>
      <c r="K2" s="10" t="s">
        <v>3225</v>
      </c>
      <c r="L2" s="10" t="s">
        <v>3226</v>
      </c>
      <c r="M2" s="10" t="s">
        <v>3227</v>
      </c>
      <c r="N2" s="10" t="s">
        <v>425</v>
      </c>
    </row>
    <row r="3" customFormat="false" ht="15" hidden="false" customHeight="false" outlineLevel="0" collapsed="false">
      <c r="A3" s="12" t="s">
        <v>879</v>
      </c>
      <c r="B3" s="12" t="s">
        <v>3228</v>
      </c>
      <c r="C3" s="12" t="s">
        <v>417</v>
      </c>
      <c r="D3" s="12" t="s">
        <v>227</v>
      </c>
      <c r="E3" s="12" t="s">
        <v>3229</v>
      </c>
      <c r="F3" s="12" t="s">
        <v>2427</v>
      </c>
      <c r="G3" s="12" t="s">
        <v>3230</v>
      </c>
      <c r="H3" s="12" t="s">
        <v>3231</v>
      </c>
      <c r="I3" s="12" t="s">
        <v>3232</v>
      </c>
      <c r="J3" s="12" t="n">
        <v>2</v>
      </c>
      <c r="K3" s="12" t="s">
        <v>416</v>
      </c>
      <c r="L3" s="12" t="s">
        <v>3226</v>
      </c>
      <c r="M3" s="12" t="s">
        <v>3233</v>
      </c>
      <c r="N3" s="12" t="s">
        <v>420</v>
      </c>
    </row>
    <row r="4" customFormat="false" ht="15" hidden="false" customHeight="false" outlineLevel="0" collapsed="false">
      <c r="A4" s="10" t="s">
        <v>997</v>
      </c>
      <c r="B4" s="10" t="s">
        <v>3234</v>
      </c>
      <c r="C4" s="10" t="s">
        <v>417</v>
      </c>
      <c r="D4" s="10" t="s">
        <v>234</v>
      </c>
      <c r="E4" s="10" t="s">
        <v>507</v>
      </c>
      <c r="F4" s="10" t="s">
        <v>1313</v>
      </c>
      <c r="G4" s="10" t="s">
        <v>3235</v>
      </c>
      <c r="H4" s="10" t="s">
        <v>3236</v>
      </c>
      <c r="I4" s="10" t="s">
        <v>3237</v>
      </c>
      <c r="J4" s="10" t="n">
        <v>1</v>
      </c>
      <c r="K4" s="10" t="s">
        <v>416</v>
      </c>
      <c r="L4" s="10" t="s">
        <v>3226</v>
      </c>
      <c r="M4" s="10" t="s">
        <v>3233</v>
      </c>
      <c r="N4" s="10" t="s">
        <v>420</v>
      </c>
    </row>
    <row r="5" customFormat="false" ht="22.35" hidden="false" customHeight="false" outlineLevel="0" collapsed="false">
      <c r="A5" s="12" t="s">
        <v>1049</v>
      </c>
      <c r="B5" s="12" t="s">
        <v>3238</v>
      </c>
      <c r="C5" s="12" t="s">
        <v>3220</v>
      </c>
      <c r="D5" s="12" t="s">
        <v>244</v>
      </c>
      <c r="E5" s="12" t="s">
        <v>3239</v>
      </c>
      <c r="F5" s="12" t="s">
        <v>1394</v>
      </c>
      <c r="G5" s="12" t="s">
        <v>3240</v>
      </c>
      <c r="H5" s="12" t="s">
        <v>3241</v>
      </c>
      <c r="I5" s="12" t="s">
        <v>3242</v>
      </c>
      <c r="J5" s="12" t="n">
        <v>1</v>
      </c>
      <c r="K5" s="12" t="s">
        <v>426</v>
      </c>
      <c r="L5" s="12" t="s">
        <v>3226</v>
      </c>
      <c r="M5" s="12" t="s">
        <v>3243</v>
      </c>
      <c r="N5" s="12" t="s">
        <v>428</v>
      </c>
    </row>
    <row r="6" customFormat="false" ht="15" hidden="false" customHeight="false" outlineLevel="0" collapsed="false">
      <c r="A6" s="10" t="s">
        <v>1111</v>
      </c>
      <c r="B6" s="10" t="s">
        <v>3244</v>
      </c>
      <c r="C6" s="10" t="s">
        <v>3220</v>
      </c>
      <c r="D6" s="10" t="s">
        <v>254</v>
      </c>
      <c r="E6" s="10" t="s">
        <v>878</v>
      </c>
      <c r="F6" s="10" t="s">
        <v>3221</v>
      </c>
      <c r="G6" s="10" t="s">
        <v>3245</v>
      </c>
      <c r="H6" s="10" t="s">
        <v>3246</v>
      </c>
      <c r="I6" s="10" t="s">
        <v>3247</v>
      </c>
      <c r="J6" s="10" t="n">
        <v>2</v>
      </c>
      <c r="K6" s="10" t="s">
        <v>3248</v>
      </c>
      <c r="L6" s="10" t="s">
        <v>3226</v>
      </c>
      <c r="M6" s="10" t="s">
        <v>3233</v>
      </c>
      <c r="N6" s="10" t="s">
        <v>3249</v>
      </c>
    </row>
    <row r="8" customFormat="false" ht="27.75" hidden="false" customHeight="true" outlineLevel="0" collapsed="false">
      <c r="A8" s="14" t="s">
        <v>3250</v>
      </c>
      <c r="B8" s="14"/>
      <c r="C8" s="14"/>
      <c r="D8" s="14"/>
      <c r="E8" s="14"/>
      <c r="F8" s="14"/>
      <c r="G8" s="14"/>
      <c r="H8" s="14"/>
      <c r="I8" s="14"/>
      <c r="J8" s="14"/>
    </row>
  </sheetData>
  <mergeCells count="1">
    <mergeCell ref="A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5"/>
    <col collapsed="false" customWidth="true" hidden="false" outlineLevel="0" max="4" min="4" style="0" width="10"/>
    <col collapsed="false" customWidth="true" hidden="false" outlineLevel="0" max="5" min="5" style="0" width="14"/>
    <col collapsed="false" customWidth="true" hidden="false" outlineLevel="0" max="6" min="6" style="0" width="15"/>
    <col collapsed="false" customWidth="true" hidden="false" outlineLevel="0" max="8" min="7" style="0" width="11"/>
    <col collapsed="false" customWidth="true" hidden="false" outlineLevel="0" max="10" min="9" style="0" width="15"/>
    <col collapsed="false" customWidth="true" hidden="false" outlineLevel="0" max="11" min="11" style="0" width="18"/>
    <col collapsed="false" customWidth="true" hidden="false" outlineLevel="0" max="12" min="12" style="0" width="54"/>
    <col collapsed="false" customWidth="true" hidden="false" outlineLevel="0" max="13" min="13" style="0" width="12"/>
  </cols>
  <sheetData>
    <row r="1" customFormat="false" ht="30" hidden="false" customHeight="true" outlineLevel="0" collapsed="false">
      <c r="A1" s="8" t="s">
        <v>3251</v>
      </c>
      <c r="B1" s="8" t="s">
        <v>617</v>
      </c>
      <c r="C1" s="8" t="s">
        <v>2433</v>
      </c>
      <c r="D1" s="8" t="s">
        <v>3252</v>
      </c>
      <c r="E1" s="8" t="s">
        <v>3253</v>
      </c>
      <c r="F1" s="8" t="s">
        <v>3254</v>
      </c>
      <c r="G1" s="8" t="s">
        <v>3255</v>
      </c>
      <c r="H1" s="8" t="s">
        <v>3256</v>
      </c>
      <c r="I1" s="8" t="s">
        <v>3257</v>
      </c>
      <c r="J1" s="8" t="s">
        <v>3258</v>
      </c>
      <c r="K1" s="8" t="s">
        <v>185</v>
      </c>
      <c r="L1" s="8" t="s">
        <v>3259</v>
      </c>
      <c r="M1" s="8" t="s">
        <v>40</v>
      </c>
    </row>
    <row r="2" customFormat="false" ht="15" hidden="false" customHeight="false" outlineLevel="0" collapsed="false">
      <c r="A2" s="10" t="s">
        <v>3260</v>
      </c>
      <c r="B2" s="10" t="s">
        <v>898</v>
      </c>
      <c r="C2" s="10" t="s">
        <v>2442</v>
      </c>
      <c r="D2" s="10" t="s">
        <v>227</v>
      </c>
      <c r="E2" s="10" t="n">
        <v>104</v>
      </c>
      <c r="F2" s="10" t="n">
        <v>104</v>
      </c>
      <c r="G2" s="10" t="n">
        <v>0</v>
      </c>
      <c r="H2" s="10" t="n">
        <v>700</v>
      </c>
      <c r="I2" s="10" t="n">
        <v>72800</v>
      </c>
      <c r="J2" s="10" t="n">
        <v>72800</v>
      </c>
      <c r="K2" s="10" t="s">
        <v>3261</v>
      </c>
      <c r="L2" s="10" t="s">
        <v>3262</v>
      </c>
      <c r="M2" s="10" t="s">
        <v>428</v>
      </c>
    </row>
    <row r="3" customFormat="false" ht="32.8" hidden="false" customHeight="false" outlineLevel="0" collapsed="false">
      <c r="A3" s="12" t="s">
        <v>3263</v>
      </c>
      <c r="B3" s="12" t="s">
        <v>898</v>
      </c>
      <c r="C3" s="12" t="s">
        <v>3264</v>
      </c>
      <c r="D3" s="12" t="s">
        <v>227</v>
      </c>
      <c r="E3" s="12" t="n">
        <v>56</v>
      </c>
      <c r="F3" s="12" t="n">
        <v>53</v>
      </c>
      <c r="G3" s="12" t="n">
        <v>-3</v>
      </c>
      <c r="H3" s="12" t="n">
        <v>700</v>
      </c>
      <c r="I3" s="12" t="n">
        <v>39200</v>
      </c>
      <c r="J3" s="12" t="n">
        <v>37100</v>
      </c>
      <c r="K3" s="12" t="s">
        <v>3265</v>
      </c>
      <c r="L3" s="12" t="s">
        <v>3266</v>
      </c>
      <c r="M3" s="12" t="s">
        <v>425</v>
      </c>
    </row>
    <row r="4" customFormat="false" ht="15" hidden="false" customHeight="false" outlineLevel="0" collapsed="false">
      <c r="A4" s="10" t="s">
        <v>3267</v>
      </c>
      <c r="B4" s="10" t="s">
        <v>879</v>
      </c>
      <c r="C4" s="10" t="s">
        <v>2442</v>
      </c>
      <c r="D4" s="10" t="s">
        <v>227</v>
      </c>
      <c r="E4" s="10" t="n">
        <v>52</v>
      </c>
      <c r="F4" s="10" t="n">
        <v>52</v>
      </c>
      <c r="G4" s="10" t="n">
        <v>0</v>
      </c>
      <c r="H4" s="10" t="n">
        <v>650</v>
      </c>
      <c r="I4" s="10" t="n">
        <v>33800</v>
      </c>
      <c r="J4" s="10" t="n">
        <v>33800</v>
      </c>
      <c r="K4" s="10" t="s">
        <v>3261</v>
      </c>
      <c r="L4" s="10" t="s">
        <v>3262</v>
      </c>
      <c r="M4" s="10" t="s">
        <v>420</v>
      </c>
    </row>
    <row r="5" customFormat="false" ht="15" hidden="false" customHeight="false" outlineLevel="0" collapsed="false">
      <c r="A5" s="12" t="s">
        <v>3268</v>
      </c>
      <c r="B5" s="12" t="s">
        <v>1111</v>
      </c>
      <c r="C5" s="12" t="s">
        <v>2442</v>
      </c>
      <c r="D5" s="12" t="s">
        <v>254</v>
      </c>
      <c r="E5" s="12" t="n">
        <v>51</v>
      </c>
      <c r="F5" s="12" t="n">
        <v>51</v>
      </c>
      <c r="G5" s="12" t="n">
        <v>0</v>
      </c>
      <c r="H5" s="12" t="n">
        <v>635</v>
      </c>
      <c r="I5" s="12" t="n">
        <v>32385</v>
      </c>
      <c r="J5" s="12" t="n">
        <v>32385</v>
      </c>
      <c r="K5" s="12" t="s">
        <v>3261</v>
      </c>
      <c r="L5" s="12" t="s">
        <v>3262</v>
      </c>
      <c r="M5" s="12" t="s">
        <v>428</v>
      </c>
    </row>
    <row r="7" customFormat="false" ht="27.75" hidden="false" customHeight="true" outlineLevel="0" collapsed="false">
      <c r="A7" s="14" t="s">
        <v>3269</v>
      </c>
      <c r="B7" s="14"/>
      <c r="C7" s="14"/>
      <c r="D7" s="14"/>
      <c r="E7" s="14"/>
      <c r="F7" s="14"/>
      <c r="G7" s="14"/>
      <c r="H7" s="14"/>
      <c r="I7" s="14"/>
      <c r="J7" s="14"/>
    </row>
  </sheetData>
  <mergeCells count="1">
    <mergeCell ref="A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6"/>
    <col collapsed="false" customWidth="true" hidden="false" outlineLevel="0" max="3" min="3" style="0" width="20"/>
    <col collapsed="false" customWidth="true" hidden="false" outlineLevel="0" max="4" min="4" style="0" width="46"/>
    <col collapsed="false" customWidth="true" hidden="false" outlineLevel="0" max="5" min="5" style="0" width="10"/>
    <col collapsed="false" customWidth="true" hidden="false" outlineLevel="0" max="7" min="6" style="0" width="12"/>
    <col collapsed="false" customWidth="true" hidden="false" outlineLevel="0" max="8" min="8" style="0" width="11"/>
    <col collapsed="false" customWidth="true" hidden="false" outlineLevel="0" max="9" min="9" style="0" width="14"/>
    <col collapsed="false" customWidth="true" hidden="false" outlineLevel="0" max="10" min="10" style="0" width="18"/>
    <col collapsed="false" customWidth="true" hidden="false" outlineLevel="0" max="11" min="11" style="0" width="11"/>
    <col collapsed="false" customWidth="true" hidden="false" outlineLevel="0" max="12" min="12" style="0" width="15"/>
    <col collapsed="false" customWidth="true" hidden="false" outlineLevel="0" max="13" min="13" style="0" width="44"/>
  </cols>
  <sheetData>
    <row r="1" customFormat="false" ht="30" hidden="false" customHeight="true" outlineLevel="0" collapsed="false">
      <c r="A1" s="8" t="s">
        <v>3270</v>
      </c>
      <c r="B1" s="8" t="s">
        <v>3271</v>
      </c>
      <c r="C1" s="8" t="s">
        <v>268</v>
      </c>
      <c r="D1" s="8" t="s">
        <v>3272</v>
      </c>
      <c r="E1" s="8" t="s">
        <v>3273</v>
      </c>
      <c r="F1" s="8" t="s">
        <v>3274</v>
      </c>
      <c r="G1" s="8" t="s">
        <v>3275</v>
      </c>
      <c r="H1" s="8" t="s">
        <v>3276</v>
      </c>
      <c r="I1" s="8" t="s">
        <v>3277</v>
      </c>
      <c r="J1" s="8" t="s">
        <v>3278</v>
      </c>
      <c r="K1" s="8" t="s">
        <v>3279</v>
      </c>
      <c r="L1" s="8" t="s">
        <v>3280</v>
      </c>
      <c r="M1" s="8" t="s">
        <v>40</v>
      </c>
    </row>
    <row r="2" customFormat="false" ht="15" hidden="false" customHeight="false" outlineLevel="0" collapsed="false">
      <c r="A2" s="10" t="s">
        <v>3281</v>
      </c>
      <c r="B2" s="10" t="s">
        <v>2802</v>
      </c>
      <c r="C2" s="10" t="s">
        <v>3282</v>
      </c>
      <c r="D2" s="10" t="s">
        <v>3283</v>
      </c>
      <c r="E2" s="10" t="s">
        <v>233</v>
      </c>
      <c r="F2" s="10" t="s">
        <v>233</v>
      </c>
      <c r="G2" s="10" t="s">
        <v>233</v>
      </c>
      <c r="H2" s="10" t="s">
        <v>233</v>
      </c>
      <c r="I2" s="10" t="s">
        <v>233</v>
      </c>
      <c r="J2" s="10" t="s">
        <v>3284</v>
      </c>
      <c r="K2" s="10" t="s">
        <v>233</v>
      </c>
      <c r="L2" s="10" t="s">
        <v>2801</v>
      </c>
      <c r="M2" s="10" t="s">
        <v>3285</v>
      </c>
    </row>
    <row r="3" customFormat="false" ht="15" hidden="false" customHeight="false" outlineLevel="0" collapsed="false">
      <c r="A3" s="12" t="s">
        <v>3286</v>
      </c>
      <c r="B3" s="12" t="s">
        <v>2810</v>
      </c>
      <c r="C3" s="12" t="s">
        <v>3282</v>
      </c>
      <c r="D3" s="12" t="s">
        <v>3287</v>
      </c>
      <c r="E3" s="12" t="s">
        <v>233</v>
      </c>
      <c r="F3" s="12" t="s">
        <v>233</v>
      </c>
      <c r="G3" s="12" t="s">
        <v>233</v>
      </c>
      <c r="H3" s="12" t="s">
        <v>233</v>
      </c>
      <c r="I3" s="12" t="s">
        <v>233</v>
      </c>
      <c r="J3" s="12" t="s">
        <v>3284</v>
      </c>
      <c r="K3" s="12" t="s">
        <v>233</v>
      </c>
      <c r="L3" s="12" t="s">
        <v>2809</v>
      </c>
      <c r="M3" s="12"/>
    </row>
    <row r="4" customFormat="false" ht="15" hidden="false" customHeight="false" outlineLevel="0" collapsed="false">
      <c r="A4" s="10" t="s">
        <v>3288</v>
      </c>
      <c r="B4" s="10" t="s">
        <v>2812</v>
      </c>
      <c r="C4" s="10" t="s">
        <v>3282</v>
      </c>
      <c r="D4" s="10" t="s">
        <v>3289</v>
      </c>
      <c r="E4" s="10" t="s">
        <v>233</v>
      </c>
      <c r="F4" s="10" t="s">
        <v>226</v>
      </c>
      <c r="G4" s="10" t="s">
        <v>233</v>
      </c>
      <c r="H4" s="10" t="s">
        <v>233</v>
      </c>
      <c r="I4" s="10" t="s">
        <v>226</v>
      </c>
      <c r="J4" s="10" t="s">
        <v>3284</v>
      </c>
      <c r="K4" s="10" t="s">
        <v>233</v>
      </c>
      <c r="L4" s="10" t="s">
        <v>2811</v>
      </c>
      <c r="M4" s="10"/>
    </row>
    <row r="5" customFormat="false" ht="15" hidden="false" customHeight="false" outlineLevel="0" collapsed="false">
      <c r="A5" s="12" t="s">
        <v>3290</v>
      </c>
      <c r="B5" s="12" t="s">
        <v>2817</v>
      </c>
      <c r="C5" s="12" t="s">
        <v>3282</v>
      </c>
      <c r="D5" s="12" t="s">
        <v>3291</v>
      </c>
      <c r="E5" s="12" t="s">
        <v>233</v>
      </c>
      <c r="F5" s="12" t="s">
        <v>226</v>
      </c>
      <c r="G5" s="12" t="s">
        <v>233</v>
      </c>
      <c r="H5" s="12" t="s">
        <v>233</v>
      </c>
      <c r="I5" s="12" t="s">
        <v>226</v>
      </c>
      <c r="J5" s="12" t="s">
        <v>3284</v>
      </c>
      <c r="K5" s="12" t="s">
        <v>233</v>
      </c>
      <c r="L5" s="12" t="s">
        <v>2816</v>
      </c>
      <c r="M5" s="12"/>
    </row>
    <row r="6" customFormat="false" ht="22.35" hidden="false" customHeight="false" outlineLevel="0" collapsed="false">
      <c r="A6" s="10" t="s">
        <v>3292</v>
      </c>
      <c r="B6" s="10" t="s">
        <v>2819</v>
      </c>
      <c r="C6" s="10" t="s">
        <v>3282</v>
      </c>
      <c r="D6" s="10" t="s">
        <v>3293</v>
      </c>
      <c r="E6" s="10" t="s">
        <v>233</v>
      </c>
      <c r="F6" s="10" t="s">
        <v>226</v>
      </c>
      <c r="G6" s="10" t="s">
        <v>233</v>
      </c>
      <c r="H6" s="10" t="s">
        <v>233</v>
      </c>
      <c r="I6" s="10" t="s">
        <v>226</v>
      </c>
      <c r="J6" s="10" t="s">
        <v>3284</v>
      </c>
      <c r="K6" s="10" t="s">
        <v>233</v>
      </c>
      <c r="L6" s="10" t="s">
        <v>2818</v>
      </c>
      <c r="M6" s="10" t="s">
        <v>3294</v>
      </c>
    </row>
    <row r="7" customFormat="false" ht="15" hidden="false" customHeight="false" outlineLevel="0" collapsed="false">
      <c r="A7" s="12" t="s">
        <v>3295</v>
      </c>
      <c r="B7" s="12" t="s">
        <v>3296</v>
      </c>
      <c r="C7" s="12" t="s">
        <v>3282</v>
      </c>
      <c r="D7" s="12" t="s">
        <v>3297</v>
      </c>
      <c r="E7" s="12" t="s">
        <v>233</v>
      </c>
      <c r="F7" s="12" t="s">
        <v>233</v>
      </c>
      <c r="G7" s="12" t="s">
        <v>233</v>
      </c>
      <c r="H7" s="12" t="s">
        <v>233</v>
      </c>
      <c r="I7" s="12" t="s">
        <v>233</v>
      </c>
      <c r="J7" s="12" t="s">
        <v>3298</v>
      </c>
      <c r="K7" s="12" t="s">
        <v>233</v>
      </c>
      <c r="L7" s="12" t="s">
        <v>2801</v>
      </c>
      <c r="M7" s="12" t="s">
        <v>3299</v>
      </c>
    </row>
    <row r="8" customFormat="false" ht="15" hidden="false" customHeight="false" outlineLevel="0" collapsed="false">
      <c r="A8" s="10" t="s">
        <v>3300</v>
      </c>
      <c r="B8" s="10" t="s">
        <v>3301</v>
      </c>
      <c r="C8" s="10" t="s">
        <v>3282</v>
      </c>
      <c r="D8" s="10" t="s">
        <v>3302</v>
      </c>
      <c r="E8" s="10" t="s">
        <v>233</v>
      </c>
      <c r="F8" s="10" t="s">
        <v>226</v>
      </c>
      <c r="G8" s="10" t="s">
        <v>226</v>
      </c>
      <c r="H8" s="10" t="s">
        <v>226</v>
      </c>
      <c r="I8" s="10" t="s">
        <v>226</v>
      </c>
      <c r="J8" s="10" t="s">
        <v>3303</v>
      </c>
      <c r="K8" s="10" t="s">
        <v>233</v>
      </c>
      <c r="L8" s="10" t="s">
        <v>2801</v>
      </c>
      <c r="M8" s="10" t="s">
        <v>3304</v>
      </c>
    </row>
    <row r="9" customFormat="false" ht="22.35" hidden="false" customHeight="false" outlineLevel="0" collapsed="false">
      <c r="A9" s="12" t="s">
        <v>3305</v>
      </c>
      <c r="B9" s="12" t="s">
        <v>2821</v>
      </c>
      <c r="C9" s="12" t="s">
        <v>3282</v>
      </c>
      <c r="D9" s="12" t="s">
        <v>3306</v>
      </c>
      <c r="E9" s="12" t="s">
        <v>233</v>
      </c>
      <c r="F9" s="12" t="s">
        <v>226</v>
      </c>
      <c r="G9" s="12" t="s">
        <v>233</v>
      </c>
      <c r="H9" s="12" t="s">
        <v>226</v>
      </c>
      <c r="I9" s="12" t="s">
        <v>226</v>
      </c>
      <c r="J9" s="12" t="s">
        <v>3307</v>
      </c>
      <c r="K9" s="12" t="s">
        <v>233</v>
      </c>
      <c r="L9" s="12" t="s">
        <v>2820</v>
      </c>
      <c r="M9" s="12" t="s">
        <v>3308</v>
      </c>
    </row>
    <row r="10" customFormat="false" ht="15" hidden="false" customHeight="false" outlineLevel="0" collapsed="false">
      <c r="A10" s="10" t="s">
        <v>3309</v>
      </c>
      <c r="B10" s="10" t="s">
        <v>3310</v>
      </c>
      <c r="C10" s="10" t="s">
        <v>3282</v>
      </c>
      <c r="D10" s="10" t="s">
        <v>3311</v>
      </c>
      <c r="E10" s="10" t="s">
        <v>233</v>
      </c>
      <c r="F10" s="10" t="s">
        <v>226</v>
      </c>
      <c r="G10" s="10" t="s">
        <v>226</v>
      </c>
      <c r="H10" s="10" t="s">
        <v>226</v>
      </c>
      <c r="I10" s="10" t="s">
        <v>226</v>
      </c>
      <c r="J10" s="10" t="s">
        <v>3307</v>
      </c>
      <c r="K10" s="10" t="s">
        <v>233</v>
      </c>
      <c r="L10" s="10" t="s">
        <v>2836</v>
      </c>
      <c r="M10" s="10" t="s">
        <v>3312</v>
      </c>
    </row>
    <row r="11" customFormat="false" ht="15" hidden="false" customHeight="false" outlineLevel="0" collapsed="false">
      <c r="A11" s="12" t="s">
        <v>3313</v>
      </c>
      <c r="B11" s="12" t="s">
        <v>3314</v>
      </c>
      <c r="C11" s="12" t="s">
        <v>3282</v>
      </c>
      <c r="D11" s="12" t="s">
        <v>3315</v>
      </c>
      <c r="E11" s="12" t="s">
        <v>233</v>
      </c>
      <c r="F11" s="12" t="s">
        <v>226</v>
      </c>
      <c r="G11" s="12" t="s">
        <v>226</v>
      </c>
      <c r="H11" s="12" t="s">
        <v>226</v>
      </c>
      <c r="I11" s="12" t="s">
        <v>226</v>
      </c>
      <c r="J11" s="12" t="s">
        <v>3307</v>
      </c>
      <c r="K11" s="12" t="s">
        <v>233</v>
      </c>
      <c r="L11" s="12" t="s">
        <v>2801</v>
      </c>
      <c r="M11" s="12" t="s">
        <v>1396</v>
      </c>
    </row>
    <row r="12" customFormat="false" ht="22.35" hidden="false" customHeight="false" outlineLevel="0" collapsed="false">
      <c r="A12" s="10" t="s">
        <v>3316</v>
      </c>
      <c r="B12" s="10" t="s">
        <v>3317</v>
      </c>
      <c r="C12" s="10" t="s">
        <v>3282</v>
      </c>
      <c r="D12" s="10" t="s">
        <v>3318</v>
      </c>
      <c r="E12" s="10" t="s">
        <v>3319</v>
      </c>
      <c r="F12" s="10" t="s">
        <v>226</v>
      </c>
      <c r="G12" s="10" t="s">
        <v>226</v>
      </c>
      <c r="H12" s="10" t="s">
        <v>226</v>
      </c>
      <c r="I12" s="10" t="s">
        <v>226</v>
      </c>
      <c r="J12" s="10" t="s">
        <v>3307</v>
      </c>
      <c r="K12" s="10" t="s">
        <v>233</v>
      </c>
      <c r="L12" s="10" t="s">
        <v>2832</v>
      </c>
      <c r="M12" s="10" t="s">
        <v>1396</v>
      </c>
    </row>
    <row r="13" customFormat="false" ht="15" hidden="false" customHeight="false" outlineLevel="0" collapsed="false">
      <c r="A13" s="12" t="s">
        <v>3320</v>
      </c>
      <c r="B13" s="12" t="s">
        <v>2839</v>
      </c>
      <c r="C13" s="12" t="s">
        <v>3282</v>
      </c>
      <c r="D13" s="12" t="s">
        <v>3321</v>
      </c>
      <c r="E13" s="12" t="s">
        <v>233</v>
      </c>
      <c r="F13" s="12" t="s">
        <v>226</v>
      </c>
      <c r="G13" s="12" t="s">
        <v>226</v>
      </c>
      <c r="H13" s="12" t="s">
        <v>233</v>
      </c>
      <c r="I13" s="12" t="s">
        <v>226</v>
      </c>
      <c r="J13" s="12" t="s">
        <v>3307</v>
      </c>
      <c r="K13" s="12" t="s">
        <v>233</v>
      </c>
      <c r="L13" s="12" t="s">
        <v>2838</v>
      </c>
      <c r="M13" s="12" t="s">
        <v>2583</v>
      </c>
    </row>
    <row r="14" customFormat="false" ht="15" hidden="false" customHeight="false" outlineLevel="0" collapsed="false">
      <c r="A14" s="10" t="s">
        <v>3322</v>
      </c>
      <c r="B14" s="10" t="s">
        <v>2843</v>
      </c>
      <c r="C14" s="10" t="s">
        <v>3282</v>
      </c>
      <c r="D14" s="10" t="s">
        <v>3323</v>
      </c>
      <c r="E14" s="10" t="s">
        <v>233</v>
      </c>
      <c r="F14" s="10" t="s">
        <v>226</v>
      </c>
      <c r="G14" s="10" t="s">
        <v>226</v>
      </c>
      <c r="H14" s="10" t="s">
        <v>233</v>
      </c>
      <c r="I14" s="10" t="s">
        <v>226</v>
      </c>
      <c r="J14" s="10" t="s">
        <v>3307</v>
      </c>
      <c r="K14" s="10" t="s">
        <v>233</v>
      </c>
      <c r="L14" s="10" t="s">
        <v>2842</v>
      </c>
      <c r="M14" s="10" t="s">
        <v>2597</v>
      </c>
    </row>
    <row r="15" customFormat="false" ht="15" hidden="false" customHeight="false" outlineLevel="0" collapsed="false">
      <c r="A15" s="12" t="s">
        <v>3324</v>
      </c>
      <c r="B15" s="12" t="s">
        <v>3325</v>
      </c>
      <c r="C15" s="12" t="s">
        <v>3326</v>
      </c>
      <c r="D15" s="12" t="s">
        <v>3327</v>
      </c>
      <c r="E15" s="12"/>
      <c r="F15" s="12"/>
      <c r="G15" s="12"/>
      <c r="H15" s="12"/>
      <c r="I15" s="12"/>
      <c r="J15" s="12" t="s">
        <v>3328</v>
      </c>
      <c r="K15" s="12" t="s">
        <v>233</v>
      </c>
      <c r="L15" s="12" t="s">
        <v>2849</v>
      </c>
      <c r="M15" s="12" t="s">
        <v>3329</v>
      </c>
    </row>
    <row r="16" customFormat="false" ht="15" hidden="false" customHeight="false" outlineLevel="0" collapsed="false">
      <c r="A16" s="10" t="s">
        <v>3330</v>
      </c>
      <c r="B16" s="10" t="s">
        <v>3331</v>
      </c>
      <c r="C16" s="10" t="s">
        <v>3326</v>
      </c>
      <c r="D16" s="10" t="s">
        <v>3332</v>
      </c>
      <c r="E16" s="10"/>
      <c r="F16" s="10"/>
      <c r="G16" s="10"/>
      <c r="H16" s="10"/>
      <c r="I16" s="10"/>
      <c r="J16" s="10" t="s">
        <v>3333</v>
      </c>
      <c r="K16" s="10" t="s">
        <v>233</v>
      </c>
      <c r="L16" s="10" t="s">
        <v>2853</v>
      </c>
      <c r="M16" s="10"/>
    </row>
    <row r="17" customFormat="false" ht="15" hidden="false" customHeight="false" outlineLevel="0" collapsed="false">
      <c r="A17" s="12" t="s">
        <v>3334</v>
      </c>
      <c r="B17" s="12" t="s">
        <v>3335</v>
      </c>
      <c r="C17" s="12" t="s">
        <v>3326</v>
      </c>
      <c r="D17" s="12" t="s">
        <v>3336</v>
      </c>
      <c r="E17" s="12"/>
      <c r="F17" s="12"/>
      <c r="G17" s="12"/>
      <c r="H17" s="12"/>
      <c r="I17" s="12"/>
      <c r="J17" s="12" t="s">
        <v>3307</v>
      </c>
      <c r="K17" s="12" t="s">
        <v>233</v>
      </c>
      <c r="L17" s="12" t="s">
        <v>3337</v>
      </c>
      <c r="M17" s="12" t="s">
        <v>3338</v>
      </c>
    </row>
    <row r="18" customFormat="false" ht="15" hidden="false" customHeight="false" outlineLevel="0" collapsed="false">
      <c r="A18" s="10" t="s">
        <v>3339</v>
      </c>
      <c r="B18" s="10" t="s">
        <v>3340</v>
      </c>
      <c r="C18" s="10" t="s">
        <v>3326</v>
      </c>
      <c r="D18" s="10" t="s">
        <v>3341</v>
      </c>
      <c r="E18" s="10"/>
      <c r="F18" s="10"/>
      <c r="G18" s="10"/>
      <c r="H18" s="10"/>
      <c r="I18" s="10"/>
      <c r="J18" s="10" t="s">
        <v>3307</v>
      </c>
      <c r="K18" s="10" t="s">
        <v>233</v>
      </c>
      <c r="L18" s="10" t="s">
        <v>2865</v>
      </c>
      <c r="M18" s="10"/>
    </row>
    <row r="19" customFormat="false" ht="15" hidden="false" customHeight="false" outlineLevel="0" collapsed="false">
      <c r="A19" s="12" t="s">
        <v>3342</v>
      </c>
      <c r="B19" s="12" t="s">
        <v>2521</v>
      </c>
      <c r="C19" s="12" t="s">
        <v>3326</v>
      </c>
      <c r="D19" s="12" t="s">
        <v>3343</v>
      </c>
      <c r="E19" s="12"/>
      <c r="F19" s="12"/>
      <c r="G19" s="12"/>
      <c r="H19" s="12"/>
      <c r="I19" s="12"/>
      <c r="J19" s="12" t="s">
        <v>3307</v>
      </c>
      <c r="K19" s="12" t="s">
        <v>233</v>
      </c>
      <c r="L19" s="12" t="s">
        <v>2869</v>
      </c>
      <c r="M19" s="12"/>
    </row>
    <row r="20" customFormat="false" ht="15" hidden="false" customHeight="false" outlineLevel="0" collapsed="false">
      <c r="A20" s="10" t="s">
        <v>3344</v>
      </c>
      <c r="B20" s="10" t="s">
        <v>3345</v>
      </c>
      <c r="C20" s="10" t="s">
        <v>3326</v>
      </c>
      <c r="D20" s="10" t="s">
        <v>3346</v>
      </c>
      <c r="E20" s="10"/>
      <c r="F20" s="10"/>
      <c r="G20" s="10"/>
      <c r="H20" s="10"/>
      <c r="I20" s="10"/>
      <c r="J20" s="10" t="s">
        <v>3307</v>
      </c>
      <c r="K20" s="10" t="s">
        <v>233</v>
      </c>
      <c r="L20" s="10" t="s">
        <v>2873</v>
      </c>
      <c r="M20" s="10" t="s">
        <v>3347</v>
      </c>
    </row>
    <row r="21" customFormat="false" ht="15" hidden="false" customHeight="false" outlineLevel="0" collapsed="false">
      <c r="A21" s="12" t="s">
        <v>3348</v>
      </c>
      <c r="B21" s="12" t="s">
        <v>3349</v>
      </c>
      <c r="C21" s="12" t="s">
        <v>3326</v>
      </c>
      <c r="D21" s="12" t="s">
        <v>3350</v>
      </c>
      <c r="E21" s="12"/>
      <c r="F21" s="12"/>
      <c r="G21" s="12"/>
      <c r="H21" s="12"/>
      <c r="I21" s="12"/>
      <c r="J21" s="12" t="s">
        <v>3307</v>
      </c>
      <c r="K21" s="12" t="s">
        <v>233</v>
      </c>
      <c r="L21" s="12" t="s">
        <v>2879</v>
      </c>
      <c r="M21" s="12" t="s">
        <v>2878</v>
      </c>
    </row>
    <row r="22" customFormat="false" ht="15" hidden="false" customHeight="false" outlineLevel="0" collapsed="false">
      <c r="A22" s="10" t="s">
        <v>3351</v>
      </c>
      <c r="B22" s="10" t="s">
        <v>2884</v>
      </c>
      <c r="C22" s="10" t="s">
        <v>3326</v>
      </c>
      <c r="D22" s="10" t="s">
        <v>3352</v>
      </c>
      <c r="E22" s="10"/>
      <c r="F22" s="10"/>
      <c r="G22" s="10"/>
      <c r="H22" s="10"/>
      <c r="I22" s="10"/>
      <c r="J22" s="10" t="s">
        <v>3307</v>
      </c>
      <c r="K22" s="10" t="s">
        <v>233</v>
      </c>
      <c r="L22" s="10" t="s">
        <v>2883</v>
      </c>
      <c r="M22" s="10"/>
    </row>
    <row r="23" customFormat="false" ht="15" hidden="false" customHeight="false" outlineLevel="0" collapsed="false">
      <c r="A23" s="12" t="s">
        <v>3353</v>
      </c>
      <c r="B23" s="12" t="s">
        <v>3354</v>
      </c>
      <c r="C23" s="12" t="s">
        <v>3326</v>
      </c>
      <c r="D23" s="12" t="s">
        <v>3355</v>
      </c>
      <c r="E23" s="12"/>
      <c r="F23" s="12"/>
      <c r="G23" s="12"/>
      <c r="H23" s="12"/>
      <c r="I23" s="12"/>
      <c r="J23" s="12" t="s">
        <v>3307</v>
      </c>
      <c r="K23" s="12" t="s">
        <v>233</v>
      </c>
      <c r="L23" s="12" t="s">
        <v>2883</v>
      </c>
      <c r="M23" s="12" t="s">
        <v>3356</v>
      </c>
    </row>
    <row r="24" customFormat="false" ht="15" hidden="false" customHeight="false" outlineLevel="0" collapsed="false">
      <c r="A24" s="10" t="s">
        <v>3357</v>
      </c>
      <c r="B24" s="10" t="s">
        <v>3358</v>
      </c>
      <c r="C24" s="10" t="s">
        <v>3359</v>
      </c>
      <c r="D24" s="10" t="s">
        <v>3327</v>
      </c>
      <c r="E24" s="10"/>
      <c r="F24" s="10"/>
      <c r="G24" s="10"/>
      <c r="H24" s="10"/>
      <c r="I24" s="10"/>
      <c r="J24" s="10" t="s">
        <v>3328</v>
      </c>
      <c r="K24" s="10" t="s">
        <v>226</v>
      </c>
      <c r="L24" s="10" t="s">
        <v>2825</v>
      </c>
      <c r="M24" s="10"/>
    </row>
    <row r="25" customFormat="false" ht="15" hidden="false" customHeight="false" outlineLevel="0" collapsed="false">
      <c r="A25" s="12" t="s">
        <v>3360</v>
      </c>
      <c r="B25" s="12" t="s">
        <v>3361</v>
      </c>
      <c r="C25" s="12" t="s">
        <v>3359</v>
      </c>
      <c r="D25" s="12" t="s">
        <v>3362</v>
      </c>
      <c r="E25" s="12"/>
      <c r="F25" s="12"/>
      <c r="G25" s="12"/>
      <c r="H25" s="12"/>
      <c r="I25" s="12"/>
      <c r="J25" s="12" t="s">
        <v>3333</v>
      </c>
      <c r="K25" s="12" t="s">
        <v>226</v>
      </c>
      <c r="L25" s="12" t="s">
        <v>2830</v>
      </c>
      <c r="M25" s="12"/>
    </row>
    <row r="27" customFormat="false" ht="27.75" hidden="false" customHeight="true" outlineLevel="0" collapsed="false">
      <c r="A27" s="14" t="s">
        <v>3363</v>
      </c>
      <c r="B27" s="14"/>
      <c r="C27" s="14"/>
      <c r="D27" s="14"/>
      <c r="E27" s="14"/>
      <c r="F27" s="14"/>
      <c r="G27" s="14"/>
      <c r="H27" s="14"/>
      <c r="I27" s="14"/>
      <c r="J27" s="14"/>
    </row>
  </sheetData>
  <mergeCells count="1">
    <mergeCell ref="A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4" min="3" style="0" width="16"/>
    <col collapsed="false" customWidth="true" hidden="false" outlineLevel="0" max="5" min="5" style="0" width="15"/>
    <col collapsed="false" customWidth="true" hidden="false" outlineLevel="0" max="6" min="6" style="0" width="16"/>
    <col collapsed="false" customWidth="true" hidden="false" outlineLevel="0" max="7" min="7" style="0" width="62"/>
    <col collapsed="false" customWidth="true" hidden="false" outlineLevel="0" max="8" min="8" style="0" width="20"/>
    <col collapsed="false" customWidth="true" hidden="false" outlineLevel="0" max="9" min="9" style="0" width="12"/>
  </cols>
  <sheetData>
    <row r="1" customFormat="false" ht="30" hidden="false" customHeight="true" outlineLevel="0" collapsed="false">
      <c r="A1" s="8" t="s">
        <v>3364</v>
      </c>
      <c r="B1" s="8" t="s">
        <v>206</v>
      </c>
      <c r="C1" s="8" t="s">
        <v>3365</v>
      </c>
      <c r="D1" s="8" t="s">
        <v>3366</v>
      </c>
      <c r="E1" s="8" t="s">
        <v>3367</v>
      </c>
      <c r="F1" s="8" t="s">
        <v>3368</v>
      </c>
      <c r="G1" s="8" t="s">
        <v>3369</v>
      </c>
      <c r="H1" s="8" t="s">
        <v>3370</v>
      </c>
      <c r="I1" s="8" t="s">
        <v>40</v>
      </c>
    </row>
    <row r="2" customFormat="false" ht="15" hidden="false" customHeight="false" outlineLevel="0" collapsed="false">
      <c r="A2" s="10" t="s">
        <v>223</v>
      </c>
      <c r="B2" s="10" t="s">
        <v>218</v>
      </c>
      <c r="C2" s="10" t="n">
        <v>0</v>
      </c>
      <c r="D2" s="10" t="n">
        <v>24999</v>
      </c>
      <c r="E2" s="10" t="n">
        <v>0</v>
      </c>
      <c r="F2" s="10" t="s">
        <v>402</v>
      </c>
      <c r="G2" s="10"/>
      <c r="H2" s="10" t="s">
        <v>3371</v>
      </c>
      <c r="I2" s="10" t="s">
        <v>2493</v>
      </c>
    </row>
    <row r="3" customFormat="false" ht="15" hidden="false" customHeight="false" outlineLevel="0" collapsed="false">
      <c r="A3" s="12" t="s">
        <v>223</v>
      </c>
      <c r="B3" s="12" t="s">
        <v>218</v>
      </c>
      <c r="C3" s="12" t="n">
        <v>25000</v>
      </c>
      <c r="D3" s="12"/>
      <c r="E3" s="12" t="n">
        <v>200</v>
      </c>
      <c r="F3" s="12" t="s">
        <v>402</v>
      </c>
      <c r="G3" s="12"/>
      <c r="H3" s="12" t="s">
        <v>3371</v>
      </c>
      <c r="I3" s="12" t="s">
        <v>2493</v>
      </c>
    </row>
    <row r="4" customFormat="false" ht="15" hidden="false" customHeight="false" outlineLevel="0" collapsed="false">
      <c r="A4" s="10" t="s">
        <v>241</v>
      </c>
      <c r="B4" s="10" t="s">
        <v>237</v>
      </c>
      <c r="C4" s="10" t="n">
        <v>0</v>
      </c>
      <c r="D4" s="10" t="n">
        <v>7500</v>
      </c>
      <c r="E4" s="10" t="n">
        <v>0</v>
      </c>
      <c r="F4" s="10" t="s">
        <v>402</v>
      </c>
      <c r="G4" s="10"/>
      <c r="H4" s="10" t="s">
        <v>234</v>
      </c>
      <c r="I4" s="10" t="s">
        <v>2493</v>
      </c>
    </row>
    <row r="5" customFormat="false" ht="15" hidden="false" customHeight="false" outlineLevel="0" collapsed="false">
      <c r="A5" s="12" t="s">
        <v>241</v>
      </c>
      <c r="B5" s="12" t="s">
        <v>237</v>
      </c>
      <c r="C5" s="12" t="n">
        <v>7501</v>
      </c>
      <c r="D5" s="12" t="n">
        <v>10000</v>
      </c>
      <c r="E5" s="12" t="n">
        <v>175</v>
      </c>
      <c r="F5" s="12" t="s">
        <v>402</v>
      </c>
      <c r="G5" s="12" t="s">
        <v>3372</v>
      </c>
      <c r="H5" s="12" t="s">
        <v>234</v>
      </c>
      <c r="I5" s="12" t="s">
        <v>2493</v>
      </c>
    </row>
    <row r="6" customFormat="false" ht="22.35" hidden="false" customHeight="false" outlineLevel="0" collapsed="false">
      <c r="A6" s="10" t="s">
        <v>241</v>
      </c>
      <c r="B6" s="10" t="s">
        <v>237</v>
      </c>
      <c r="C6" s="10" t="n">
        <v>10001</v>
      </c>
      <c r="D6" s="10"/>
      <c r="E6" s="10" t="n">
        <v>200</v>
      </c>
      <c r="F6" s="10" t="s">
        <v>402</v>
      </c>
      <c r="G6" s="10" t="s">
        <v>3373</v>
      </c>
      <c r="H6" s="10" t="s">
        <v>234</v>
      </c>
      <c r="I6" s="10" t="s">
        <v>2493</v>
      </c>
    </row>
    <row r="7" customFormat="false" ht="15" hidden="false" customHeight="false" outlineLevel="0" collapsed="false">
      <c r="A7" s="12" t="s">
        <v>251</v>
      </c>
      <c r="B7" s="12" t="s">
        <v>247</v>
      </c>
      <c r="C7" s="12" t="n">
        <v>0</v>
      </c>
      <c r="D7" s="12" t="n">
        <v>15000</v>
      </c>
      <c r="E7" s="12" t="n">
        <v>0</v>
      </c>
      <c r="F7" s="12" t="s">
        <v>402</v>
      </c>
      <c r="G7" s="12"/>
      <c r="H7" s="12" t="s">
        <v>244</v>
      </c>
      <c r="I7" s="12" t="s">
        <v>2493</v>
      </c>
    </row>
    <row r="8" customFormat="false" ht="15" hidden="false" customHeight="false" outlineLevel="0" collapsed="false">
      <c r="A8" s="10" t="s">
        <v>251</v>
      </c>
      <c r="B8" s="10" t="s">
        <v>247</v>
      </c>
      <c r="C8" s="10" t="n">
        <v>15001</v>
      </c>
      <c r="D8" s="10" t="n">
        <v>20000</v>
      </c>
      <c r="E8" s="10" t="n">
        <v>150</v>
      </c>
      <c r="F8" s="10" t="s">
        <v>402</v>
      </c>
      <c r="G8" s="10"/>
      <c r="H8" s="10" t="s">
        <v>244</v>
      </c>
      <c r="I8" s="10" t="s">
        <v>2493</v>
      </c>
    </row>
    <row r="9" customFormat="false" ht="15" hidden="false" customHeight="false" outlineLevel="0" collapsed="false">
      <c r="A9" s="12" t="s">
        <v>251</v>
      </c>
      <c r="B9" s="12" t="s">
        <v>247</v>
      </c>
      <c r="C9" s="12" t="n">
        <v>20001</v>
      </c>
      <c r="D9" s="12"/>
      <c r="E9" s="12" t="n">
        <v>200</v>
      </c>
      <c r="F9" s="12" t="s">
        <v>402</v>
      </c>
      <c r="G9" s="12"/>
      <c r="H9" s="12" t="s">
        <v>244</v>
      </c>
      <c r="I9" s="12" t="s">
        <v>2493</v>
      </c>
    </row>
    <row r="10" customFormat="false" ht="32.8" hidden="false" customHeight="false" outlineLevel="0" collapsed="false">
      <c r="A10" s="10" t="s">
        <v>261</v>
      </c>
      <c r="B10" s="10" t="s">
        <v>257</v>
      </c>
      <c r="C10" s="10" t="n">
        <v>0</v>
      </c>
      <c r="D10" s="10"/>
      <c r="E10" s="10"/>
      <c r="F10" s="10" t="s">
        <v>3374</v>
      </c>
      <c r="G10" s="10" t="s">
        <v>3375</v>
      </c>
      <c r="H10" s="10" t="s">
        <v>254</v>
      </c>
      <c r="I10" s="10" t="s">
        <v>2493</v>
      </c>
    </row>
    <row r="12" customFormat="false" ht="27.75" hidden="false" customHeight="true" outlineLevel="0" collapsed="false">
      <c r="A12" s="14" t="s">
        <v>3376</v>
      </c>
      <c r="B12" s="14"/>
      <c r="C12" s="14"/>
      <c r="D12" s="14"/>
      <c r="E12" s="14"/>
      <c r="F12" s="14"/>
      <c r="G12" s="14"/>
      <c r="H12" s="14"/>
      <c r="I12" s="14"/>
    </row>
  </sheetData>
  <mergeCells count="1">
    <mergeCell ref="A12: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20"/>
    <col collapsed="false" customWidth="true" hidden="false" outlineLevel="0" max="4" min="4" style="0" width="14"/>
    <col collapsed="false" customWidth="true" hidden="false" outlineLevel="0" max="5" min="5" style="0" width="9"/>
    <col collapsed="false" customWidth="true" hidden="false" outlineLevel="0" max="6" min="6" style="0" width="10"/>
    <col collapsed="false" customWidth="true" hidden="false" outlineLevel="0" max="9" min="7" style="0" width="11"/>
    <col collapsed="false" customWidth="true" hidden="false" outlineLevel="0" max="10" min="10" style="0" width="13"/>
    <col collapsed="false" customWidth="true" hidden="false" outlineLevel="0" max="11" min="11" style="0" width="46"/>
    <col collapsed="false" customWidth="true" hidden="false" outlineLevel="0" max="12" min="12" style="0" width="24"/>
    <col collapsed="false" customWidth="true" hidden="false" outlineLevel="0" max="13" min="13" style="0" width="70"/>
  </cols>
  <sheetData>
    <row r="1" customFormat="false" ht="30" hidden="false" customHeight="true" outlineLevel="0" collapsed="false">
      <c r="A1" s="8" t="s">
        <v>3377</v>
      </c>
      <c r="B1" s="8" t="s">
        <v>608</v>
      </c>
      <c r="C1" s="8" t="s">
        <v>1183</v>
      </c>
      <c r="D1" s="8" t="s">
        <v>1483</v>
      </c>
      <c r="E1" s="8" t="s">
        <v>3378</v>
      </c>
      <c r="F1" s="8" t="s">
        <v>3379</v>
      </c>
      <c r="G1" s="8" t="s">
        <v>3380</v>
      </c>
      <c r="H1" s="8" t="s">
        <v>3381</v>
      </c>
      <c r="I1" s="8" t="s">
        <v>3382</v>
      </c>
      <c r="J1" s="8" t="s">
        <v>3383</v>
      </c>
      <c r="K1" s="8" t="s">
        <v>3384</v>
      </c>
      <c r="L1" s="8" t="s">
        <v>3385</v>
      </c>
      <c r="M1" s="8" t="s">
        <v>40</v>
      </c>
    </row>
    <row r="2" customFormat="false" ht="22.35" hidden="false" customHeight="false" outlineLevel="0" collapsed="false">
      <c r="A2" s="10" t="s">
        <v>3386</v>
      </c>
      <c r="B2" s="10" t="s">
        <v>580</v>
      </c>
      <c r="C2" s="10" t="s">
        <v>766</v>
      </c>
      <c r="D2" s="10" t="s">
        <v>1524</v>
      </c>
      <c r="E2" s="10" t="n">
        <v>1</v>
      </c>
      <c r="F2" s="10" t="n">
        <v>1</v>
      </c>
      <c r="G2" s="10" t="s">
        <v>1526</v>
      </c>
      <c r="H2" s="10" t="s">
        <v>1528</v>
      </c>
      <c r="I2" s="10" t="n">
        <v>45</v>
      </c>
      <c r="J2" s="10" t="s">
        <v>3387</v>
      </c>
      <c r="K2" s="10" t="s">
        <v>3388</v>
      </c>
      <c r="L2" s="10" t="s">
        <v>226</v>
      </c>
      <c r="M2" s="10" t="s">
        <v>3389</v>
      </c>
    </row>
    <row r="3" customFormat="false" ht="22.35" hidden="false" customHeight="false" outlineLevel="0" collapsed="false">
      <c r="A3" s="12" t="s">
        <v>3390</v>
      </c>
      <c r="B3" s="12" t="s">
        <v>583</v>
      </c>
      <c r="C3" s="12" t="s">
        <v>805</v>
      </c>
      <c r="D3" s="12" t="s">
        <v>1511</v>
      </c>
      <c r="E3" s="12" t="n">
        <v>1</v>
      </c>
      <c r="F3" s="12" t="n">
        <v>1</v>
      </c>
      <c r="G3" s="12" t="s">
        <v>1654</v>
      </c>
      <c r="H3" s="12" t="s">
        <v>1656</v>
      </c>
      <c r="I3" s="12" t="n">
        <v>120</v>
      </c>
      <c r="J3" s="12" t="s">
        <v>3391</v>
      </c>
      <c r="K3" s="12" t="s">
        <v>3392</v>
      </c>
      <c r="L3" s="12" t="s">
        <v>3393</v>
      </c>
      <c r="M3" s="12" t="s">
        <v>2324</v>
      </c>
    </row>
    <row r="4" customFormat="false" ht="22.35" hidden="false" customHeight="false" outlineLevel="0" collapsed="false">
      <c r="A4" s="10" t="s">
        <v>3394</v>
      </c>
      <c r="B4" s="10" t="s">
        <v>583</v>
      </c>
      <c r="C4" s="10" t="s">
        <v>805</v>
      </c>
      <c r="D4" s="10" t="s">
        <v>1459</v>
      </c>
      <c r="E4" s="10" t="n">
        <v>1</v>
      </c>
      <c r="F4" s="10" t="n">
        <v>1</v>
      </c>
      <c r="G4" s="10" t="s">
        <v>490</v>
      </c>
      <c r="H4" s="10" t="s">
        <v>1672</v>
      </c>
      <c r="I4" s="10" t="n">
        <v>120</v>
      </c>
      <c r="J4" s="10" t="s">
        <v>3391</v>
      </c>
      <c r="K4" s="10" t="s">
        <v>3395</v>
      </c>
      <c r="L4" s="10" t="s">
        <v>3393</v>
      </c>
      <c r="M4" s="10" t="s">
        <v>2324</v>
      </c>
    </row>
    <row r="5" customFormat="false" ht="22.35" hidden="false" customHeight="false" outlineLevel="0" collapsed="false">
      <c r="A5" s="12" t="s">
        <v>3396</v>
      </c>
      <c r="B5" s="12" t="s">
        <v>580</v>
      </c>
      <c r="C5" s="12" t="s">
        <v>766</v>
      </c>
      <c r="D5" s="12" t="s">
        <v>1151</v>
      </c>
      <c r="E5" s="12" t="n">
        <v>1</v>
      </c>
      <c r="F5" s="12"/>
      <c r="G5" s="12"/>
      <c r="H5" s="12"/>
      <c r="I5" s="12" t="n">
        <v>60</v>
      </c>
      <c r="J5" s="12" t="s">
        <v>3397</v>
      </c>
      <c r="K5" s="12" t="s">
        <v>3398</v>
      </c>
      <c r="L5" s="12" t="s">
        <v>226</v>
      </c>
      <c r="M5" s="12" t="s">
        <v>3399</v>
      </c>
    </row>
    <row r="7" customFormat="false" ht="27.75" hidden="false" customHeight="true" outlineLevel="0" collapsed="false">
      <c r="A7" s="14" t="s">
        <v>3400</v>
      </c>
      <c r="B7" s="14"/>
      <c r="C7" s="14"/>
      <c r="D7" s="14"/>
      <c r="E7" s="14"/>
      <c r="F7" s="14"/>
      <c r="G7" s="14"/>
      <c r="H7" s="14"/>
      <c r="I7" s="14"/>
      <c r="J7" s="14"/>
    </row>
  </sheetData>
  <mergeCells count="1">
    <mergeCell ref="A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20"/>
    <col collapsed="false" customWidth="true" hidden="false" outlineLevel="0" max="5" min="4" style="0" width="14"/>
    <col collapsed="false" customWidth="true" hidden="false" outlineLevel="0" max="6" min="6" style="0" width="15"/>
    <col collapsed="false" customWidth="true" hidden="false" outlineLevel="0" max="7" min="7" style="0" width="44"/>
    <col collapsed="false" customWidth="true" hidden="false" outlineLevel="0" max="8" min="8" style="0" width="34"/>
    <col collapsed="false" customWidth="true" hidden="false" outlineLevel="0" max="11" min="9" style="0" width="11"/>
    <col collapsed="false" customWidth="true" hidden="false" outlineLevel="0" max="12" min="12" style="0" width="20"/>
    <col collapsed="false" customWidth="true" hidden="false" outlineLevel="0" max="13" min="13" style="0" width="66"/>
    <col collapsed="false" customWidth="true" hidden="false" outlineLevel="0" max="14" min="14" style="0" width="12"/>
  </cols>
  <sheetData>
    <row r="1" customFormat="false" ht="30" hidden="false" customHeight="true" outlineLevel="0" collapsed="false">
      <c r="A1" s="8" t="s">
        <v>3401</v>
      </c>
      <c r="B1" s="8" t="s">
        <v>608</v>
      </c>
      <c r="C1" s="8" t="s">
        <v>1183</v>
      </c>
      <c r="D1" s="8" t="s">
        <v>1483</v>
      </c>
      <c r="E1" s="8" t="s">
        <v>3402</v>
      </c>
      <c r="F1" s="8" t="s">
        <v>3403</v>
      </c>
      <c r="G1" s="8" t="s">
        <v>1471</v>
      </c>
      <c r="H1" s="8" t="s">
        <v>2486</v>
      </c>
      <c r="I1" s="8" t="s">
        <v>2943</v>
      </c>
      <c r="J1" s="8" t="s">
        <v>3404</v>
      </c>
      <c r="K1" s="8" t="s">
        <v>2318</v>
      </c>
      <c r="L1" s="8" t="s">
        <v>3405</v>
      </c>
      <c r="M1" s="8" t="s">
        <v>3406</v>
      </c>
      <c r="N1" s="8" t="s">
        <v>40</v>
      </c>
    </row>
    <row r="2" customFormat="false" ht="15" hidden="false" customHeight="false" outlineLevel="0" collapsed="false">
      <c r="A2" s="10" t="s">
        <v>3407</v>
      </c>
      <c r="B2" s="10" t="s">
        <v>797</v>
      </c>
      <c r="C2" s="10" t="s">
        <v>798</v>
      </c>
      <c r="D2" s="10" t="s">
        <v>1377</v>
      </c>
      <c r="E2" s="10" t="s">
        <v>3408</v>
      </c>
      <c r="F2" s="10" t="s">
        <v>3072</v>
      </c>
      <c r="G2" s="10" t="s">
        <v>3409</v>
      </c>
      <c r="H2" s="10" t="s">
        <v>3410</v>
      </c>
      <c r="I2" s="10" t="s">
        <v>1355</v>
      </c>
      <c r="J2" s="10" t="s">
        <v>797</v>
      </c>
      <c r="K2" s="10" t="s">
        <v>785</v>
      </c>
      <c r="L2" s="10" t="s">
        <v>3411</v>
      </c>
      <c r="M2" s="10" t="s">
        <v>3412</v>
      </c>
      <c r="N2" s="10" t="s">
        <v>3060</v>
      </c>
    </row>
    <row r="3" customFormat="false" ht="22.35" hidden="false" customHeight="false" outlineLevel="0" collapsed="false">
      <c r="A3" s="12" t="s">
        <v>3413</v>
      </c>
      <c r="B3" s="12" t="s">
        <v>970</v>
      </c>
      <c r="C3" s="12" t="s">
        <v>971</v>
      </c>
      <c r="D3" s="12" t="s">
        <v>1337</v>
      </c>
      <c r="E3" s="12" t="s">
        <v>3414</v>
      </c>
      <c r="F3" s="12" t="s">
        <v>3091</v>
      </c>
      <c r="G3" s="12" t="s">
        <v>3415</v>
      </c>
      <c r="H3" s="12" t="s">
        <v>3416</v>
      </c>
      <c r="I3" s="12" t="s">
        <v>1337</v>
      </c>
      <c r="J3" s="12" t="s">
        <v>2624</v>
      </c>
      <c r="K3" s="12" t="s">
        <v>678</v>
      </c>
      <c r="L3" s="12" t="s">
        <v>3417</v>
      </c>
      <c r="M3" s="12" t="s">
        <v>3418</v>
      </c>
      <c r="N3" s="12" t="s">
        <v>1334</v>
      </c>
    </row>
    <row r="4" customFormat="false" ht="22.35" hidden="false" customHeight="false" outlineLevel="0" collapsed="false">
      <c r="A4" s="10" t="s">
        <v>3419</v>
      </c>
      <c r="B4" s="10" t="s">
        <v>586</v>
      </c>
      <c r="C4" s="10" t="s">
        <v>826</v>
      </c>
      <c r="D4" s="10" t="s">
        <v>1515</v>
      </c>
      <c r="E4" s="10" t="s">
        <v>3091</v>
      </c>
      <c r="F4" s="10" t="s">
        <v>3091</v>
      </c>
      <c r="G4" s="10" t="s">
        <v>3420</v>
      </c>
      <c r="H4" s="10" t="s">
        <v>3421</v>
      </c>
      <c r="I4" s="10" t="s">
        <v>1359</v>
      </c>
      <c r="J4" s="10" t="s">
        <v>586</v>
      </c>
      <c r="K4" s="10" t="s">
        <v>829</v>
      </c>
      <c r="L4" s="10" t="s">
        <v>3422</v>
      </c>
      <c r="M4" s="10" t="s">
        <v>3423</v>
      </c>
      <c r="N4" s="10" t="s">
        <v>3176</v>
      </c>
    </row>
    <row r="5" customFormat="false" ht="22.35" hidden="false" customHeight="false" outlineLevel="0" collapsed="false">
      <c r="A5" s="12" t="s">
        <v>3424</v>
      </c>
      <c r="B5" s="12" t="s">
        <v>875</v>
      </c>
      <c r="C5" s="12" t="s">
        <v>876</v>
      </c>
      <c r="D5" s="12" t="s">
        <v>1409</v>
      </c>
      <c r="E5" s="12" t="s">
        <v>3091</v>
      </c>
      <c r="F5" s="12" t="s">
        <v>2070</v>
      </c>
      <c r="G5" s="12" t="s">
        <v>3425</v>
      </c>
      <c r="H5" s="12"/>
      <c r="I5" s="12" t="s">
        <v>1337</v>
      </c>
      <c r="J5" s="12" t="s">
        <v>875</v>
      </c>
      <c r="K5" s="12" t="s">
        <v>759</v>
      </c>
      <c r="L5" s="12" t="s">
        <v>3426</v>
      </c>
      <c r="M5" s="12" t="s">
        <v>3427</v>
      </c>
      <c r="N5" s="12" t="s">
        <v>420</v>
      </c>
    </row>
    <row r="6" customFormat="false" ht="22.35" hidden="false" customHeight="false" outlineLevel="0" collapsed="false">
      <c r="A6" s="10" t="s">
        <v>3428</v>
      </c>
      <c r="B6" s="10" t="s">
        <v>1068</v>
      </c>
      <c r="C6" s="10" t="s">
        <v>1069</v>
      </c>
      <c r="D6" s="10" t="s">
        <v>1459</v>
      </c>
      <c r="E6" s="10" t="s">
        <v>3091</v>
      </c>
      <c r="F6" s="10" t="s">
        <v>3091</v>
      </c>
      <c r="G6" s="10" t="s">
        <v>3429</v>
      </c>
      <c r="H6" s="10" t="s">
        <v>3430</v>
      </c>
      <c r="I6" s="10" t="s">
        <v>1545</v>
      </c>
      <c r="J6" s="10" t="s">
        <v>1068</v>
      </c>
      <c r="K6" s="10" t="s">
        <v>1061</v>
      </c>
      <c r="L6" s="10" t="s">
        <v>3431</v>
      </c>
      <c r="M6" s="10" t="s">
        <v>3432</v>
      </c>
      <c r="N6" s="10" t="s">
        <v>3433</v>
      </c>
    </row>
    <row r="8" customFormat="false" ht="27.75" hidden="false" customHeight="true" outlineLevel="0" collapsed="false">
      <c r="A8" s="14" t="s">
        <v>3434</v>
      </c>
      <c r="B8" s="14"/>
      <c r="C8" s="14"/>
      <c r="D8" s="14"/>
      <c r="E8" s="14"/>
      <c r="F8" s="14"/>
      <c r="G8" s="14"/>
      <c r="H8" s="14"/>
      <c r="I8" s="14"/>
      <c r="J8" s="14"/>
    </row>
  </sheetData>
  <mergeCells count="1">
    <mergeCell ref="A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20"/>
    <col collapsed="false" customWidth="true" hidden="false" outlineLevel="0" max="4" min="4" style="0" width="14"/>
    <col collapsed="false" customWidth="true" hidden="false" outlineLevel="0" max="5" min="5" style="0" width="30"/>
    <col collapsed="false" customWidth="true" hidden="false" outlineLevel="0" max="6" min="6" style="0" width="52"/>
    <col collapsed="false" customWidth="true" hidden="false" outlineLevel="0" max="7" min="7" style="0" width="12"/>
    <col collapsed="false" customWidth="true" hidden="false" outlineLevel="0" max="8" min="8" style="0" width="18"/>
    <col collapsed="false" customWidth="true" hidden="false" outlineLevel="0" max="9" min="9" style="0" width="46"/>
    <col collapsed="false" customWidth="true" hidden="false" outlineLevel="0" max="10" min="10" style="0" width="12"/>
    <col collapsed="false" customWidth="true" hidden="false" outlineLevel="0" max="11" min="11" style="0" width="10"/>
    <col collapsed="false" customWidth="true" hidden="false" outlineLevel="0" max="12" min="12" style="0" width="12"/>
  </cols>
  <sheetData>
    <row r="1" customFormat="false" ht="30" hidden="false" customHeight="true" outlineLevel="0" collapsed="false">
      <c r="A1" s="8" t="s">
        <v>3435</v>
      </c>
      <c r="B1" s="8" t="s">
        <v>608</v>
      </c>
      <c r="C1" s="8" t="s">
        <v>1183</v>
      </c>
      <c r="D1" s="8" t="s">
        <v>1483</v>
      </c>
      <c r="E1" s="8" t="s">
        <v>3436</v>
      </c>
      <c r="F1" s="8" t="s">
        <v>3437</v>
      </c>
      <c r="G1" s="8" t="s">
        <v>3438</v>
      </c>
      <c r="H1" s="8" t="s">
        <v>3439</v>
      </c>
      <c r="I1" s="8" t="s">
        <v>3440</v>
      </c>
      <c r="J1" s="8" t="s">
        <v>3441</v>
      </c>
      <c r="K1" s="8" t="s">
        <v>185</v>
      </c>
      <c r="L1" s="8" t="s">
        <v>40</v>
      </c>
    </row>
    <row r="2" customFormat="false" ht="15" hidden="false" customHeight="false" outlineLevel="0" collapsed="false">
      <c r="A2" s="10" t="s">
        <v>3442</v>
      </c>
      <c r="B2" s="10" t="s">
        <v>586</v>
      </c>
      <c r="C2" s="10" t="s">
        <v>826</v>
      </c>
      <c r="D2" s="10" t="s">
        <v>1515</v>
      </c>
      <c r="E2" s="10" t="s">
        <v>3443</v>
      </c>
      <c r="F2" s="10" t="s">
        <v>3444</v>
      </c>
      <c r="G2" s="10" t="s">
        <v>1359</v>
      </c>
      <c r="H2" s="10" t="s">
        <v>3445</v>
      </c>
      <c r="I2" s="10" t="s">
        <v>3446</v>
      </c>
      <c r="J2" s="10" t="s">
        <v>1332</v>
      </c>
      <c r="K2" s="10" t="s">
        <v>2396</v>
      </c>
      <c r="L2" s="10" t="s">
        <v>3176</v>
      </c>
    </row>
    <row r="3" customFormat="false" ht="15" hidden="false" customHeight="false" outlineLevel="0" collapsed="false">
      <c r="A3" s="12" t="s">
        <v>3447</v>
      </c>
      <c r="B3" s="12" t="s">
        <v>797</v>
      </c>
      <c r="C3" s="12" t="s">
        <v>798</v>
      </c>
      <c r="D3" s="12" t="s">
        <v>1377</v>
      </c>
      <c r="E3" s="12" t="s">
        <v>3448</v>
      </c>
      <c r="F3" s="12" t="s">
        <v>3449</v>
      </c>
      <c r="G3" s="12" t="s">
        <v>1355</v>
      </c>
      <c r="H3" s="12" t="s">
        <v>3445</v>
      </c>
      <c r="I3" s="12" t="s">
        <v>3450</v>
      </c>
      <c r="J3" s="12"/>
      <c r="K3" s="12" t="s">
        <v>1477</v>
      </c>
      <c r="L3" s="12" t="s">
        <v>3060</v>
      </c>
    </row>
    <row r="4" customFormat="false" ht="22.35" hidden="false" customHeight="false" outlineLevel="0" collapsed="false">
      <c r="A4" s="10" t="s">
        <v>3451</v>
      </c>
      <c r="B4" s="10" t="s">
        <v>781</v>
      </c>
      <c r="C4" s="10" t="s">
        <v>782</v>
      </c>
      <c r="D4" s="10" t="s">
        <v>1511</v>
      </c>
      <c r="E4" s="10" t="s">
        <v>3452</v>
      </c>
      <c r="F4" s="10" t="s">
        <v>3453</v>
      </c>
      <c r="G4" s="10" t="s">
        <v>1515</v>
      </c>
      <c r="H4" s="10" t="s">
        <v>3454</v>
      </c>
      <c r="I4" s="10" t="s">
        <v>3455</v>
      </c>
      <c r="J4" s="10" t="s">
        <v>1515</v>
      </c>
      <c r="K4" s="10" t="s">
        <v>2396</v>
      </c>
      <c r="L4" s="10" t="s">
        <v>3456</v>
      </c>
    </row>
    <row r="5" customFormat="false" ht="22.35" hidden="false" customHeight="false" outlineLevel="0" collapsed="false">
      <c r="A5" s="12" t="s">
        <v>3457</v>
      </c>
      <c r="B5" s="12" t="s">
        <v>580</v>
      </c>
      <c r="C5" s="12" t="s">
        <v>766</v>
      </c>
      <c r="D5" s="12" t="s">
        <v>1524</v>
      </c>
      <c r="E5" s="12" t="s">
        <v>3458</v>
      </c>
      <c r="F5" s="12" t="s">
        <v>3459</v>
      </c>
      <c r="G5" s="12" t="s">
        <v>1377</v>
      </c>
      <c r="H5" s="12" t="s">
        <v>3454</v>
      </c>
      <c r="I5" s="12" t="s">
        <v>3460</v>
      </c>
      <c r="J5" s="12" t="s">
        <v>1377</v>
      </c>
      <c r="K5" s="12" t="s">
        <v>2396</v>
      </c>
      <c r="L5" s="12" t="s">
        <v>3176</v>
      </c>
    </row>
    <row r="6" customFormat="false" ht="15" hidden="false" customHeight="false" outlineLevel="0" collapsed="false">
      <c r="A6" s="10" t="s">
        <v>3461</v>
      </c>
      <c r="B6" s="10" t="s">
        <v>914</v>
      </c>
      <c r="C6" s="10" t="s">
        <v>915</v>
      </c>
      <c r="D6" s="10" t="s">
        <v>1332</v>
      </c>
      <c r="E6" s="10" t="s">
        <v>3462</v>
      </c>
      <c r="F6" s="10" t="s">
        <v>3463</v>
      </c>
      <c r="G6" s="10" t="s">
        <v>1394</v>
      </c>
      <c r="H6" s="10" t="s">
        <v>3464</v>
      </c>
      <c r="I6" s="10" t="s">
        <v>3465</v>
      </c>
      <c r="J6" s="10"/>
      <c r="K6" s="10" t="s">
        <v>1477</v>
      </c>
      <c r="L6" s="10" t="s">
        <v>428</v>
      </c>
    </row>
    <row r="7" customFormat="false" ht="15" hidden="false" customHeight="false" outlineLevel="0" collapsed="false">
      <c r="A7" s="12" t="s">
        <v>3466</v>
      </c>
      <c r="B7" s="12" t="s">
        <v>1123</v>
      </c>
      <c r="C7" s="12" t="s">
        <v>1124</v>
      </c>
      <c r="D7" s="12" t="s">
        <v>1524</v>
      </c>
      <c r="E7" s="12" t="s">
        <v>3467</v>
      </c>
      <c r="F7" s="12" t="s">
        <v>3468</v>
      </c>
      <c r="G7" s="12" t="s">
        <v>1377</v>
      </c>
      <c r="H7" s="12" t="s">
        <v>3445</v>
      </c>
      <c r="I7" s="12" t="s">
        <v>3469</v>
      </c>
      <c r="J7" s="12"/>
      <c r="K7" s="12" t="s">
        <v>1477</v>
      </c>
      <c r="L7" s="12"/>
    </row>
    <row r="9" customFormat="false" ht="27.75" hidden="false" customHeight="true" outlineLevel="0" collapsed="false">
      <c r="A9" s="14" t="s">
        <v>3470</v>
      </c>
      <c r="B9" s="14"/>
      <c r="C9" s="14"/>
      <c r="D9" s="14"/>
      <c r="E9" s="14"/>
      <c r="F9" s="14"/>
      <c r="G9" s="14"/>
      <c r="H9" s="14"/>
      <c r="I9" s="14"/>
      <c r="J9" s="14"/>
    </row>
  </sheetData>
  <mergeCells count="1">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20"/>
    <col collapsed="false" customWidth="true" hidden="false" outlineLevel="0" max="4" min="4" style="0" width="10"/>
    <col collapsed="false" customWidth="true" hidden="false" outlineLevel="0" max="6" min="5" style="0" width="12"/>
    <col collapsed="false" customWidth="true" hidden="false" outlineLevel="0" max="7" min="7" style="0" width="13"/>
    <col collapsed="false" customWidth="true" hidden="false" outlineLevel="0" max="8" min="8" style="0" width="34"/>
    <col collapsed="false" customWidth="true" hidden="false" outlineLevel="0" max="10" min="9" style="0" width="12"/>
    <col collapsed="false" customWidth="true" hidden="false" outlineLevel="0" max="11" min="11" style="0" width="34"/>
    <col collapsed="false" customWidth="true" hidden="false" outlineLevel="0" max="12" min="12" style="0" width="62"/>
  </cols>
  <sheetData>
    <row r="1" customFormat="false" ht="30" hidden="false" customHeight="true" outlineLevel="0" collapsed="false">
      <c r="A1" s="8" t="s">
        <v>3471</v>
      </c>
      <c r="B1" s="8" t="s">
        <v>608</v>
      </c>
      <c r="C1" s="8" t="s">
        <v>1183</v>
      </c>
      <c r="D1" s="8" t="s">
        <v>545</v>
      </c>
      <c r="E1" s="8" t="s">
        <v>3472</v>
      </c>
      <c r="F1" s="8" t="s">
        <v>3473</v>
      </c>
      <c r="G1" s="8" t="s">
        <v>3474</v>
      </c>
      <c r="H1" s="8" t="s">
        <v>3475</v>
      </c>
      <c r="I1" s="8" t="s">
        <v>3476</v>
      </c>
      <c r="J1" s="8" t="s">
        <v>3477</v>
      </c>
      <c r="K1" s="8" t="s">
        <v>3478</v>
      </c>
      <c r="L1" s="8" t="s">
        <v>40</v>
      </c>
    </row>
    <row r="2" customFormat="false" ht="15" hidden="false" customHeight="false" outlineLevel="0" collapsed="false">
      <c r="A2" s="10" t="s">
        <v>3479</v>
      </c>
      <c r="B2" s="10" t="s">
        <v>580</v>
      </c>
      <c r="C2" s="10" t="s">
        <v>766</v>
      </c>
      <c r="D2" s="10" t="s">
        <v>278</v>
      </c>
      <c r="E2" s="10" t="s">
        <v>1151</v>
      </c>
      <c r="F2" s="10" t="s">
        <v>531</v>
      </c>
      <c r="G2" s="10" t="s">
        <v>454</v>
      </c>
      <c r="H2" s="10" t="s">
        <v>3480</v>
      </c>
      <c r="I2" s="10" t="s">
        <v>2948</v>
      </c>
      <c r="J2" s="10" t="s">
        <v>759</v>
      </c>
      <c r="K2" s="10" t="s">
        <v>1217</v>
      </c>
      <c r="L2" s="10"/>
    </row>
    <row r="3" customFormat="false" ht="15" hidden="false" customHeight="false" outlineLevel="0" collapsed="false">
      <c r="A3" s="12" t="s">
        <v>3481</v>
      </c>
      <c r="B3" s="12" t="s">
        <v>773</v>
      </c>
      <c r="C3" s="12" t="s">
        <v>774</v>
      </c>
      <c r="D3" s="12" t="s">
        <v>278</v>
      </c>
      <c r="E3" s="12" t="s">
        <v>1151</v>
      </c>
      <c r="F3" s="12" t="s">
        <v>531</v>
      </c>
      <c r="G3" s="12" t="s">
        <v>454</v>
      </c>
      <c r="H3" s="12" t="s">
        <v>3480</v>
      </c>
      <c r="I3" s="12" t="s">
        <v>2948</v>
      </c>
      <c r="J3" s="12" t="s">
        <v>759</v>
      </c>
      <c r="K3" s="12" t="s">
        <v>1217</v>
      </c>
      <c r="L3" s="12"/>
    </row>
    <row r="4" customFormat="false" ht="22.35" hidden="false" customHeight="false" outlineLevel="0" collapsed="false">
      <c r="A4" s="10" t="s">
        <v>3482</v>
      </c>
      <c r="B4" s="10" t="s">
        <v>781</v>
      </c>
      <c r="C4" s="10" t="s">
        <v>782</v>
      </c>
      <c r="D4" s="10" t="s">
        <v>282</v>
      </c>
      <c r="E4" s="10" t="s">
        <v>1151</v>
      </c>
      <c r="F4" s="10" t="s">
        <v>531</v>
      </c>
      <c r="G4" s="10" t="s">
        <v>454</v>
      </c>
      <c r="H4" s="10" t="s">
        <v>3483</v>
      </c>
      <c r="I4" s="10" t="s">
        <v>2948</v>
      </c>
      <c r="J4" s="10" t="s">
        <v>785</v>
      </c>
      <c r="K4" s="10" t="s">
        <v>3484</v>
      </c>
      <c r="L4" s="10" t="s">
        <v>3485</v>
      </c>
    </row>
    <row r="5" customFormat="false" ht="15" hidden="false" customHeight="false" outlineLevel="0" collapsed="false">
      <c r="A5" s="12" t="s">
        <v>3486</v>
      </c>
      <c r="B5" s="12" t="s">
        <v>586</v>
      </c>
      <c r="C5" s="12" t="s">
        <v>826</v>
      </c>
      <c r="D5" s="12" t="s">
        <v>288</v>
      </c>
      <c r="E5" s="12" t="s">
        <v>1151</v>
      </c>
      <c r="F5" s="12" t="s">
        <v>531</v>
      </c>
      <c r="G5" s="12" t="s">
        <v>462</v>
      </c>
      <c r="H5" s="12" t="s">
        <v>3487</v>
      </c>
      <c r="I5" s="12" t="s">
        <v>2948</v>
      </c>
      <c r="J5" s="12" t="s">
        <v>829</v>
      </c>
      <c r="K5" s="12" t="s">
        <v>1217</v>
      </c>
      <c r="L5" s="12"/>
    </row>
    <row r="6" customFormat="false" ht="22.35" hidden="false" customHeight="false" outlineLevel="0" collapsed="false">
      <c r="A6" s="10" t="s">
        <v>3488</v>
      </c>
      <c r="B6" s="10" t="s">
        <v>986</v>
      </c>
      <c r="C6" s="10" t="s">
        <v>987</v>
      </c>
      <c r="D6" s="10" t="s">
        <v>285</v>
      </c>
      <c r="E6" s="10" t="s">
        <v>1151</v>
      </c>
      <c r="F6" s="10" t="s">
        <v>531</v>
      </c>
      <c r="G6" s="10" t="s">
        <v>473</v>
      </c>
      <c r="H6" s="10" t="s">
        <v>3489</v>
      </c>
      <c r="I6" s="10" t="s">
        <v>2948</v>
      </c>
      <c r="J6" s="10" t="s">
        <v>945</v>
      </c>
      <c r="K6" s="10" t="s">
        <v>1217</v>
      </c>
      <c r="L6" s="10" t="s">
        <v>3490</v>
      </c>
    </row>
    <row r="7" customFormat="false" ht="15" hidden="false" customHeight="false" outlineLevel="0" collapsed="false">
      <c r="A7" s="12" t="s">
        <v>3491</v>
      </c>
      <c r="B7" s="12" t="s">
        <v>785</v>
      </c>
      <c r="C7" s="12" t="s">
        <v>786</v>
      </c>
      <c r="D7" s="12" t="s">
        <v>282</v>
      </c>
      <c r="E7" s="12" t="s">
        <v>1151</v>
      </c>
      <c r="F7" s="12" t="s">
        <v>531</v>
      </c>
      <c r="G7" s="12" t="s">
        <v>478</v>
      </c>
      <c r="H7" s="12" t="s">
        <v>3492</v>
      </c>
      <c r="I7" s="12" t="s">
        <v>2948</v>
      </c>
      <c r="J7" s="12" t="s">
        <v>752</v>
      </c>
      <c r="K7" s="12" t="s">
        <v>1217</v>
      </c>
      <c r="L7" s="12" t="s">
        <v>3493</v>
      </c>
    </row>
    <row r="8" customFormat="false" ht="15" hidden="false" customHeight="false" outlineLevel="0" collapsed="false">
      <c r="A8" s="10" t="s">
        <v>3494</v>
      </c>
      <c r="B8" s="10" t="s">
        <v>894</v>
      </c>
      <c r="C8" s="10" t="s">
        <v>895</v>
      </c>
      <c r="D8" s="10" t="s">
        <v>282</v>
      </c>
      <c r="E8" s="10" t="s">
        <v>1151</v>
      </c>
      <c r="F8" s="10" t="s">
        <v>531</v>
      </c>
      <c r="G8" s="10" t="s">
        <v>454</v>
      </c>
      <c r="H8" s="10" t="s">
        <v>3480</v>
      </c>
      <c r="I8" s="10" t="s">
        <v>2948</v>
      </c>
      <c r="J8" s="10" t="s">
        <v>785</v>
      </c>
      <c r="K8" s="10" t="s">
        <v>1217</v>
      </c>
      <c r="L8" s="10" t="s">
        <v>3495</v>
      </c>
    </row>
    <row r="9" customFormat="false" ht="15" hidden="false" customHeight="false" outlineLevel="0" collapsed="false">
      <c r="A9" s="12" t="s">
        <v>3496</v>
      </c>
      <c r="B9" s="12" t="s">
        <v>914</v>
      </c>
      <c r="C9" s="12" t="s">
        <v>915</v>
      </c>
      <c r="D9" s="12" t="s">
        <v>294</v>
      </c>
      <c r="E9" s="12" t="s">
        <v>1151</v>
      </c>
      <c r="F9" s="12" t="s">
        <v>531</v>
      </c>
      <c r="G9" s="12" t="s">
        <v>454</v>
      </c>
      <c r="H9" s="12" t="s">
        <v>3497</v>
      </c>
      <c r="I9" s="12" t="s">
        <v>2948</v>
      </c>
      <c r="J9" s="12" t="s">
        <v>589</v>
      </c>
      <c r="K9" s="12" t="s">
        <v>1217</v>
      </c>
      <c r="L9" s="12" t="s">
        <v>428</v>
      </c>
    </row>
    <row r="11" customFormat="false" ht="27.75" hidden="false" customHeight="true" outlineLevel="0" collapsed="false">
      <c r="A11" s="14" t="s">
        <v>3498</v>
      </c>
      <c r="B11" s="14"/>
      <c r="C11" s="14"/>
      <c r="D11" s="14"/>
      <c r="E11" s="14"/>
      <c r="F11" s="14"/>
      <c r="G11" s="14"/>
      <c r="H11" s="14"/>
      <c r="I11" s="14"/>
      <c r="J11" s="14"/>
    </row>
  </sheetData>
  <mergeCells count="1">
    <mergeCell ref="A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0"/>
    <col collapsed="false" customWidth="true" hidden="false" outlineLevel="0" max="4" min="4" style="0" width="13"/>
    <col collapsed="false" customWidth="true" hidden="false" outlineLevel="0" max="9" min="5" style="0" width="10"/>
    <col collapsed="false" customWidth="true" hidden="false" outlineLevel="0" max="10" min="10" style="0" width="15"/>
    <col collapsed="false" customWidth="true" hidden="false" outlineLevel="0" max="11" min="11" style="0" width="46"/>
    <col collapsed="false" customWidth="true" hidden="false" outlineLevel="0" max="12" min="12" style="0" width="72"/>
  </cols>
  <sheetData>
    <row r="1" customFormat="false" ht="30" hidden="false" customHeight="true" outlineLevel="0" collapsed="false">
      <c r="A1" s="8" t="s">
        <v>608</v>
      </c>
      <c r="B1" s="8" t="s">
        <v>1183</v>
      </c>
      <c r="C1" s="8" t="s">
        <v>1198</v>
      </c>
      <c r="D1" s="8" t="s">
        <v>3499</v>
      </c>
      <c r="E1" s="8" t="s">
        <v>3500</v>
      </c>
      <c r="F1" s="8" t="s">
        <v>1460</v>
      </c>
      <c r="G1" s="8" t="s">
        <v>3501</v>
      </c>
      <c r="H1" s="8" t="s">
        <v>1479</v>
      </c>
      <c r="I1" s="8" t="s">
        <v>3502</v>
      </c>
      <c r="J1" s="8" t="s">
        <v>3503</v>
      </c>
      <c r="K1" s="8" t="s">
        <v>3504</v>
      </c>
      <c r="L1" s="8" t="s">
        <v>3505</v>
      </c>
    </row>
    <row r="2" customFormat="false" ht="15" hidden="false" customHeight="false" outlineLevel="0" collapsed="false">
      <c r="A2" s="10" t="s">
        <v>664</v>
      </c>
      <c r="B2" s="10" t="s">
        <v>665</v>
      </c>
      <c r="C2" s="10" t="s">
        <v>1207</v>
      </c>
      <c r="D2" s="10" t="n">
        <v>0</v>
      </c>
      <c r="E2" s="10" t="n">
        <v>18</v>
      </c>
      <c r="F2" s="10" t="n">
        <v>5</v>
      </c>
      <c r="G2" s="10" t="n">
        <v>0</v>
      </c>
      <c r="H2" s="10" t="n">
        <v>0</v>
      </c>
      <c r="I2" s="10" t="n">
        <v>0</v>
      </c>
      <c r="J2" s="10" t="n">
        <v>13</v>
      </c>
      <c r="K2" s="10" t="s">
        <v>3506</v>
      </c>
      <c r="L2" s="10"/>
    </row>
    <row r="3" customFormat="false" ht="15" hidden="false" customHeight="false" outlineLevel="0" collapsed="false">
      <c r="A3" s="12" t="s">
        <v>664</v>
      </c>
      <c r="B3" s="12" t="s">
        <v>665</v>
      </c>
      <c r="C3" s="12" t="s">
        <v>1213</v>
      </c>
      <c r="D3" s="12" t="n">
        <v>0</v>
      </c>
      <c r="E3" s="12" t="n">
        <v>6</v>
      </c>
      <c r="F3" s="12" t="n">
        <v>0</v>
      </c>
      <c r="G3" s="12" t="n">
        <v>0</v>
      </c>
      <c r="H3" s="12" t="n">
        <v>0</v>
      </c>
      <c r="I3" s="12" t="n">
        <v>0</v>
      </c>
      <c r="J3" s="12" t="n">
        <v>6</v>
      </c>
      <c r="K3" s="12" t="s">
        <v>1312</v>
      </c>
      <c r="L3" s="12"/>
    </row>
    <row r="4" customFormat="false" ht="15" hidden="false" customHeight="false" outlineLevel="0" collapsed="false">
      <c r="A4" s="10" t="s">
        <v>664</v>
      </c>
      <c r="B4" s="10" t="s">
        <v>665</v>
      </c>
      <c r="C4" s="10" t="s">
        <v>1222</v>
      </c>
      <c r="D4" s="10" t="n">
        <v>0</v>
      </c>
      <c r="E4" s="10" t="n">
        <v>6</v>
      </c>
      <c r="F4" s="10" t="n">
        <v>0</v>
      </c>
      <c r="G4" s="10" t="n">
        <v>0</v>
      </c>
      <c r="H4" s="10" t="n">
        <v>0</v>
      </c>
      <c r="I4" s="10" t="n">
        <v>0</v>
      </c>
      <c r="J4" s="10" t="n">
        <v>6</v>
      </c>
      <c r="K4" s="10" t="s">
        <v>1315</v>
      </c>
      <c r="L4" s="10"/>
    </row>
    <row r="5" customFormat="false" ht="15" hidden="false" customHeight="false" outlineLevel="0" collapsed="false">
      <c r="A5" s="12" t="s">
        <v>773</v>
      </c>
      <c r="B5" s="12" t="s">
        <v>774</v>
      </c>
      <c r="C5" s="12" t="s">
        <v>1213</v>
      </c>
      <c r="D5" s="12" t="n">
        <v>0</v>
      </c>
      <c r="E5" s="12" t="n">
        <v>6</v>
      </c>
      <c r="F5" s="12" t="n">
        <v>2</v>
      </c>
      <c r="G5" s="12" t="n">
        <v>0</v>
      </c>
      <c r="H5" s="12" t="n">
        <v>0</v>
      </c>
      <c r="I5" s="12" t="n">
        <v>0</v>
      </c>
      <c r="J5" s="12" t="n">
        <v>4</v>
      </c>
      <c r="K5" s="12" t="s">
        <v>3507</v>
      </c>
      <c r="L5" s="12"/>
    </row>
    <row r="6" customFormat="false" ht="15" hidden="false" customHeight="false" outlineLevel="0" collapsed="false">
      <c r="A6" s="10" t="s">
        <v>773</v>
      </c>
      <c r="B6" s="10" t="s">
        <v>774</v>
      </c>
      <c r="C6" s="10" t="s">
        <v>1222</v>
      </c>
      <c r="D6" s="10" t="n">
        <v>0</v>
      </c>
      <c r="E6" s="10" t="n">
        <v>6</v>
      </c>
      <c r="F6" s="10" t="n">
        <v>0</v>
      </c>
      <c r="G6" s="10" t="n">
        <v>0</v>
      </c>
      <c r="H6" s="10" t="n">
        <v>0</v>
      </c>
      <c r="I6" s="10" t="n">
        <v>0</v>
      </c>
      <c r="J6" s="10" t="n">
        <v>6</v>
      </c>
      <c r="K6" s="10" t="s">
        <v>1321</v>
      </c>
      <c r="L6" s="10"/>
    </row>
    <row r="7" customFormat="false" ht="15" hidden="false" customHeight="false" outlineLevel="0" collapsed="false">
      <c r="A7" s="12" t="s">
        <v>773</v>
      </c>
      <c r="B7" s="12" t="s">
        <v>774</v>
      </c>
      <c r="C7" s="12" t="s">
        <v>1207</v>
      </c>
      <c r="D7" s="12" t="n">
        <v>0</v>
      </c>
      <c r="E7" s="12" t="n">
        <v>12</v>
      </c>
      <c r="F7" s="12" t="n">
        <v>0</v>
      </c>
      <c r="G7" s="12" t="n">
        <v>0</v>
      </c>
      <c r="H7" s="12" t="n">
        <v>0</v>
      </c>
      <c r="I7" s="12" t="n">
        <v>0</v>
      </c>
      <c r="J7" s="12" t="n">
        <v>12</v>
      </c>
      <c r="K7" s="12" t="s">
        <v>1322</v>
      </c>
      <c r="L7" s="12"/>
    </row>
    <row r="8" customFormat="false" ht="32.8" hidden="false" customHeight="false" outlineLevel="0" collapsed="false">
      <c r="A8" s="10" t="s">
        <v>970</v>
      </c>
      <c r="B8" s="10" t="s">
        <v>971</v>
      </c>
      <c r="C8" s="10" t="s">
        <v>1207</v>
      </c>
      <c r="D8" s="10" t="n">
        <v>0</v>
      </c>
      <c r="E8" s="10" t="n">
        <v>12</v>
      </c>
      <c r="F8" s="10" t="n">
        <v>10</v>
      </c>
      <c r="G8" s="10" t="n">
        <v>3</v>
      </c>
      <c r="H8" s="10" t="n">
        <v>0</v>
      </c>
      <c r="I8" s="10" t="n">
        <v>0</v>
      </c>
      <c r="J8" s="10" t="n">
        <v>5</v>
      </c>
      <c r="K8" s="10" t="s">
        <v>3508</v>
      </c>
      <c r="L8" s="10" t="s">
        <v>3509</v>
      </c>
    </row>
    <row r="9" customFormat="false" ht="15" hidden="false" customHeight="false" outlineLevel="0" collapsed="false">
      <c r="A9" s="12" t="s">
        <v>970</v>
      </c>
      <c r="B9" s="12" t="s">
        <v>971</v>
      </c>
      <c r="C9" s="12" t="s">
        <v>1213</v>
      </c>
      <c r="D9" s="12" t="n">
        <v>0</v>
      </c>
      <c r="E9" s="12" t="n">
        <v>6</v>
      </c>
      <c r="F9" s="12" t="n">
        <v>0</v>
      </c>
      <c r="G9" s="12" t="n">
        <v>0</v>
      </c>
      <c r="H9" s="12" t="n">
        <v>0</v>
      </c>
      <c r="I9" s="12" t="n">
        <v>0</v>
      </c>
      <c r="J9" s="12" t="n">
        <v>6</v>
      </c>
      <c r="K9" s="12" t="s">
        <v>1330</v>
      </c>
      <c r="L9" s="12"/>
    </row>
    <row r="10" customFormat="false" ht="15" hidden="false" customHeight="false" outlineLevel="0" collapsed="false">
      <c r="A10" s="10" t="s">
        <v>1157</v>
      </c>
      <c r="B10" s="10" t="s">
        <v>1158</v>
      </c>
      <c r="C10" s="10" t="s">
        <v>1213</v>
      </c>
      <c r="D10" s="10" t="n">
        <v>0</v>
      </c>
      <c r="E10" s="10" t="n">
        <v>5</v>
      </c>
      <c r="F10" s="10" t="n">
        <v>0</v>
      </c>
      <c r="G10" s="10" t="n">
        <v>0</v>
      </c>
      <c r="H10" s="10" t="n">
        <v>0</v>
      </c>
      <c r="I10" s="10" t="n">
        <v>0</v>
      </c>
      <c r="J10" s="10" t="n">
        <v>5</v>
      </c>
      <c r="K10" s="10" t="s">
        <v>1339</v>
      </c>
      <c r="L10" s="10"/>
    </row>
    <row r="11" customFormat="false" ht="15" hidden="false" customHeight="false" outlineLevel="0" collapsed="false">
      <c r="A11" s="12" t="s">
        <v>1157</v>
      </c>
      <c r="B11" s="12" t="s">
        <v>1158</v>
      </c>
      <c r="C11" s="12" t="s">
        <v>1222</v>
      </c>
      <c r="D11" s="12" t="n">
        <v>0</v>
      </c>
      <c r="E11" s="12" t="n">
        <v>5</v>
      </c>
      <c r="F11" s="12" t="n">
        <v>0</v>
      </c>
      <c r="G11" s="12" t="n">
        <v>0</v>
      </c>
      <c r="H11" s="12" t="n">
        <v>0</v>
      </c>
      <c r="I11" s="12" t="n">
        <v>0</v>
      </c>
      <c r="J11" s="12" t="n">
        <v>5</v>
      </c>
      <c r="K11" s="12" t="s">
        <v>1341</v>
      </c>
      <c r="L11" s="12"/>
    </row>
    <row r="12" customFormat="false" ht="15" hidden="false" customHeight="false" outlineLevel="0" collapsed="false">
      <c r="A12" s="10" t="s">
        <v>1157</v>
      </c>
      <c r="B12" s="10" t="s">
        <v>1158</v>
      </c>
      <c r="C12" s="10" t="s">
        <v>1207</v>
      </c>
      <c r="D12" s="10" t="n">
        <v>0</v>
      </c>
      <c r="E12" s="10" t="n">
        <v>9</v>
      </c>
      <c r="F12" s="10" t="n">
        <v>0</v>
      </c>
      <c r="G12" s="10" t="n">
        <v>0</v>
      </c>
      <c r="H12" s="10" t="n">
        <v>0</v>
      </c>
      <c r="I12" s="10" t="n">
        <v>0</v>
      </c>
      <c r="J12" s="10" t="n">
        <v>9</v>
      </c>
      <c r="K12" s="10" t="s">
        <v>1342</v>
      </c>
      <c r="L12" s="10" t="s">
        <v>3510</v>
      </c>
    </row>
    <row r="13" customFormat="false" ht="15" hidden="false" customHeight="false" outlineLevel="0" collapsed="false">
      <c r="A13" s="12" t="s">
        <v>1098</v>
      </c>
      <c r="B13" s="12" t="s">
        <v>1099</v>
      </c>
      <c r="C13" s="12" t="s">
        <v>1213</v>
      </c>
      <c r="D13" s="12" t="n">
        <v>0</v>
      </c>
      <c r="E13" s="12" t="n">
        <v>4</v>
      </c>
      <c r="F13" s="12" t="n">
        <v>0</v>
      </c>
      <c r="G13" s="12" t="n">
        <v>0</v>
      </c>
      <c r="H13" s="12" t="n">
        <v>0</v>
      </c>
      <c r="I13" s="12" t="n">
        <v>0</v>
      </c>
      <c r="J13" s="12" t="n">
        <v>4</v>
      </c>
      <c r="K13" s="12" t="s">
        <v>1344</v>
      </c>
      <c r="L13" s="12"/>
    </row>
    <row r="14" customFormat="false" ht="15" hidden="false" customHeight="false" outlineLevel="0" collapsed="false">
      <c r="A14" s="10" t="s">
        <v>1098</v>
      </c>
      <c r="B14" s="10" t="s">
        <v>1099</v>
      </c>
      <c r="C14" s="10" t="s">
        <v>1222</v>
      </c>
      <c r="D14" s="10" t="n">
        <v>0</v>
      </c>
      <c r="E14" s="10" t="n">
        <v>4</v>
      </c>
      <c r="F14" s="10" t="n">
        <v>0</v>
      </c>
      <c r="G14" s="10" t="n">
        <v>0</v>
      </c>
      <c r="H14" s="10" t="n">
        <v>0</v>
      </c>
      <c r="I14" s="10" t="n">
        <v>0</v>
      </c>
      <c r="J14" s="10" t="n">
        <v>4</v>
      </c>
      <c r="K14" s="10" t="s">
        <v>1346</v>
      </c>
      <c r="L14" s="10"/>
    </row>
    <row r="15" customFormat="false" ht="15" hidden="false" customHeight="false" outlineLevel="0" collapsed="false">
      <c r="A15" s="12" t="s">
        <v>855</v>
      </c>
      <c r="B15" s="12" t="s">
        <v>856</v>
      </c>
      <c r="C15" s="12" t="s">
        <v>1213</v>
      </c>
      <c r="D15" s="12" t="n">
        <v>0</v>
      </c>
      <c r="E15" s="12" t="n">
        <v>3</v>
      </c>
      <c r="F15" s="12" t="n">
        <v>0</v>
      </c>
      <c r="G15" s="12" t="n">
        <v>0</v>
      </c>
      <c r="H15" s="12" t="n">
        <v>0</v>
      </c>
      <c r="I15" s="12" t="n">
        <v>0</v>
      </c>
      <c r="J15" s="12" t="n">
        <v>3</v>
      </c>
      <c r="K15" s="12" t="s">
        <v>1347</v>
      </c>
      <c r="L15" s="12"/>
    </row>
    <row r="16" customFormat="false" ht="15" hidden="false" customHeight="false" outlineLevel="0" collapsed="false">
      <c r="A16" s="10" t="s">
        <v>867</v>
      </c>
      <c r="B16" s="10" t="s">
        <v>868</v>
      </c>
      <c r="C16" s="10" t="s">
        <v>1213</v>
      </c>
      <c r="D16" s="10" t="n">
        <v>0</v>
      </c>
      <c r="E16" s="10" t="n">
        <v>3</v>
      </c>
      <c r="F16" s="10" t="n">
        <v>0</v>
      </c>
      <c r="G16" s="10" t="n">
        <v>0</v>
      </c>
      <c r="H16" s="10" t="n">
        <v>0</v>
      </c>
      <c r="I16" s="10" t="n">
        <v>0</v>
      </c>
      <c r="J16" s="10" t="n">
        <v>3</v>
      </c>
      <c r="K16" s="10" t="s">
        <v>1349</v>
      </c>
      <c r="L16" s="10"/>
    </row>
    <row r="17" customFormat="false" ht="15" hidden="false" customHeight="false" outlineLevel="0" collapsed="false">
      <c r="A17" s="12" t="s">
        <v>599</v>
      </c>
      <c r="B17" s="12" t="s">
        <v>1141</v>
      </c>
      <c r="C17" s="12" t="s">
        <v>1213</v>
      </c>
      <c r="D17" s="12" t="n">
        <v>0</v>
      </c>
      <c r="E17" s="12" t="n">
        <v>2</v>
      </c>
      <c r="F17" s="12" t="n">
        <v>0</v>
      </c>
      <c r="G17" s="12" t="n">
        <v>0</v>
      </c>
      <c r="H17" s="12" t="n">
        <v>0</v>
      </c>
      <c r="I17" s="12" t="n">
        <v>0</v>
      </c>
      <c r="J17" s="12" t="n">
        <v>2</v>
      </c>
      <c r="K17" s="12" t="s">
        <v>1351</v>
      </c>
      <c r="L17" s="12"/>
    </row>
    <row r="18" customFormat="false" ht="15" hidden="false" customHeight="false" outlineLevel="0" collapsed="false">
      <c r="A18" s="10" t="s">
        <v>599</v>
      </c>
      <c r="B18" s="10" t="s">
        <v>1141</v>
      </c>
      <c r="C18" s="10" t="s">
        <v>1222</v>
      </c>
      <c r="D18" s="10" t="n">
        <v>0</v>
      </c>
      <c r="E18" s="10" t="n">
        <v>2</v>
      </c>
      <c r="F18" s="10" t="n">
        <v>0</v>
      </c>
      <c r="G18" s="10" t="n">
        <v>0</v>
      </c>
      <c r="H18" s="10" t="n">
        <v>0</v>
      </c>
      <c r="I18" s="10" t="n">
        <v>0</v>
      </c>
      <c r="J18" s="10" t="n">
        <v>2</v>
      </c>
      <c r="K18" s="10" t="s">
        <v>1353</v>
      </c>
      <c r="L18" s="10"/>
    </row>
    <row r="19" customFormat="false" ht="15" hidden="false" customHeight="false" outlineLevel="0" collapsed="false">
      <c r="A19" s="12" t="s">
        <v>840</v>
      </c>
      <c r="B19" s="12" t="s">
        <v>841</v>
      </c>
      <c r="C19" s="12" t="s">
        <v>1224</v>
      </c>
      <c r="D19" s="12" t="n">
        <v>0</v>
      </c>
      <c r="E19" s="12" t="n">
        <v>2</v>
      </c>
      <c r="F19" s="12" t="n">
        <v>1</v>
      </c>
      <c r="G19" s="12" t="n">
        <v>0</v>
      </c>
      <c r="H19" s="12" t="n">
        <v>0</v>
      </c>
      <c r="I19" s="12" t="n">
        <v>0</v>
      </c>
      <c r="J19" s="12" t="n">
        <v>1</v>
      </c>
      <c r="K19" s="12" t="s">
        <v>3511</v>
      </c>
      <c r="L19" s="12" t="s">
        <v>3512</v>
      </c>
    </row>
    <row r="20" customFormat="false" ht="15" hidden="false" customHeight="false" outlineLevel="0" collapsed="false">
      <c r="A20" s="10" t="s">
        <v>1023</v>
      </c>
      <c r="B20" s="10" t="s">
        <v>1024</v>
      </c>
      <c r="C20" s="10" t="s">
        <v>1224</v>
      </c>
      <c r="D20" s="10" t="n">
        <v>0</v>
      </c>
      <c r="E20" s="10" t="n">
        <v>2</v>
      </c>
      <c r="F20" s="10" t="n">
        <v>1</v>
      </c>
      <c r="G20" s="10" t="n">
        <v>0</v>
      </c>
      <c r="H20" s="10" t="n">
        <v>0</v>
      </c>
      <c r="I20" s="10" t="n">
        <v>0</v>
      </c>
      <c r="J20" s="10" t="n">
        <v>1</v>
      </c>
      <c r="K20" s="10" t="s">
        <v>3513</v>
      </c>
      <c r="L20" s="10"/>
    </row>
    <row r="21" customFormat="false" ht="15" hidden="false" customHeight="false" outlineLevel="0" collapsed="false">
      <c r="A21" s="12" t="s">
        <v>580</v>
      </c>
      <c r="B21" s="12" t="s">
        <v>766</v>
      </c>
      <c r="C21" s="12" t="s">
        <v>1207</v>
      </c>
      <c r="D21" s="12" t="n">
        <v>0</v>
      </c>
      <c r="E21" s="12" t="n">
        <v>12</v>
      </c>
      <c r="F21" s="12" t="n">
        <v>0</v>
      </c>
      <c r="G21" s="12" t="n">
        <v>0</v>
      </c>
      <c r="H21" s="12" t="n">
        <v>0</v>
      </c>
      <c r="I21" s="12" t="n">
        <v>0</v>
      </c>
      <c r="J21" s="12" t="n">
        <v>12</v>
      </c>
      <c r="K21" s="12" t="s">
        <v>1372</v>
      </c>
      <c r="L21" s="12"/>
    </row>
    <row r="22" customFormat="false" ht="15" hidden="false" customHeight="false" outlineLevel="0" collapsed="false">
      <c r="A22" s="10" t="s">
        <v>580</v>
      </c>
      <c r="B22" s="10" t="s">
        <v>766</v>
      </c>
      <c r="C22" s="10" t="s">
        <v>1213</v>
      </c>
      <c r="D22" s="10" t="n">
        <v>0</v>
      </c>
      <c r="E22" s="10" t="n">
        <v>6</v>
      </c>
      <c r="F22" s="10" t="n">
        <v>0</v>
      </c>
      <c r="G22" s="10" t="n">
        <v>0</v>
      </c>
      <c r="H22" s="10" t="n">
        <v>0</v>
      </c>
      <c r="I22" s="10" t="n">
        <v>0</v>
      </c>
      <c r="J22" s="10" t="n">
        <v>6</v>
      </c>
      <c r="K22" s="10" t="s">
        <v>1373</v>
      </c>
      <c r="L22" s="10"/>
    </row>
    <row r="23" customFormat="false" ht="22.35" hidden="false" customHeight="false" outlineLevel="0" collapsed="false">
      <c r="A23" s="12" t="s">
        <v>797</v>
      </c>
      <c r="B23" s="12" t="s">
        <v>798</v>
      </c>
      <c r="C23" s="12" t="s">
        <v>1213</v>
      </c>
      <c r="D23" s="12" t="n">
        <v>0</v>
      </c>
      <c r="E23" s="12" t="n">
        <v>6</v>
      </c>
      <c r="F23" s="12" t="n">
        <v>0</v>
      </c>
      <c r="G23" s="12" t="n">
        <v>0</v>
      </c>
      <c r="H23" s="12" t="n">
        <v>0</v>
      </c>
      <c r="I23" s="12" t="n">
        <v>0</v>
      </c>
      <c r="J23" s="12" t="n">
        <v>6</v>
      </c>
      <c r="K23" s="12" t="s">
        <v>3514</v>
      </c>
      <c r="L23" s="12" t="s">
        <v>3515</v>
      </c>
    </row>
    <row r="24" customFormat="false" ht="15" hidden="false" customHeight="false" outlineLevel="0" collapsed="false">
      <c r="A24" s="10" t="s">
        <v>1068</v>
      </c>
      <c r="B24" s="10" t="s">
        <v>1069</v>
      </c>
      <c r="C24" s="10" t="s">
        <v>1207</v>
      </c>
      <c r="D24" s="10" t="n">
        <v>0</v>
      </c>
      <c r="E24" s="10" t="n">
        <v>12</v>
      </c>
      <c r="F24" s="10" t="n">
        <v>0</v>
      </c>
      <c r="G24" s="10" t="n">
        <v>0</v>
      </c>
      <c r="H24" s="10" t="n">
        <v>0</v>
      </c>
      <c r="I24" s="10" t="n">
        <v>0</v>
      </c>
      <c r="J24" s="10" t="n">
        <v>12</v>
      </c>
      <c r="K24" s="10" t="s">
        <v>1379</v>
      </c>
      <c r="L24" s="10"/>
    </row>
    <row r="25" customFormat="false" ht="15" hidden="false" customHeight="false" outlineLevel="0" collapsed="false">
      <c r="A25" s="12" t="s">
        <v>1174</v>
      </c>
      <c r="B25" s="12" t="s">
        <v>1175</v>
      </c>
      <c r="C25" s="12" t="s">
        <v>1213</v>
      </c>
      <c r="D25" s="12" t="n">
        <v>0</v>
      </c>
      <c r="E25" s="12" t="n">
        <v>6</v>
      </c>
      <c r="F25" s="12" t="n">
        <v>1</v>
      </c>
      <c r="G25" s="12" t="n">
        <v>0</v>
      </c>
      <c r="H25" s="12" t="n">
        <v>0</v>
      </c>
      <c r="I25" s="12" t="n">
        <v>0</v>
      </c>
      <c r="J25" s="12" t="n">
        <v>5</v>
      </c>
      <c r="K25" s="12" t="s">
        <v>3516</v>
      </c>
      <c r="L25" s="12"/>
    </row>
    <row r="26" customFormat="false" ht="15" hidden="false" customHeight="false" outlineLevel="0" collapsed="false">
      <c r="A26" s="10" t="s">
        <v>1174</v>
      </c>
      <c r="B26" s="10" t="s">
        <v>1175</v>
      </c>
      <c r="C26" s="10" t="s">
        <v>1222</v>
      </c>
      <c r="D26" s="10" t="n">
        <v>0</v>
      </c>
      <c r="E26" s="10" t="n">
        <v>6</v>
      </c>
      <c r="F26" s="10" t="n">
        <v>0</v>
      </c>
      <c r="G26" s="10" t="n">
        <v>0</v>
      </c>
      <c r="H26" s="10" t="n">
        <v>0</v>
      </c>
      <c r="I26" s="10" t="n">
        <v>0</v>
      </c>
      <c r="J26" s="10" t="n">
        <v>6</v>
      </c>
      <c r="K26" s="10" t="s">
        <v>1382</v>
      </c>
      <c r="L26" s="10"/>
    </row>
    <row r="27" customFormat="false" ht="15" hidden="false" customHeight="false" outlineLevel="0" collapsed="false">
      <c r="A27" s="12" t="s">
        <v>1174</v>
      </c>
      <c r="B27" s="12" t="s">
        <v>1175</v>
      </c>
      <c r="C27" s="12" t="s">
        <v>1207</v>
      </c>
      <c r="D27" s="12" t="n">
        <v>0</v>
      </c>
      <c r="E27" s="12" t="n">
        <v>10.5</v>
      </c>
      <c r="F27" s="12" t="n">
        <v>0</v>
      </c>
      <c r="G27" s="12" t="n">
        <v>0</v>
      </c>
      <c r="H27" s="12" t="n">
        <v>0</v>
      </c>
      <c r="I27" s="12" t="n">
        <v>0</v>
      </c>
      <c r="J27" s="12" t="n">
        <v>10.5</v>
      </c>
      <c r="K27" s="12" t="s">
        <v>3517</v>
      </c>
      <c r="L27" s="12" t="s">
        <v>3518</v>
      </c>
    </row>
    <row r="28" customFormat="false" ht="15" hidden="false" customHeight="false" outlineLevel="0" collapsed="false">
      <c r="A28" s="10" t="s">
        <v>1166</v>
      </c>
      <c r="B28" s="10" t="s">
        <v>1167</v>
      </c>
      <c r="C28" s="10" t="s">
        <v>1207</v>
      </c>
      <c r="D28" s="10" t="n">
        <v>0</v>
      </c>
      <c r="E28" s="10" t="n">
        <v>13.5</v>
      </c>
      <c r="F28" s="10" t="n">
        <v>4</v>
      </c>
      <c r="G28" s="10" t="n">
        <v>0</v>
      </c>
      <c r="H28" s="10" t="n">
        <v>0</v>
      </c>
      <c r="I28" s="10" t="n">
        <v>0</v>
      </c>
      <c r="J28" s="10" t="n">
        <v>9.5</v>
      </c>
      <c r="K28" s="10" t="s">
        <v>3519</v>
      </c>
      <c r="L28" s="10" t="s">
        <v>3520</v>
      </c>
    </row>
    <row r="29" customFormat="false" ht="15" hidden="false" customHeight="false" outlineLevel="0" collapsed="false">
      <c r="A29" s="12" t="s">
        <v>961</v>
      </c>
      <c r="B29" s="12" t="s">
        <v>962</v>
      </c>
      <c r="C29" s="12" t="s">
        <v>1207</v>
      </c>
      <c r="D29" s="12" t="n">
        <v>0</v>
      </c>
      <c r="E29" s="12" t="n">
        <v>12</v>
      </c>
      <c r="F29" s="12" t="n">
        <v>6</v>
      </c>
      <c r="G29" s="12" t="n">
        <v>0</v>
      </c>
      <c r="H29" s="12" t="n">
        <v>0</v>
      </c>
      <c r="I29" s="12" t="n">
        <v>0</v>
      </c>
      <c r="J29" s="12" t="n">
        <v>6</v>
      </c>
      <c r="K29" s="12" t="s">
        <v>3521</v>
      </c>
      <c r="L29" s="12" t="s">
        <v>3522</v>
      </c>
    </row>
    <row r="30" customFormat="false" ht="15" hidden="false" customHeight="false" outlineLevel="0" collapsed="false">
      <c r="A30" s="10" t="s">
        <v>953</v>
      </c>
      <c r="B30" s="10" t="s">
        <v>954</v>
      </c>
      <c r="C30" s="10" t="s">
        <v>1224</v>
      </c>
      <c r="D30" s="10" t="n">
        <v>0</v>
      </c>
      <c r="E30" s="10" t="n">
        <v>1</v>
      </c>
      <c r="F30" s="10" t="n">
        <v>0</v>
      </c>
      <c r="G30" s="10" t="n">
        <v>0</v>
      </c>
      <c r="H30" s="10" t="n">
        <v>0</v>
      </c>
      <c r="I30" s="10" t="n">
        <v>0</v>
      </c>
      <c r="J30" s="10" t="n">
        <v>1</v>
      </c>
      <c r="K30" s="10" t="s">
        <v>1408</v>
      </c>
      <c r="L30" s="10"/>
    </row>
    <row r="31" customFormat="false" ht="22.35" hidden="false" customHeight="false" outlineLevel="0" collapsed="false">
      <c r="A31" s="12" t="s">
        <v>978</v>
      </c>
      <c r="B31" s="12" t="s">
        <v>979</v>
      </c>
      <c r="C31" s="12" t="s">
        <v>1224</v>
      </c>
      <c r="D31" s="12" t="n">
        <v>0</v>
      </c>
      <c r="E31" s="12" t="n">
        <v>1</v>
      </c>
      <c r="F31" s="12" t="n">
        <v>0</v>
      </c>
      <c r="G31" s="12" t="n">
        <v>0</v>
      </c>
      <c r="H31" s="12" t="n">
        <v>1</v>
      </c>
      <c r="I31" s="12" t="n">
        <v>0</v>
      </c>
      <c r="J31" s="12" t="n">
        <v>0</v>
      </c>
      <c r="K31" s="12" t="s">
        <v>3523</v>
      </c>
      <c r="L31" s="12" t="s">
        <v>3524</v>
      </c>
    </row>
    <row r="33" customFormat="false" ht="27.75" hidden="false" customHeight="true" outlineLevel="0" collapsed="false">
      <c r="A33" s="14" t="s">
        <v>3525</v>
      </c>
      <c r="B33" s="14"/>
      <c r="C33" s="14"/>
      <c r="D33" s="14"/>
      <c r="E33" s="14"/>
      <c r="F33" s="14"/>
      <c r="G33" s="14"/>
      <c r="H33" s="14"/>
      <c r="I33" s="14"/>
      <c r="J33" s="14"/>
    </row>
  </sheetData>
  <mergeCells count="1">
    <mergeCell ref="A33:J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2"/>
    <col collapsed="false" customWidth="true" hidden="false" outlineLevel="0" max="4" min="4" style="0" width="10"/>
    <col collapsed="false" customWidth="true" hidden="false" outlineLevel="0" max="6" min="5" style="0" width="14"/>
    <col collapsed="false" customWidth="true" hidden="false" outlineLevel="0" max="7" min="7" style="0" width="13"/>
    <col collapsed="false" customWidth="true" hidden="false" outlineLevel="0" max="8" min="8" style="0" width="14"/>
    <col collapsed="false" customWidth="true" hidden="false" outlineLevel="0" max="9" min="9" style="0" width="26"/>
    <col collapsed="false" customWidth="true" hidden="false" outlineLevel="0" max="11" min="10" style="0" width="11"/>
    <col collapsed="false" customWidth="true" hidden="false" outlineLevel="0" max="12" min="12" style="0" width="15"/>
    <col collapsed="false" customWidth="true" hidden="false" outlineLevel="0" max="13" min="13" style="0" width="16"/>
  </cols>
  <sheetData>
    <row r="1" customFormat="false" ht="30" hidden="false" customHeight="true" outlineLevel="0" collapsed="false">
      <c r="A1" s="8" t="s">
        <v>608</v>
      </c>
      <c r="B1" s="8" t="s">
        <v>1183</v>
      </c>
      <c r="C1" s="8" t="s">
        <v>628</v>
      </c>
      <c r="D1" s="8" t="s">
        <v>1198</v>
      </c>
      <c r="E1" s="8" t="s">
        <v>3526</v>
      </c>
      <c r="F1" s="8" t="s">
        <v>3527</v>
      </c>
      <c r="G1" s="8" t="s">
        <v>3528</v>
      </c>
      <c r="H1" s="8" t="s">
        <v>3529</v>
      </c>
      <c r="I1" s="8" t="s">
        <v>1202</v>
      </c>
      <c r="J1" s="8" t="s">
        <v>3530</v>
      </c>
      <c r="K1" s="8" t="s">
        <v>3531</v>
      </c>
      <c r="L1" s="8" t="s">
        <v>3532</v>
      </c>
      <c r="M1" s="8" t="s">
        <v>3533</v>
      </c>
    </row>
    <row r="2" customFormat="false" ht="15" hidden="false" customHeight="false" outlineLevel="0" collapsed="false">
      <c r="A2" s="10" t="s">
        <v>664</v>
      </c>
      <c r="B2" s="10" t="s">
        <v>665</v>
      </c>
      <c r="C2" s="10" t="s">
        <v>333</v>
      </c>
      <c r="D2" s="10" t="s">
        <v>1207</v>
      </c>
      <c r="E2" s="10" t="n">
        <v>13</v>
      </c>
      <c r="F2" s="10" t="n">
        <v>3</v>
      </c>
      <c r="G2" s="10"/>
      <c r="H2" s="10" t="n">
        <v>16</v>
      </c>
      <c r="I2" s="10" t="s">
        <v>1212</v>
      </c>
      <c r="J2" s="10" t="n">
        <v>16</v>
      </c>
      <c r="K2" s="10" t="n">
        <v>0</v>
      </c>
      <c r="L2" s="10" t="n">
        <v>6250</v>
      </c>
      <c r="M2" s="10" t="n">
        <v>100000</v>
      </c>
    </row>
    <row r="3" customFormat="false" ht="15" hidden="false" customHeight="false" outlineLevel="0" collapsed="false">
      <c r="A3" s="12" t="s">
        <v>664</v>
      </c>
      <c r="B3" s="12" t="s">
        <v>665</v>
      </c>
      <c r="C3" s="12" t="s">
        <v>333</v>
      </c>
      <c r="D3" s="12" t="s">
        <v>1213</v>
      </c>
      <c r="E3" s="12" t="n">
        <v>6</v>
      </c>
      <c r="F3" s="12" t="n">
        <v>0</v>
      </c>
      <c r="G3" s="12"/>
      <c r="H3" s="12" t="n">
        <v>6</v>
      </c>
      <c r="I3" s="12" t="s">
        <v>1218</v>
      </c>
      <c r="J3" s="12" t="n">
        <v>0</v>
      </c>
      <c r="K3" s="12" t="n">
        <v>6</v>
      </c>
      <c r="L3" s="12"/>
      <c r="M3" s="12" t="n">
        <v>0</v>
      </c>
    </row>
    <row r="4" customFormat="false" ht="15" hidden="false" customHeight="false" outlineLevel="0" collapsed="false">
      <c r="A4" s="10" t="s">
        <v>664</v>
      </c>
      <c r="B4" s="10" t="s">
        <v>665</v>
      </c>
      <c r="C4" s="10" t="s">
        <v>333</v>
      </c>
      <c r="D4" s="10" t="s">
        <v>1222</v>
      </c>
      <c r="E4" s="10" t="n">
        <v>6</v>
      </c>
      <c r="F4" s="10" t="n">
        <v>0</v>
      </c>
      <c r="G4" s="10"/>
      <c r="H4" s="10" t="n">
        <v>6</v>
      </c>
      <c r="I4" s="10" t="s">
        <v>1218</v>
      </c>
      <c r="J4" s="10" t="n">
        <v>0</v>
      </c>
      <c r="K4" s="10" t="n">
        <v>6</v>
      </c>
      <c r="L4" s="10"/>
      <c r="M4" s="10" t="n">
        <v>0</v>
      </c>
    </row>
    <row r="5" customFormat="false" ht="15" hidden="false" customHeight="false" outlineLevel="0" collapsed="false">
      <c r="A5" s="12" t="s">
        <v>580</v>
      </c>
      <c r="B5" s="12" t="s">
        <v>766</v>
      </c>
      <c r="C5" s="12" t="s">
        <v>346</v>
      </c>
      <c r="D5" s="12" t="s">
        <v>1207</v>
      </c>
      <c r="E5" s="12" t="n">
        <v>12</v>
      </c>
      <c r="F5" s="12" t="n">
        <v>6</v>
      </c>
      <c r="G5" s="12"/>
      <c r="H5" s="12" t="n">
        <v>18</v>
      </c>
      <c r="I5" s="12" t="s">
        <v>1212</v>
      </c>
      <c r="J5" s="12" t="n">
        <v>18</v>
      </c>
      <c r="K5" s="12" t="n">
        <v>0</v>
      </c>
      <c r="L5" s="12" t="n">
        <v>1647</v>
      </c>
      <c r="M5" s="12" t="n">
        <v>29646</v>
      </c>
    </row>
    <row r="6" customFormat="false" ht="15" hidden="false" customHeight="false" outlineLevel="0" collapsed="false">
      <c r="A6" s="10" t="s">
        <v>580</v>
      </c>
      <c r="B6" s="10" t="s">
        <v>766</v>
      </c>
      <c r="C6" s="10" t="s">
        <v>346</v>
      </c>
      <c r="D6" s="10" t="s">
        <v>1213</v>
      </c>
      <c r="E6" s="10" t="n">
        <v>6</v>
      </c>
      <c r="F6" s="10" t="n">
        <v>0</v>
      </c>
      <c r="G6" s="10"/>
      <c r="H6" s="10" t="n">
        <v>6</v>
      </c>
      <c r="I6" s="10" t="s">
        <v>1218</v>
      </c>
      <c r="J6" s="10" t="n">
        <v>0</v>
      </c>
      <c r="K6" s="10" t="n">
        <v>6</v>
      </c>
      <c r="L6" s="10"/>
      <c r="M6" s="10" t="n">
        <v>0</v>
      </c>
    </row>
    <row r="7" customFormat="false" ht="15" hidden="false" customHeight="false" outlineLevel="0" collapsed="false">
      <c r="A7" s="12" t="s">
        <v>773</v>
      </c>
      <c r="B7" s="12" t="s">
        <v>774</v>
      </c>
      <c r="C7" s="12" t="s">
        <v>346</v>
      </c>
      <c r="D7" s="12" t="s">
        <v>1207</v>
      </c>
      <c r="E7" s="12" t="n">
        <v>12</v>
      </c>
      <c r="F7" s="12" t="n">
        <v>6</v>
      </c>
      <c r="G7" s="12"/>
      <c r="H7" s="12" t="n">
        <v>18</v>
      </c>
      <c r="I7" s="12" t="s">
        <v>1212</v>
      </c>
      <c r="J7" s="12" t="n">
        <v>18</v>
      </c>
      <c r="K7" s="12" t="n">
        <v>0</v>
      </c>
      <c r="L7" s="12" t="n">
        <v>1658</v>
      </c>
      <c r="M7" s="12" t="n">
        <v>29844</v>
      </c>
    </row>
    <row r="8" customFormat="false" ht="15" hidden="false" customHeight="false" outlineLevel="0" collapsed="false">
      <c r="A8" s="10" t="s">
        <v>773</v>
      </c>
      <c r="B8" s="10" t="s">
        <v>774</v>
      </c>
      <c r="C8" s="10" t="s">
        <v>346</v>
      </c>
      <c r="D8" s="10" t="s">
        <v>1213</v>
      </c>
      <c r="E8" s="10" t="n">
        <v>4</v>
      </c>
      <c r="F8" s="10" t="n">
        <v>0</v>
      </c>
      <c r="G8" s="10"/>
      <c r="H8" s="10" t="n">
        <v>4</v>
      </c>
      <c r="I8" s="10" t="s">
        <v>1218</v>
      </c>
      <c r="J8" s="10" t="n">
        <v>0</v>
      </c>
      <c r="K8" s="10" t="n">
        <v>4</v>
      </c>
      <c r="L8" s="10"/>
      <c r="M8" s="10" t="n">
        <v>0</v>
      </c>
    </row>
    <row r="9" customFormat="false" ht="15" hidden="false" customHeight="false" outlineLevel="0" collapsed="false">
      <c r="A9" s="12" t="s">
        <v>773</v>
      </c>
      <c r="B9" s="12" t="s">
        <v>774</v>
      </c>
      <c r="C9" s="12" t="s">
        <v>346</v>
      </c>
      <c r="D9" s="12" t="s">
        <v>1222</v>
      </c>
      <c r="E9" s="12" t="n">
        <v>6</v>
      </c>
      <c r="F9" s="12" t="n">
        <v>0</v>
      </c>
      <c r="G9" s="12"/>
      <c r="H9" s="12" t="n">
        <v>6</v>
      </c>
      <c r="I9" s="12" t="s">
        <v>1218</v>
      </c>
      <c r="J9" s="12" t="n">
        <v>0</v>
      </c>
      <c r="K9" s="12" t="n">
        <v>6</v>
      </c>
      <c r="L9" s="12"/>
      <c r="M9" s="12" t="n">
        <v>0</v>
      </c>
    </row>
    <row r="10" customFormat="false" ht="15" hidden="false" customHeight="false" outlineLevel="0" collapsed="false">
      <c r="A10" s="10" t="s">
        <v>1157</v>
      </c>
      <c r="B10" s="10" t="s">
        <v>1158</v>
      </c>
      <c r="C10" s="10" t="s">
        <v>346</v>
      </c>
      <c r="D10" s="10" t="s">
        <v>1207</v>
      </c>
      <c r="E10" s="10" t="n">
        <v>9</v>
      </c>
      <c r="F10" s="10" t="n">
        <v>4.5</v>
      </c>
      <c r="G10" s="10"/>
      <c r="H10" s="10" t="n">
        <v>13.5</v>
      </c>
      <c r="I10" s="10" t="s">
        <v>1212</v>
      </c>
      <c r="J10" s="10" t="n">
        <v>13.5</v>
      </c>
      <c r="K10" s="10" t="n">
        <v>0</v>
      </c>
      <c r="L10" s="10" t="n">
        <v>1647</v>
      </c>
      <c r="M10" s="10" t="n">
        <v>22235</v>
      </c>
    </row>
    <row r="11" customFormat="false" ht="15" hidden="false" customHeight="false" outlineLevel="0" collapsed="false">
      <c r="A11" s="12" t="s">
        <v>1157</v>
      </c>
      <c r="B11" s="12" t="s">
        <v>1158</v>
      </c>
      <c r="C11" s="12" t="s">
        <v>346</v>
      </c>
      <c r="D11" s="12" t="s">
        <v>1213</v>
      </c>
      <c r="E11" s="12" t="n">
        <v>5</v>
      </c>
      <c r="F11" s="12" t="n">
        <v>0</v>
      </c>
      <c r="G11" s="12"/>
      <c r="H11" s="12" t="n">
        <v>5</v>
      </c>
      <c r="I11" s="12" t="s">
        <v>1218</v>
      </c>
      <c r="J11" s="12" t="n">
        <v>0</v>
      </c>
      <c r="K11" s="12" t="n">
        <v>5</v>
      </c>
      <c r="L11" s="12"/>
      <c r="M11" s="12" t="n">
        <v>0</v>
      </c>
    </row>
    <row r="12" customFormat="false" ht="15" hidden="false" customHeight="false" outlineLevel="0" collapsed="false">
      <c r="A12" s="10" t="s">
        <v>1174</v>
      </c>
      <c r="B12" s="10" t="s">
        <v>1175</v>
      </c>
      <c r="C12" s="10" t="s">
        <v>346</v>
      </c>
      <c r="D12" s="10" t="s">
        <v>1207</v>
      </c>
      <c r="E12" s="10" t="n">
        <v>10.5</v>
      </c>
      <c r="F12" s="10" t="n">
        <v>6</v>
      </c>
      <c r="G12" s="10"/>
      <c r="H12" s="10" t="n">
        <v>16.5</v>
      </c>
      <c r="I12" s="10" t="s">
        <v>1212</v>
      </c>
      <c r="J12" s="10" t="n">
        <v>16.5</v>
      </c>
      <c r="K12" s="10" t="n">
        <v>0</v>
      </c>
      <c r="L12" s="10" t="n">
        <v>937</v>
      </c>
      <c r="M12" s="10" t="n">
        <v>15461</v>
      </c>
    </row>
    <row r="13" customFormat="false" ht="15" hidden="false" customHeight="false" outlineLevel="0" collapsed="false">
      <c r="A13" s="12" t="s">
        <v>1174</v>
      </c>
      <c r="B13" s="12" t="s">
        <v>1175</v>
      </c>
      <c r="C13" s="12" t="s">
        <v>346</v>
      </c>
      <c r="D13" s="12" t="s">
        <v>1213</v>
      </c>
      <c r="E13" s="12" t="n">
        <v>5</v>
      </c>
      <c r="F13" s="12" t="n">
        <v>0</v>
      </c>
      <c r="G13" s="12"/>
      <c r="H13" s="12" t="n">
        <v>5</v>
      </c>
      <c r="I13" s="12" t="s">
        <v>1218</v>
      </c>
      <c r="J13" s="12" t="n">
        <v>0</v>
      </c>
      <c r="K13" s="12" t="n">
        <v>5</v>
      </c>
      <c r="L13" s="12"/>
      <c r="M13" s="12" t="n">
        <v>0</v>
      </c>
    </row>
    <row r="14" customFormat="false" ht="15" hidden="false" customHeight="false" outlineLevel="0" collapsed="false">
      <c r="A14" s="10" t="s">
        <v>855</v>
      </c>
      <c r="B14" s="10" t="s">
        <v>856</v>
      </c>
      <c r="C14" s="10" t="s">
        <v>373</v>
      </c>
      <c r="D14" s="10" t="s">
        <v>1213</v>
      </c>
      <c r="E14" s="10" t="n">
        <v>3</v>
      </c>
      <c r="F14" s="10" t="n">
        <v>0</v>
      </c>
      <c r="G14" s="10"/>
      <c r="H14" s="10" t="n">
        <v>3</v>
      </c>
      <c r="I14" s="10" t="s">
        <v>1218</v>
      </c>
      <c r="J14" s="10" t="n">
        <v>0</v>
      </c>
      <c r="K14" s="10" t="n">
        <v>3</v>
      </c>
      <c r="L14" s="10"/>
      <c r="M14" s="10" t="n">
        <v>0</v>
      </c>
    </row>
    <row r="15" customFormat="false" ht="15" hidden="false" customHeight="false" outlineLevel="0" collapsed="false">
      <c r="A15" s="12" t="s">
        <v>840</v>
      </c>
      <c r="B15" s="12" t="s">
        <v>841</v>
      </c>
      <c r="C15" s="12" t="s">
        <v>346</v>
      </c>
      <c r="D15" s="12" t="s">
        <v>1224</v>
      </c>
      <c r="E15" s="12" t="n">
        <v>1</v>
      </c>
      <c r="F15" s="12" t="n">
        <v>0</v>
      </c>
      <c r="G15" s="12" t="n">
        <v>1</v>
      </c>
      <c r="H15" s="12" t="n">
        <v>0</v>
      </c>
      <c r="I15" s="12" t="s">
        <v>3534</v>
      </c>
      <c r="J15" s="12" t="n">
        <v>0</v>
      </c>
      <c r="K15" s="12" t="n">
        <v>1</v>
      </c>
      <c r="L15" s="12"/>
      <c r="M15" s="12" t="n">
        <v>0</v>
      </c>
    </row>
    <row r="17" customFormat="false" ht="27.75" hidden="false" customHeight="true" outlineLevel="0" collapsed="false">
      <c r="A17" s="14" t="s">
        <v>3535</v>
      </c>
      <c r="B17" s="14"/>
      <c r="C17" s="14"/>
      <c r="D17" s="14"/>
      <c r="E17" s="14"/>
      <c r="F17" s="14"/>
      <c r="G17" s="14"/>
      <c r="H17" s="14"/>
      <c r="I17" s="14"/>
      <c r="J17" s="14"/>
    </row>
  </sheetData>
  <mergeCells count="1">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20"/>
    <col collapsed="false" customWidth="true" hidden="false" outlineLevel="0" max="5" min="4" style="0" width="12"/>
    <col collapsed="false" customWidth="true" hidden="false" outlineLevel="0" max="6" min="6" style="0" width="10"/>
    <col collapsed="false" customWidth="true" hidden="false" outlineLevel="0" max="9" min="7" style="0" width="9"/>
    <col collapsed="false" customWidth="true" hidden="false" outlineLevel="0" max="10" min="10" style="0" width="8"/>
    <col collapsed="false" customWidth="true" hidden="false" outlineLevel="0" max="11" min="11" style="0" width="9"/>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7" min="15" style="0" width="10"/>
    <col collapsed="false" customWidth="true" hidden="false" outlineLevel="0" max="18" min="18" style="0" width="11"/>
    <col collapsed="false" customWidth="true" hidden="false" outlineLevel="0" max="19" min="19" style="0" width="12"/>
    <col collapsed="false" customWidth="true" hidden="false" outlineLevel="0" max="20" min="20" style="0" width="9"/>
    <col collapsed="false" customWidth="true" hidden="false" outlineLevel="0" max="22" min="21" style="0" width="10"/>
    <col collapsed="false" customWidth="true" hidden="false" outlineLevel="0" max="23" min="23" style="0" width="11"/>
    <col collapsed="false" customWidth="true" hidden="false" outlineLevel="0" max="24" min="24" style="0" width="10"/>
    <col collapsed="false" customWidth="true" hidden="false" outlineLevel="0" max="25" min="25" style="0" width="72"/>
    <col collapsed="false" customWidth="true" hidden="false" outlineLevel="0" max="26" min="26" style="0" width="12"/>
  </cols>
  <sheetData>
    <row r="1" customFormat="false" ht="30" hidden="false" customHeight="true" outlineLevel="0" collapsed="false">
      <c r="A1" s="8" t="s">
        <v>3536</v>
      </c>
      <c r="B1" s="8" t="s">
        <v>608</v>
      </c>
      <c r="C1" s="8" t="s">
        <v>1183</v>
      </c>
      <c r="D1" s="8" t="s">
        <v>213</v>
      </c>
      <c r="E1" s="8" t="s">
        <v>3537</v>
      </c>
      <c r="F1" s="8" t="s">
        <v>3538</v>
      </c>
      <c r="G1" s="8" t="s">
        <v>3539</v>
      </c>
      <c r="H1" s="8" t="s">
        <v>3540</v>
      </c>
      <c r="I1" s="8" t="s">
        <v>2802</v>
      </c>
      <c r="J1" s="8" t="s">
        <v>3541</v>
      </c>
      <c r="K1" s="8" t="s">
        <v>3542</v>
      </c>
      <c r="L1" s="8" t="s">
        <v>2817</v>
      </c>
      <c r="M1" s="8" t="s">
        <v>2819</v>
      </c>
      <c r="N1" s="8" t="s">
        <v>2821</v>
      </c>
      <c r="O1" s="8" t="s">
        <v>3543</v>
      </c>
      <c r="P1" s="8" t="s">
        <v>3544</v>
      </c>
      <c r="Q1" s="8" t="s">
        <v>3545</v>
      </c>
      <c r="R1" s="8" t="s">
        <v>3335</v>
      </c>
      <c r="S1" s="8" t="s">
        <v>3546</v>
      </c>
      <c r="T1" s="8" t="s">
        <v>3547</v>
      </c>
      <c r="U1" s="8" t="s">
        <v>2874</v>
      </c>
      <c r="V1" s="8" t="s">
        <v>3548</v>
      </c>
      <c r="W1" s="8" t="s">
        <v>3549</v>
      </c>
      <c r="X1" s="8" t="s">
        <v>3550</v>
      </c>
      <c r="Y1" s="8" t="s">
        <v>3505</v>
      </c>
      <c r="Z1" s="8" t="s">
        <v>40</v>
      </c>
    </row>
    <row r="2" customFormat="false" ht="15" hidden="false" customHeight="false" outlineLevel="0" collapsed="false">
      <c r="A2" s="10" t="s">
        <v>2441</v>
      </c>
      <c r="B2" s="10" t="s">
        <v>580</v>
      </c>
      <c r="C2" s="10" t="s">
        <v>766</v>
      </c>
      <c r="D2" s="10" t="s">
        <v>232</v>
      </c>
      <c r="E2" s="10" t="s">
        <v>227</v>
      </c>
      <c r="F2" s="10" t="n">
        <v>31</v>
      </c>
      <c r="G2" s="10" t="n">
        <v>31</v>
      </c>
      <c r="H2" s="10" t="n">
        <v>0</v>
      </c>
      <c r="I2" s="10" t="n">
        <v>38250</v>
      </c>
      <c r="J2" s="10" t="n">
        <v>4590</v>
      </c>
      <c r="K2" s="10" t="n">
        <v>15300</v>
      </c>
      <c r="L2" s="10" t="n">
        <v>1600</v>
      </c>
      <c r="M2" s="10" t="n">
        <v>10710</v>
      </c>
      <c r="N2" s="10" t="n">
        <v>0</v>
      </c>
      <c r="O2" s="10" t="n">
        <v>70450</v>
      </c>
      <c r="P2" s="10" t="n">
        <v>5141</v>
      </c>
      <c r="Q2" s="10" t="n">
        <v>0</v>
      </c>
      <c r="R2" s="10" t="n">
        <v>200</v>
      </c>
      <c r="S2" s="10" t="s">
        <v>218</v>
      </c>
      <c r="T2" s="10" t="n">
        <v>3100</v>
      </c>
      <c r="U2" s="10" t="n">
        <v>0</v>
      </c>
      <c r="V2" s="10" t="n">
        <v>0</v>
      </c>
      <c r="W2" s="10" t="n">
        <v>8441</v>
      </c>
      <c r="X2" s="10" t="n">
        <v>62009</v>
      </c>
      <c r="Y2" s="10" t="s">
        <v>3551</v>
      </c>
      <c r="Z2" s="10"/>
    </row>
    <row r="3" customFormat="false" ht="15" hidden="false" customHeight="false" outlineLevel="0" collapsed="false">
      <c r="A3" s="12" t="s">
        <v>2441</v>
      </c>
      <c r="B3" s="12" t="s">
        <v>773</v>
      </c>
      <c r="C3" s="12" t="s">
        <v>774</v>
      </c>
      <c r="D3" s="12" t="s">
        <v>232</v>
      </c>
      <c r="E3" s="12" t="s">
        <v>227</v>
      </c>
      <c r="F3" s="12" t="n">
        <v>31</v>
      </c>
      <c r="G3" s="12" t="n">
        <v>31</v>
      </c>
      <c r="H3" s="12" t="n">
        <v>0</v>
      </c>
      <c r="I3" s="12" t="n">
        <v>38500</v>
      </c>
      <c r="J3" s="12" t="n">
        <v>4620</v>
      </c>
      <c r="K3" s="12" t="n">
        <v>15400</v>
      </c>
      <c r="L3" s="12" t="n">
        <v>1600</v>
      </c>
      <c r="M3" s="12" t="n">
        <v>10780</v>
      </c>
      <c r="N3" s="12" t="n">
        <v>0</v>
      </c>
      <c r="O3" s="12" t="n">
        <v>70900</v>
      </c>
      <c r="P3" s="12" t="n">
        <v>5174</v>
      </c>
      <c r="Q3" s="12" t="n">
        <v>0</v>
      </c>
      <c r="R3" s="12" t="n">
        <v>200</v>
      </c>
      <c r="S3" s="12" t="s">
        <v>218</v>
      </c>
      <c r="T3" s="12" t="n">
        <v>3150</v>
      </c>
      <c r="U3" s="12" t="n">
        <v>0</v>
      </c>
      <c r="V3" s="12" t="n">
        <v>0</v>
      </c>
      <c r="W3" s="12" t="n">
        <v>8524</v>
      </c>
      <c r="X3" s="12" t="n">
        <v>62376</v>
      </c>
      <c r="Y3" s="12" t="s">
        <v>3552</v>
      </c>
      <c r="Z3" s="12"/>
    </row>
    <row r="4" customFormat="false" ht="15" hidden="false" customHeight="false" outlineLevel="0" collapsed="false">
      <c r="A4" s="10" t="s">
        <v>2441</v>
      </c>
      <c r="B4" s="10" t="s">
        <v>797</v>
      </c>
      <c r="C4" s="10" t="s">
        <v>798</v>
      </c>
      <c r="D4" s="10" t="s">
        <v>232</v>
      </c>
      <c r="E4" s="10" t="s">
        <v>227</v>
      </c>
      <c r="F4" s="10" t="n">
        <v>31</v>
      </c>
      <c r="G4" s="10" t="n">
        <v>31</v>
      </c>
      <c r="H4" s="10" t="n">
        <v>0</v>
      </c>
      <c r="I4" s="10" t="n">
        <v>21500</v>
      </c>
      <c r="J4" s="10" t="n">
        <v>2580</v>
      </c>
      <c r="K4" s="10" t="n">
        <v>8600</v>
      </c>
      <c r="L4" s="10" t="n">
        <v>1600</v>
      </c>
      <c r="M4" s="10" t="n">
        <v>6020</v>
      </c>
      <c r="N4" s="10" t="n">
        <v>0</v>
      </c>
      <c r="O4" s="10" t="n">
        <v>40300</v>
      </c>
      <c r="P4" s="10" t="n">
        <v>2890</v>
      </c>
      <c r="Q4" s="10" t="n">
        <v>0</v>
      </c>
      <c r="R4" s="10" t="n">
        <v>200</v>
      </c>
      <c r="S4" s="10" t="s">
        <v>218</v>
      </c>
      <c r="T4" s="10" t="n">
        <v>900</v>
      </c>
      <c r="U4" s="10" t="n">
        <v>0</v>
      </c>
      <c r="V4" s="10" t="n">
        <v>0</v>
      </c>
      <c r="W4" s="10" t="n">
        <v>3990</v>
      </c>
      <c r="X4" s="10" t="n">
        <v>36310</v>
      </c>
      <c r="Y4" s="10" t="s">
        <v>3553</v>
      </c>
      <c r="Z4" s="10"/>
    </row>
    <row r="5" customFormat="false" ht="22.35" hidden="false" customHeight="false" outlineLevel="0" collapsed="false">
      <c r="A5" s="12" t="s">
        <v>2441</v>
      </c>
      <c r="B5" s="12" t="s">
        <v>875</v>
      </c>
      <c r="C5" s="12" t="s">
        <v>876</v>
      </c>
      <c r="D5" s="12" t="s">
        <v>232</v>
      </c>
      <c r="E5" s="12" t="s">
        <v>227</v>
      </c>
      <c r="F5" s="12" t="n">
        <v>31</v>
      </c>
      <c r="G5" s="12" t="n">
        <v>27</v>
      </c>
      <c r="H5" s="12" t="n">
        <v>0</v>
      </c>
      <c r="I5" s="12" t="n">
        <v>17550</v>
      </c>
      <c r="J5" s="12" t="n">
        <v>0</v>
      </c>
      <c r="K5" s="12" t="n">
        <v>0</v>
      </c>
      <c r="L5" s="12" t="n">
        <v>0</v>
      </c>
      <c r="M5" s="12" t="n">
        <v>0</v>
      </c>
      <c r="N5" s="12" t="n">
        <v>0</v>
      </c>
      <c r="O5" s="12" t="n">
        <v>17550</v>
      </c>
      <c r="P5" s="12" t="n">
        <v>2106</v>
      </c>
      <c r="Q5" s="12" t="n">
        <v>132</v>
      </c>
      <c r="R5" s="12" t="n">
        <v>200</v>
      </c>
      <c r="S5" s="12" t="s">
        <v>218</v>
      </c>
      <c r="T5" s="12" t="n">
        <v>0</v>
      </c>
      <c r="U5" s="12" t="n">
        <v>0</v>
      </c>
      <c r="V5" s="12" t="n">
        <v>0</v>
      </c>
      <c r="W5" s="12" t="n">
        <v>2438</v>
      </c>
      <c r="X5" s="12" t="n">
        <v>15112</v>
      </c>
      <c r="Y5" s="12" t="s">
        <v>3554</v>
      </c>
      <c r="Z5" s="12" t="s">
        <v>420</v>
      </c>
    </row>
    <row r="6" customFormat="false" ht="15" hidden="false" customHeight="false" outlineLevel="0" collapsed="false">
      <c r="A6" s="10" t="s">
        <v>2441</v>
      </c>
      <c r="B6" s="10" t="s">
        <v>914</v>
      </c>
      <c r="C6" s="10" t="s">
        <v>915</v>
      </c>
      <c r="D6" s="10" t="s">
        <v>232</v>
      </c>
      <c r="E6" s="10" t="s">
        <v>227</v>
      </c>
      <c r="F6" s="10" t="n">
        <v>31</v>
      </c>
      <c r="G6" s="10" t="n">
        <v>27</v>
      </c>
      <c r="H6" s="10" t="n">
        <v>0</v>
      </c>
      <c r="I6" s="10" t="n">
        <v>17145</v>
      </c>
      <c r="J6" s="10" t="n">
        <v>0</v>
      </c>
      <c r="K6" s="10" t="n">
        <v>0</v>
      </c>
      <c r="L6" s="10" t="n">
        <v>0</v>
      </c>
      <c r="M6" s="10" t="n">
        <v>0</v>
      </c>
      <c r="N6" s="10" t="n">
        <v>0</v>
      </c>
      <c r="O6" s="10" t="n">
        <v>17145</v>
      </c>
      <c r="P6" s="10" t="n">
        <v>2057</v>
      </c>
      <c r="Q6" s="10" t="n">
        <v>129</v>
      </c>
      <c r="R6" s="10" t="n">
        <v>200</v>
      </c>
      <c r="S6" s="10" t="s">
        <v>218</v>
      </c>
      <c r="T6" s="10" t="n">
        <v>0</v>
      </c>
      <c r="U6" s="10" t="n">
        <v>0</v>
      </c>
      <c r="V6" s="10" t="n">
        <v>0</v>
      </c>
      <c r="W6" s="10" t="n">
        <v>2386</v>
      </c>
      <c r="X6" s="10" t="n">
        <v>14759</v>
      </c>
      <c r="Y6" s="10" t="s">
        <v>3555</v>
      </c>
      <c r="Z6" s="10" t="s">
        <v>428</v>
      </c>
    </row>
    <row r="7" customFormat="false" ht="22.35" hidden="false" customHeight="false" outlineLevel="0" collapsed="false">
      <c r="A7" s="12" t="s">
        <v>2441</v>
      </c>
      <c r="B7" s="12" t="s">
        <v>978</v>
      </c>
      <c r="C7" s="12" t="s">
        <v>979</v>
      </c>
      <c r="D7" s="12" t="s">
        <v>243</v>
      </c>
      <c r="E7" s="12" t="s">
        <v>234</v>
      </c>
      <c r="F7" s="12" t="n">
        <v>31</v>
      </c>
      <c r="G7" s="12" t="n">
        <v>31</v>
      </c>
      <c r="H7" s="12" t="n">
        <v>0</v>
      </c>
      <c r="I7" s="12" t="n">
        <v>21750</v>
      </c>
      <c r="J7" s="12" t="n">
        <v>2610</v>
      </c>
      <c r="K7" s="12" t="n">
        <v>8700</v>
      </c>
      <c r="L7" s="12" t="n">
        <v>1600</v>
      </c>
      <c r="M7" s="12" t="n">
        <v>6090</v>
      </c>
      <c r="N7" s="12" t="n">
        <v>0</v>
      </c>
      <c r="O7" s="12" t="n">
        <v>40750</v>
      </c>
      <c r="P7" s="12" t="n">
        <v>2923</v>
      </c>
      <c r="Q7" s="12" t="n">
        <v>0</v>
      </c>
      <c r="R7" s="12" t="n">
        <v>200</v>
      </c>
      <c r="S7" s="12" t="s">
        <v>237</v>
      </c>
      <c r="T7" s="12" t="n">
        <v>900</v>
      </c>
      <c r="U7" s="12" t="n">
        <v>3500</v>
      </c>
      <c r="V7" s="12" t="n">
        <v>0</v>
      </c>
      <c r="W7" s="12" t="n">
        <v>7523</v>
      </c>
      <c r="X7" s="12" t="n">
        <v>33227</v>
      </c>
      <c r="Y7" s="12" t="s">
        <v>3556</v>
      </c>
      <c r="Z7" s="12" t="s">
        <v>2878</v>
      </c>
    </row>
    <row r="8" customFormat="false" ht="32.8" hidden="false" customHeight="false" outlineLevel="0" collapsed="false">
      <c r="A8" s="10" t="s">
        <v>2441</v>
      </c>
      <c r="B8" s="10" t="s">
        <v>1068</v>
      </c>
      <c r="C8" s="10" t="s">
        <v>1069</v>
      </c>
      <c r="D8" s="10" t="s">
        <v>225</v>
      </c>
      <c r="E8" s="10" t="s">
        <v>254</v>
      </c>
      <c r="F8" s="10" t="n">
        <v>31</v>
      </c>
      <c r="G8" s="10" t="n">
        <v>31</v>
      </c>
      <c r="H8" s="10" t="n">
        <v>0</v>
      </c>
      <c r="I8" s="10" t="n">
        <v>39000</v>
      </c>
      <c r="J8" s="10" t="n">
        <v>4680</v>
      </c>
      <c r="K8" s="10" t="n">
        <v>15600</v>
      </c>
      <c r="L8" s="10" t="n">
        <v>1600</v>
      </c>
      <c r="M8" s="10" t="n">
        <v>10920</v>
      </c>
      <c r="N8" s="10" t="n">
        <v>0</v>
      </c>
      <c r="O8" s="10" t="n">
        <v>71800</v>
      </c>
      <c r="P8" s="10" t="n">
        <v>5242</v>
      </c>
      <c r="Q8" s="10" t="n">
        <v>0</v>
      </c>
      <c r="R8" s="10" t="n">
        <v>0</v>
      </c>
      <c r="S8" s="10" t="s">
        <v>257</v>
      </c>
      <c r="T8" s="10" t="n">
        <v>3200</v>
      </c>
      <c r="U8" s="10" t="n">
        <v>0</v>
      </c>
      <c r="V8" s="10" t="n">
        <v>0</v>
      </c>
      <c r="W8" s="10" t="n">
        <v>8442</v>
      </c>
      <c r="X8" s="10" t="n">
        <v>63358</v>
      </c>
      <c r="Y8" s="10" t="s">
        <v>3557</v>
      </c>
      <c r="Z8" s="10" t="s">
        <v>3558</v>
      </c>
    </row>
    <row r="9" customFormat="false" ht="15" hidden="false" customHeight="false" outlineLevel="0" collapsed="false">
      <c r="A9" s="12" t="s">
        <v>2441</v>
      </c>
      <c r="B9" s="12" t="s">
        <v>1174</v>
      </c>
      <c r="C9" s="12" t="s">
        <v>1175</v>
      </c>
      <c r="D9" s="12" t="s">
        <v>232</v>
      </c>
      <c r="E9" s="12" t="s">
        <v>227</v>
      </c>
      <c r="F9" s="12" t="n">
        <v>31</v>
      </c>
      <c r="G9" s="12" t="n">
        <v>31</v>
      </c>
      <c r="H9" s="12" t="n">
        <v>0</v>
      </c>
      <c r="I9" s="12" t="n">
        <v>21750</v>
      </c>
      <c r="J9" s="12" t="n">
        <v>2610</v>
      </c>
      <c r="K9" s="12" t="n">
        <v>8700</v>
      </c>
      <c r="L9" s="12" t="n">
        <v>1600</v>
      </c>
      <c r="M9" s="12" t="n">
        <v>6090</v>
      </c>
      <c r="N9" s="12" t="n">
        <v>0</v>
      </c>
      <c r="O9" s="12" t="n">
        <v>40750</v>
      </c>
      <c r="P9" s="12" t="n">
        <v>2923</v>
      </c>
      <c r="Q9" s="12" t="n">
        <v>0</v>
      </c>
      <c r="R9" s="12" t="n">
        <v>200</v>
      </c>
      <c r="S9" s="12" t="s">
        <v>218</v>
      </c>
      <c r="T9" s="12" t="n">
        <v>900</v>
      </c>
      <c r="U9" s="12" t="n">
        <v>0</v>
      </c>
      <c r="V9" s="12" t="n">
        <v>0</v>
      </c>
      <c r="W9" s="12" t="n">
        <v>4023</v>
      </c>
      <c r="X9" s="12" t="n">
        <v>36727</v>
      </c>
      <c r="Y9" s="12" t="s">
        <v>3559</v>
      </c>
      <c r="Z9" s="12"/>
    </row>
    <row r="10" customFormat="false" ht="22.35" hidden="false" customHeight="false" outlineLevel="0" collapsed="false">
      <c r="A10" s="10" t="s">
        <v>2445</v>
      </c>
      <c r="B10" s="10" t="s">
        <v>773</v>
      </c>
      <c r="C10" s="10" t="s">
        <v>774</v>
      </c>
      <c r="D10" s="10" t="s">
        <v>232</v>
      </c>
      <c r="E10" s="10" t="s">
        <v>227</v>
      </c>
      <c r="F10" s="10" t="n">
        <v>30</v>
      </c>
      <c r="G10" s="10" t="n">
        <v>29</v>
      </c>
      <c r="H10" s="10" t="n">
        <v>1</v>
      </c>
      <c r="I10" s="10" t="n">
        <v>37217</v>
      </c>
      <c r="J10" s="10" t="n">
        <v>4466</v>
      </c>
      <c r="K10" s="10" t="n">
        <v>14887</v>
      </c>
      <c r="L10" s="10" t="n">
        <v>1547</v>
      </c>
      <c r="M10" s="10" t="n">
        <v>10421</v>
      </c>
      <c r="N10" s="10" t="n">
        <v>0</v>
      </c>
      <c r="O10" s="10" t="n">
        <v>68538</v>
      </c>
      <c r="P10" s="10" t="n">
        <v>5002</v>
      </c>
      <c r="Q10" s="10" t="n">
        <v>0</v>
      </c>
      <c r="R10" s="10" t="n">
        <v>200</v>
      </c>
      <c r="S10" s="10" t="s">
        <v>218</v>
      </c>
      <c r="T10" s="10" t="n">
        <v>3050</v>
      </c>
      <c r="U10" s="10" t="n">
        <v>0</v>
      </c>
      <c r="V10" s="10" t="n">
        <v>0</v>
      </c>
      <c r="W10" s="10" t="n">
        <v>8252</v>
      </c>
      <c r="X10" s="10" t="n">
        <v>60286</v>
      </c>
      <c r="Y10" s="10" t="s">
        <v>3560</v>
      </c>
      <c r="Z10" s="10" t="s">
        <v>3060</v>
      </c>
    </row>
    <row r="11" customFormat="false" ht="22.35" hidden="false" customHeight="false" outlineLevel="0" collapsed="false">
      <c r="A11" s="12" t="s">
        <v>2445</v>
      </c>
      <c r="B11" s="12" t="s">
        <v>785</v>
      </c>
      <c r="C11" s="12" t="s">
        <v>786</v>
      </c>
      <c r="D11" s="12" t="s">
        <v>232</v>
      </c>
      <c r="E11" s="12" t="s">
        <v>227</v>
      </c>
      <c r="F11" s="12" t="n">
        <v>30</v>
      </c>
      <c r="G11" s="12" t="n">
        <v>30</v>
      </c>
      <c r="H11" s="12" t="n">
        <v>0</v>
      </c>
      <c r="I11" s="12" t="n">
        <v>62500</v>
      </c>
      <c r="J11" s="12" t="n">
        <v>7500</v>
      </c>
      <c r="K11" s="12" t="n">
        <v>25000</v>
      </c>
      <c r="L11" s="12" t="n">
        <v>1600</v>
      </c>
      <c r="M11" s="12" t="n">
        <v>17500</v>
      </c>
      <c r="N11" s="12" t="n">
        <v>0</v>
      </c>
      <c r="O11" s="12" t="n">
        <v>114100</v>
      </c>
      <c r="P11" s="12" t="n">
        <v>8400</v>
      </c>
      <c r="Q11" s="12" t="n">
        <v>0</v>
      </c>
      <c r="R11" s="12" t="n">
        <v>200</v>
      </c>
      <c r="S11" s="12" t="s">
        <v>218</v>
      </c>
      <c r="T11" s="12" t="n">
        <v>4400</v>
      </c>
      <c r="U11" s="12" t="n">
        <v>0</v>
      </c>
      <c r="V11" s="12" t="n">
        <v>0</v>
      </c>
      <c r="W11" s="12" t="n">
        <v>13000</v>
      </c>
      <c r="X11" s="12" t="n">
        <v>101100</v>
      </c>
      <c r="Y11" s="12" t="s">
        <v>3561</v>
      </c>
      <c r="Z11" s="12" t="s">
        <v>3060</v>
      </c>
    </row>
    <row r="12" customFormat="false" ht="22.35" hidden="false" customHeight="false" outlineLevel="0" collapsed="false">
      <c r="A12" s="10" t="s">
        <v>2445</v>
      </c>
      <c r="B12" s="10" t="s">
        <v>797</v>
      </c>
      <c r="C12" s="10" t="s">
        <v>798</v>
      </c>
      <c r="D12" s="10" t="s">
        <v>232</v>
      </c>
      <c r="E12" s="10" t="s">
        <v>227</v>
      </c>
      <c r="F12" s="10" t="n">
        <v>30</v>
      </c>
      <c r="G12" s="10" t="n">
        <v>28.5</v>
      </c>
      <c r="H12" s="10" t="n">
        <v>1.5</v>
      </c>
      <c r="I12" s="10" t="n">
        <v>20425</v>
      </c>
      <c r="J12" s="10" t="n">
        <v>2451</v>
      </c>
      <c r="K12" s="10" t="n">
        <v>8170</v>
      </c>
      <c r="L12" s="10" t="n">
        <v>1520</v>
      </c>
      <c r="M12" s="10" t="n">
        <v>5719</v>
      </c>
      <c r="N12" s="10" t="n">
        <v>0</v>
      </c>
      <c r="O12" s="10" t="n">
        <v>38285</v>
      </c>
      <c r="P12" s="10" t="n">
        <v>2745</v>
      </c>
      <c r="Q12" s="10" t="n">
        <v>0</v>
      </c>
      <c r="R12" s="10" t="n">
        <v>200</v>
      </c>
      <c r="S12" s="10" t="s">
        <v>218</v>
      </c>
      <c r="T12" s="10" t="n">
        <v>850</v>
      </c>
      <c r="U12" s="10" t="n">
        <v>0</v>
      </c>
      <c r="V12" s="10" t="n">
        <v>0</v>
      </c>
      <c r="W12" s="10" t="n">
        <v>3795</v>
      </c>
      <c r="X12" s="10" t="n">
        <v>34490</v>
      </c>
      <c r="Y12" s="10" t="s">
        <v>3562</v>
      </c>
      <c r="Z12" s="10" t="s">
        <v>3060</v>
      </c>
    </row>
    <row r="13" customFormat="false" ht="22.35" hidden="false" customHeight="false" outlineLevel="0" collapsed="false">
      <c r="A13" s="12" t="s">
        <v>2445</v>
      </c>
      <c r="B13" s="12" t="s">
        <v>970</v>
      </c>
      <c r="C13" s="12" t="s">
        <v>971</v>
      </c>
      <c r="D13" s="12" t="s">
        <v>243</v>
      </c>
      <c r="E13" s="12" t="s">
        <v>234</v>
      </c>
      <c r="F13" s="12" t="n">
        <v>30</v>
      </c>
      <c r="G13" s="12" t="n">
        <v>30</v>
      </c>
      <c r="H13" s="12" t="n">
        <v>0</v>
      </c>
      <c r="I13" s="12" t="n">
        <v>21500</v>
      </c>
      <c r="J13" s="12" t="n">
        <v>2580</v>
      </c>
      <c r="K13" s="12" t="n">
        <v>8600</v>
      </c>
      <c r="L13" s="12" t="n">
        <v>1600</v>
      </c>
      <c r="M13" s="12" t="n">
        <v>6020</v>
      </c>
      <c r="N13" s="12" t="n">
        <v>0</v>
      </c>
      <c r="O13" s="12" t="n">
        <v>40300</v>
      </c>
      <c r="P13" s="12" t="n">
        <v>2890</v>
      </c>
      <c r="Q13" s="12" t="n">
        <v>0</v>
      </c>
      <c r="R13" s="12" t="n">
        <v>200</v>
      </c>
      <c r="S13" s="12" t="s">
        <v>237</v>
      </c>
      <c r="T13" s="12" t="n">
        <v>880</v>
      </c>
      <c r="U13" s="12" t="n">
        <v>0</v>
      </c>
      <c r="V13" s="12" t="n">
        <v>0</v>
      </c>
      <c r="W13" s="12" t="n">
        <v>3970</v>
      </c>
      <c r="X13" s="12" t="n">
        <v>36330</v>
      </c>
      <c r="Y13" s="12" t="s">
        <v>3563</v>
      </c>
      <c r="Z13" s="12" t="s">
        <v>1334</v>
      </c>
    </row>
    <row r="14" customFormat="false" ht="22.35" hidden="false" customHeight="false" outlineLevel="0" collapsed="false">
      <c r="A14" s="10" t="s">
        <v>2445</v>
      </c>
      <c r="B14" s="10" t="s">
        <v>875</v>
      </c>
      <c r="C14" s="10" t="s">
        <v>876</v>
      </c>
      <c r="D14" s="10" t="s">
        <v>232</v>
      </c>
      <c r="E14" s="10" t="s">
        <v>227</v>
      </c>
      <c r="F14" s="10" t="n">
        <v>30</v>
      </c>
      <c r="G14" s="10" t="n">
        <v>30</v>
      </c>
      <c r="H14" s="10" t="n">
        <v>0</v>
      </c>
      <c r="I14" s="10" t="n">
        <v>19500</v>
      </c>
      <c r="J14" s="10" t="n">
        <v>0</v>
      </c>
      <c r="K14" s="10" t="n">
        <v>0</v>
      </c>
      <c r="L14" s="10" t="n">
        <v>0</v>
      </c>
      <c r="M14" s="10" t="n">
        <v>0</v>
      </c>
      <c r="N14" s="10" t="n">
        <v>0</v>
      </c>
      <c r="O14" s="10" t="n">
        <v>19500</v>
      </c>
      <c r="P14" s="10" t="n">
        <v>2340</v>
      </c>
      <c r="Q14" s="10" t="n">
        <v>146</v>
      </c>
      <c r="R14" s="10" t="n">
        <v>200</v>
      </c>
      <c r="S14" s="10" t="s">
        <v>218</v>
      </c>
      <c r="T14" s="10" t="n">
        <v>0</v>
      </c>
      <c r="U14" s="10" t="n">
        <v>0</v>
      </c>
      <c r="V14" s="10" t="n">
        <v>0</v>
      </c>
      <c r="W14" s="10" t="n">
        <v>2686</v>
      </c>
      <c r="X14" s="10" t="n">
        <v>16814</v>
      </c>
      <c r="Y14" s="10" t="s">
        <v>3564</v>
      </c>
      <c r="Z14" s="10" t="s">
        <v>420</v>
      </c>
    </row>
    <row r="15" customFormat="false" ht="15" hidden="false" customHeight="false" outlineLevel="0" collapsed="false">
      <c r="A15" s="12" t="s">
        <v>2445</v>
      </c>
      <c r="B15" s="12" t="s">
        <v>1068</v>
      </c>
      <c r="C15" s="12" t="s">
        <v>1069</v>
      </c>
      <c r="D15" s="12" t="s">
        <v>225</v>
      </c>
      <c r="E15" s="12" t="s">
        <v>254</v>
      </c>
      <c r="F15" s="12" t="n">
        <v>30</v>
      </c>
      <c r="G15" s="12" t="n">
        <v>30</v>
      </c>
      <c r="H15" s="12" t="n">
        <v>0</v>
      </c>
      <c r="I15" s="12" t="n">
        <v>39000</v>
      </c>
      <c r="J15" s="12" t="n">
        <v>4680</v>
      </c>
      <c r="K15" s="12" t="n">
        <v>15600</v>
      </c>
      <c r="L15" s="12" t="n">
        <v>1600</v>
      </c>
      <c r="M15" s="12" t="n">
        <v>10920</v>
      </c>
      <c r="N15" s="12" t="n">
        <v>0</v>
      </c>
      <c r="O15" s="12" t="n">
        <v>71800</v>
      </c>
      <c r="P15" s="12" t="n">
        <v>5242</v>
      </c>
      <c r="Q15" s="12" t="n">
        <v>0</v>
      </c>
      <c r="R15" s="12" t="n">
        <v>0</v>
      </c>
      <c r="S15" s="12" t="s">
        <v>257</v>
      </c>
      <c r="T15" s="12" t="n">
        <v>3200</v>
      </c>
      <c r="U15" s="12" t="n">
        <v>0</v>
      </c>
      <c r="V15" s="12" t="n">
        <v>0</v>
      </c>
      <c r="W15" s="12" t="n">
        <v>8442</v>
      </c>
      <c r="X15" s="12" t="n">
        <v>63358</v>
      </c>
      <c r="Y15" s="12" t="s">
        <v>3565</v>
      </c>
      <c r="Z15" s="12" t="s">
        <v>3111</v>
      </c>
    </row>
    <row r="16" customFormat="false" ht="22.35" hidden="false" customHeight="false" outlineLevel="0" collapsed="false">
      <c r="A16" s="10" t="s">
        <v>2352</v>
      </c>
      <c r="B16" s="10" t="s">
        <v>580</v>
      </c>
      <c r="C16" s="10" t="s">
        <v>766</v>
      </c>
      <c r="D16" s="10" t="s">
        <v>232</v>
      </c>
      <c r="E16" s="10" t="s">
        <v>227</v>
      </c>
      <c r="F16" s="10"/>
      <c r="G16" s="10"/>
      <c r="H16" s="10"/>
      <c r="I16" s="10" t="n">
        <v>0</v>
      </c>
      <c r="J16" s="10" t="n">
        <v>0</v>
      </c>
      <c r="K16" s="10" t="n">
        <v>0</v>
      </c>
      <c r="L16" s="10" t="n">
        <v>0</v>
      </c>
      <c r="M16" s="10" t="n">
        <v>0</v>
      </c>
      <c r="N16" s="10" t="n">
        <v>24160</v>
      </c>
      <c r="O16" s="10" t="n">
        <v>24160</v>
      </c>
      <c r="P16" s="10" t="n">
        <v>0</v>
      </c>
      <c r="Q16" s="10" t="n">
        <v>0</v>
      </c>
      <c r="R16" s="10" t="n">
        <v>0</v>
      </c>
      <c r="S16" s="10" t="s">
        <v>218</v>
      </c>
      <c r="T16" s="10" t="n">
        <v>1450</v>
      </c>
      <c r="U16" s="10" t="n">
        <v>0</v>
      </c>
      <c r="V16" s="10" t="n">
        <v>0</v>
      </c>
      <c r="W16" s="10" t="n">
        <v>1450</v>
      </c>
      <c r="X16" s="10" t="n">
        <v>22710</v>
      </c>
      <c r="Y16" s="10" t="s">
        <v>3566</v>
      </c>
      <c r="Z16" s="10" t="s">
        <v>2353</v>
      </c>
    </row>
    <row r="17" customFormat="false" ht="22.35" hidden="false" customHeight="false" outlineLevel="0" collapsed="false">
      <c r="A17" s="12" t="s">
        <v>2352</v>
      </c>
      <c r="B17" s="12" t="s">
        <v>894</v>
      </c>
      <c r="C17" s="12" t="s">
        <v>895</v>
      </c>
      <c r="D17" s="12" t="s">
        <v>232</v>
      </c>
      <c r="E17" s="12" t="s">
        <v>227</v>
      </c>
      <c r="F17" s="12"/>
      <c r="G17" s="12"/>
      <c r="H17" s="12"/>
      <c r="I17" s="12" t="n">
        <v>0</v>
      </c>
      <c r="J17" s="12" t="n">
        <v>0</v>
      </c>
      <c r="K17" s="12" t="n">
        <v>0</v>
      </c>
      <c r="L17" s="12" t="n">
        <v>0</v>
      </c>
      <c r="M17" s="12" t="n">
        <v>0</v>
      </c>
      <c r="N17" s="12" t="n">
        <v>23860</v>
      </c>
      <c r="O17" s="12" t="n">
        <v>23860</v>
      </c>
      <c r="P17" s="12" t="n">
        <v>0</v>
      </c>
      <c r="Q17" s="12" t="n">
        <v>179</v>
      </c>
      <c r="R17" s="12" t="n">
        <v>0</v>
      </c>
      <c r="S17" s="12" t="s">
        <v>218</v>
      </c>
      <c r="T17" s="12" t="n">
        <v>0</v>
      </c>
      <c r="U17" s="12" t="n">
        <v>0</v>
      </c>
      <c r="V17" s="12" t="n">
        <v>0</v>
      </c>
      <c r="W17" s="12" t="n">
        <v>179</v>
      </c>
      <c r="X17" s="12" t="n">
        <v>23681</v>
      </c>
      <c r="Y17" s="12" t="s">
        <v>3567</v>
      </c>
      <c r="Z17" s="12" t="s">
        <v>2358</v>
      </c>
    </row>
    <row r="18" customFormat="false" ht="15" hidden="false" customHeight="false" outlineLevel="0" collapsed="false">
      <c r="A18" s="10" t="s">
        <v>2352</v>
      </c>
      <c r="B18" s="10" t="s">
        <v>586</v>
      </c>
      <c r="C18" s="10" t="s">
        <v>826</v>
      </c>
      <c r="D18" s="10" t="s">
        <v>232</v>
      </c>
      <c r="E18" s="10" t="s">
        <v>227</v>
      </c>
      <c r="F18" s="10"/>
      <c r="G18" s="10"/>
      <c r="H18" s="10"/>
      <c r="I18" s="10" t="n">
        <v>0</v>
      </c>
      <c r="J18" s="10" t="n">
        <v>0</v>
      </c>
      <c r="K18" s="10" t="n">
        <v>0</v>
      </c>
      <c r="L18" s="10" t="n">
        <v>0</v>
      </c>
      <c r="M18" s="10" t="n">
        <v>0</v>
      </c>
      <c r="N18" s="10" t="n">
        <v>290</v>
      </c>
      <c r="O18" s="10" t="n">
        <v>290</v>
      </c>
      <c r="P18" s="10" t="n">
        <v>0</v>
      </c>
      <c r="Q18" s="10" t="n">
        <v>2</v>
      </c>
      <c r="R18" s="10" t="n">
        <v>0</v>
      </c>
      <c r="S18" s="10" t="s">
        <v>218</v>
      </c>
      <c r="T18" s="10" t="n">
        <v>0</v>
      </c>
      <c r="U18" s="10" t="n">
        <v>0</v>
      </c>
      <c r="V18" s="10" t="n">
        <v>0</v>
      </c>
      <c r="W18" s="10" t="n">
        <v>2</v>
      </c>
      <c r="X18" s="10" t="n">
        <v>288</v>
      </c>
      <c r="Y18" s="10" t="s">
        <v>3568</v>
      </c>
      <c r="Z18" s="10" t="s">
        <v>3176</v>
      </c>
    </row>
    <row r="19" customFormat="false" ht="22.35" hidden="false" customHeight="false" outlineLevel="0" collapsed="false">
      <c r="A19" s="12" t="s">
        <v>2352</v>
      </c>
      <c r="B19" s="12" t="s">
        <v>875</v>
      </c>
      <c r="C19" s="12" t="s">
        <v>876</v>
      </c>
      <c r="D19" s="12" t="s">
        <v>232</v>
      </c>
      <c r="E19" s="12" t="s">
        <v>227</v>
      </c>
      <c r="F19" s="12"/>
      <c r="G19" s="12"/>
      <c r="H19" s="12"/>
      <c r="I19" s="12" t="n">
        <v>0</v>
      </c>
      <c r="J19" s="12" t="n">
        <v>0</v>
      </c>
      <c r="K19" s="12" t="n">
        <v>0</v>
      </c>
      <c r="L19" s="12" t="n">
        <v>0</v>
      </c>
      <c r="M19" s="12" t="n">
        <v>0</v>
      </c>
      <c r="N19" s="12" t="n">
        <v>33</v>
      </c>
      <c r="O19" s="12" t="n">
        <v>33</v>
      </c>
      <c r="P19" s="12" t="n">
        <v>0</v>
      </c>
      <c r="Q19" s="12" t="n">
        <v>0</v>
      </c>
      <c r="R19" s="12" t="n">
        <v>0</v>
      </c>
      <c r="S19" s="12" t="s">
        <v>218</v>
      </c>
      <c r="T19" s="12" t="n">
        <v>0</v>
      </c>
      <c r="U19" s="12" t="n">
        <v>0</v>
      </c>
      <c r="V19" s="12" t="n">
        <v>0</v>
      </c>
      <c r="W19" s="12" t="n">
        <v>0</v>
      </c>
      <c r="X19" s="12" t="n">
        <v>33</v>
      </c>
      <c r="Y19" s="12" t="s">
        <v>3569</v>
      </c>
      <c r="Z19" s="12" t="s">
        <v>420</v>
      </c>
    </row>
    <row r="21" customFormat="false" ht="27.75" hidden="false" customHeight="true" outlineLevel="0" collapsed="false">
      <c r="A21" s="14" t="s">
        <v>3570</v>
      </c>
      <c r="B21" s="14"/>
      <c r="C21" s="14"/>
      <c r="D21" s="14"/>
      <c r="E21" s="14"/>
      <c r="F21" s="14"/>
      <c r="G21" s="14"/>
      <c r="H21" s="14"/>
      <c r="I21" s="14"/>
      <c r="J21" s="14"/>
    </row>
  </sheetData>
  <mergeCells count="1">
    <mergeCell ref="A21:J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9"/>
    <col collapsed="false" customWidth="true" hidden="false" outlineLevel="0" max="4" min="4" style="0" width="17"/>
    <col collapsed="false" customWidth="true" hidden="false" outlineLevel="0" max="5" min="5" style="0" width="7"/>
    <col collapsed="false" customWidth="true" hidden="false" outlineLevel="0" max="6" min="6" style="0" width="11"/>
    <col collapsed="false" customWidth="true" hidden="false" outlineLevel="0" max="7" min="7" style="0" width="32"/>
    <col collapsed="false" customWidth="true" hidden="false" outlineLevel="0" max="8" min="8" style="0" width="9"/>
    <col collapsed="false" customWidth="true" hidden="false" outlineLevel="0" max="9" min="9" style="0" width="11"/>
    <col collapsed="false" customWidth="true" hidden="false" outlineLevel="0" max="10" min="10" style="0" width="26"/>
    <col collapsed="false" customWidth="true" hidden="false" outlineLevel="0" max="11" min="11" style="0" width="20"/>
    <col collapsed="false" customWidth="true" hidden="false" outlineLevel="0" max="13" min="12" style="0" width="14"/>
    <col collapsed="false" customWidth="true" hidden="false" outlineLevel="0" max="14" min="14" style="0" width="26"/>
    <col collapsed="false" customWidth="true" hidden="false" outlineLevel="0" max="15" min="15" style="0" width="18"/>
    <col collapsed="false" customWidth="true" hidden="false" outlineLevel="0" max="16" min="16" style="0" width="12"/>
  </cols>
  <sheetData>
    <row r="1" customFormat="false" ht="30" hidden="false" customHeight="true" outlineLevel="0" collapsed="false">
      <c r="A1" s="8" t="s">
        <v>3571</v>
      </c>
      <c r="B1" s="8" t="s">
        <v>3536</v>
      </c>
      <c r="C1" s="8" t="s">
        <v>204</v>
      </c>
      <c r="D1" s="8" t="s">
        <v>2433</v>
      </c>
      <c r="E1" s="8" t="s">
        <v>3572</v>
      </c>
      <c r="F1" s="8" t="s">
        <v>2794</v>
      </c>
      <c r="G1" s="8" t="s">
        <v>2795</v>
      </c>
      <c r="H1" s="8" t="s">
        <v>2796</v>
      </c>
      <c r="I1" s="8" t="s">
        <v>3573</v>
      </c>
      <c r="J1" s="8" t="s">
        <v>3574</v>
      </c>
      <c r="K1" s="8" t="s">
        <v>2799</v>
      </c>
      <c r="L1" s="8" t="s">
        <v>3575</v>
      </c>
      <c r="M1" s="8" t="s">
        <v>3576</v>
      </c>
      <c r="N1" s="8" t="s">
        <v>3577</v>
      </c>
      <c r="O1" s="8" t="s">
        <v>3578</v>
      </c>
      <c r="P1" s="8" t="s">
        <v>40</v>
      </c>
    </row>
    <row r="2" customFormat="false" ht="15" hidden="false" customHeight="false" outlineLevel="0" collapsed="false">
      <c r="A2" s="10" t="s">
        <v>3579</v>
      </c>
      <c r="B2" s="10" t="s">
        <v>2441</v>
      </c>
      <c r="C2" s="10" t="s">
        <v>186</v>
      </c>
      <c r="D2" s="10" t="s">
        <v>2442</v>
      </c>
      <c r="E2" s="10" t="n">
        <v>1</v>
      </c>
      <c r="F2" s="10" t="s">
        <v>2801</v>
      </c>
      <c r="G2" s="10" t="s">
        <v>2802</v>
      </c>
      <c r="H2" s="10" t="s">
        <v>2803</v>
      </c>
      <c r="I2" s="10" t="n">
        <v>5010100</v>
      </c>
      <c r="J2" s="10" t="s">
        <v>2805</v>
      </c>
      <c r="K2" s="10" t="s">
        <v>2806</v>
      </c>
      <c r="L2" s="10" t="n">
        <v>15000000</v>
      </c>
      <c r="M2" s="10" t="n">
        <v>0</v>
      </c>
      <c r="N2" s="10" t="s">
        <v>3580</v>
      </c>
      <c r="O2" s="10" t="s">
        <v>3581</v>
      </c>
      <c r="P2" s="10"/>
    </row>
    <row r="3" customFormat="false" ht="15" hidden="false" customHeight="false" outlineLevel="0" collapsed="false">
      <c r="A3" s="12" t="s">
        <v>3579</v>
      </c>
      <c r="B3" s="12" t="s">
        <v>2441</v>
      </c>
      <c r="C3" s="12" t="s">
        <v>186</v>
      </c>
      <c r="D3" s="12" t="s">
        <v>2442</v>
      </c>
      <c r="E3" s="12" t="n">
        <v>2</v>
      </c>
      <c r="F3" s="12" t="s">
        <v>2809</v>
      </c>
      <c r="G3" s="12" t="s">
        <v>2810</v>
      </c>
      <c r="H3" s="12" t="s">
        <v>2803</v>
      </c>
      <c r="I3" s="12" t="n">
        <v>5010100</v>
      </c>
      <c r="J3" s="12" t="s">
        <v>2805</v>
      </c>
      <c r="K3" s="12" t="s">
        <v>2806</v>
      </c>
      <c r="L3" s="12" t="n">
        <v>1800000</v>
      </c>
      <c r="M3" s="12" t="n">
        <v>0</v>
      </c>
      <c r="N3" s="12" t="s">
        <v>3580</v>
      </c>
      <c r="O3" s="12" t="s">
        <v>3581</v>
      </c>
      <c r="P3" s="12"/>
    </row>
    <row r="4" customFormat="false" ht="15" hidden="false" customHeight="false" outlineLevel="0" collapsed="false">
      <c r="A4" s="10" t="s">
        <v>3579</v>
      </c>
      <c r="B4" s="10" t="s">
        <v>2441</v>
      </c>
      <c r="C4" s="10" t="s">
        <v>186</v>
      </c>
      <c r="D4" s="10" t="s">
        <v>2442</v>
      </c>
      <c r="E4" s="10" t="n">
        <v>3</v>
      </c>
      <c r="F4" s="10" t="s">
        <v>2811</v>
      </c>
      <c r="G4" s="10" t="s">
        <v>2812</v>
      </c>
      <c r="H4" s="10" t="s">
        <v>2803</v>
      </c>
      <c r="I4" s="10" t="n">
        <v>5010200</v>
      </c>
      <c r="J4" s="10" t="s">
        <v>2814</v>
      </c>
      <c r="K4" s="10" t="s">
        <v>2806</v>
      </c>
      <c r="L4" s="10" t="n">
        <v>6000000</v>
      </c>
      <c r="M4" s="10" t="n">
        <v>0</v>
      </c>
      <c r="N4" s="10" t="s">
        <v>3580</v>
      </c>
      <c r="O4" s="10" t="s">
        <v>3581</v>
      </c>
      <c r="P4" s="10"/>
    </row>
    <row r="5" customFormat="false" ht="15" hidden="false" customHeight="false" outlineLevel="0" collapsed="false">
      <c r="A5" s="12" t="s">
        <v>3579</v>
      </c>
      <c r="B5" s="12" t="s">
        <v>2441</v>
      </c>
      <c r="C5" s="12" t="s">
        <v>186</v>
      </c>
      <c r="D5" s="12" t="s">
        <v>2442</v>
      </c>
      <c r="E5" s="12" t="n">
        <v>4</v>
      </c>
      <c r="F5" s="12" t="s">
        <v>2816</v>
      </c>
      <c r="G5" s="12" t="s">
        <v>2817</v>
      </c>
      <c r="H5" s="12" t="s">
        <v>2803</v>
      </c>
      <c r="I5" s="12" t="n">
        <v>5010200</v>
      </c>
      <c r="J5" s="12" t="s">
        <v>2814</v>
      </c>
      <c r="K5" s="12" t="s">
        <v>2806</v>
      </c>
      <c r="L5" s="12" t="n">
        <v>700000</v>
      </c>
      <c r="M5" s="12" t="n">
        <v>0</v>
      </c>
      <c r="N5" s="12" t="s">
        <v>3580</v>
      </c>
      <c r="O5" s="12" t="s">
        <v>3581</v>
      </c>
      <c r="P5" s="12"/>
    </row>
    <row r="6" customFormat="false" ht="15" hidden="false" customHeight="false" outlineLevel="0" collapsed="false">
      <c r="A6" s="10" t="s">
        <v>3579</v>
      </c>
      <c r="B6" s="10" t="s">
        <v>2441</v>
      </c>
      <c r="C6" s="10" t="s">
        <v>186</v>
      </c>
      <c r="D6" s="10" t="s">
        <v>2442</v>
      </c>
      <c r="E6" s="10" t="n">
        <v>5</v>
      </c>
      <c r="F6" s="10" t="s">
        <v>2818</v>
      </c>
      <c r="G6" s="10" t="s">
        <v>2819</v>
      </c>
      <c r="H6" s="10" t="s">
        <v>2803</v>
      </c>
      <c r="I6" s="10" t="n">
        <v>5010200</v>
      </c>
      <c r="J6" s="10" t="s">
        <v>2814</v>
      </c>
      <c r="K6" s="10" t="s">
        <v>2806</v>
      </c>
      <c r="L6" s="10" t="n">
        <v>5140000</v>
      </c>
      <c r="M6" s="10" t="n">
        <v>0</v>
      </c>
      <c r="N6" s="10" t="s">
        <v>3580</v>
      </c>
      <c r="O6" s="10" t="s">
        <v>3581</v>
      </c>
      <c r="P6" s="10"/>
    </row>
    <row r="7" customFormat="false" ht="15" hidden="false" customHeight="false" outlineLevel="0" collapsed="false">
      <c r="A7" s="12" t="s">
        <v>3579</v>
      </c>
      <c r="B7" s="12" t="s">
        <v>2441</v>
      </c>
      <c r="C7" s="12" t="s">
        <v>186</v>
      </c>
      <c r="D7" s="12" t="s">
        <v>2442</v>
      </c>
      <c r="E7" s="12" t="n">
        <v>6</v>
      </c>
      <c r="F7" s="12" t="s">
        <v>2825</v>
      </c>
      <c r="G7" s="12" t="s">
        <v>2826</v>
      </c>
      <c r="H7" s="12" t="s">
        <v>2803</v>
      </c>
      <c r="I7" s="12" t="n">
        <v>5010400</v>
      </c>
      <c r="J7" s="12" t="s">
        <v>2828</v>
      </c>
      <c r="K7" s="12" t="s">
        <v>2806</v>
      </c>
      <c r="L7" s="12" t="n">
        <v>2016000</v>
      </c>
      <c r="M7" s="12" t="n">
        <v>0</v>
      </c>
      <c r="N7" s="12" t="s">
        <v>3580</v>
      </c>
      <c r="O7" s="12" t="s">
        <v>3581</v>
      </c>
      <c r="P7" s="12"/>
    </row>
    <row r="8" customFormat="false" ht="15" hidden="false" customHeight="false" outlineLevel="0" collapsed="false">
      <c r="A8" s="10" t="s">
        <v>3579</v>
      </c>
      <c r="B8" s="10" t="s">
        <v>2441</v>
      </c>
      <c r="C8" s="10" t="s">
        <v>186</v>
      </c>
      <c r="D8" s="10" t="s">
        <v>2442</v>
      </c>
      <c r="E8" s="10" t="n">
        <v>7</v>
      </c>
      <c r="F8" s="10" t="s">
        <v>2830</v>
      </c>
      <c r="G8" s="10" t="s">
        <v>2831</v>
      </c>
      <c r="H8" s="10" t="s">
        <v>2803</v>
      </c>
      <c r="I8" s="10" t="n">
        <v>5010400</v>
      </c>
      <c r="J8" s="10" t="s">
        <v>2828</v>
      </c>
      <c r="K8" s="10" t="s">
        <v>2806</v>
      </c>
      <c r="L8" s="10" t="n">
        <v>364000</v>
      </c>
      <c r="M8" s="10" t="n">
        <v>0</v>
      </c>
      <c r="N8" s="10" t="s">
        <v>3580</v>
      </c>
      <c r="O8" s="10" t="s">
        <v>3581</v>
      </c>
      <c r="P8" s="10"/>
    </row>
    <row r="9" customFormat="false" ht="15" hidden="false" customHeight="false" outlineLevel="0" collapsed="false">
      <c r="A9" s="12" t="s">
        <v>3579</v>
      </c>
      <c r="B9" s="12" t="s">
        <v>2441</v>
      </c>
      <c r="C9" s="12" t="s">
        <v>186</v>
      </c>
      <c r="D9" s="12" t="s">
        <v>2442</v>
      </c>
      <c r="E9" s="12" t="n">
        <v>8</v>
      </c>
      <c r="F9" s="12" t="s">
        <v>2832</v>
      </c>
      <c r="G9" s="12" t="s">
        <v>2833</v>
      </c>
      <c r="H9" s="12" t="s">
        <v>2803</v>
      </c>
      <c r="I9" s="12" t="n">
        <v>5010500</v>
      </c>
      <c r="J9" s="12" t="s">
        <v>2835</v>
      </c>
      <c r="K9" s="12" t="s">
        <v>204</v>
      </c>
      <c r="L9" s="12" t="n">
        <v>520000</v>
      </c>
      <c r="M9" s="12" t="n">
        <v>0</v>
      </c>
      <c r="N9" s="12" t="s">
        <v>3580</v>
      </c>
      <c r="O9" s="12" t="s">
        <v>3581</v>
      </c>
      <c r="P9" s="12" t="s">
        <v>2808</v>
      </c>
    </row>
    <row r="10" customFormat="false" ht="15" hidden="false" customHeight="false" outlineLevel="0" collapsed="false">
      <c r="A10" s="10" t="s">
        <v>3579</v>
      </c>
      <c r="B10" s="10" t="s">
        <v>2441</v>
      </c>
      <c r="C10" s="10" t="s">
        <v>186</v>
      </c>
      <c r="D10" s="10" t="s">
        <v>2442</v>
      </c>
      <c r="E10" s="10" t="n">
        <v>9</v>
      </c>
      <c r="F10" s="10" t="s">
        <v>2836</v>
      </c>
      <c r="G10" s="10" t="s">
        <v>2837</v>
      </c>
      <c r="H10" s="10" t="s">
        <v>2803</v>
      </c>
      <c r="I10" s="10" t="n">
        <v>5010500</v>
      </c>
      <c r="J10" s="10" t="s">
        <v>2835</v>
      </c>
      <c r="K10" s="10" t="s">
        <v>204</v>
      </c>
      <c r="L10" s="10" t="n">
        <v>180000</v>
      </c>
      <c r="M10" s="10" t="n">
        <v>0</v>
      </c>
      <c r="N10" s="10" t="s">
        <v>3580</v>
      </c>
      <c r="O10" s="10" t="s">
        <v>3581</v>
      </c>
      <c r="P10" s="10" t="s">
        <v>2808</v>
      </c>
    </row>
    <row r="11" customFormat="false" ht="15" hidden="false" customHeight="false" outlineLevel="0" collapsed="false">
      <c r="A11" s="12" t="s">
        <v>3579</v>
      </c>
      <c r="B11" s="12" t="s">
        <v>2441</v>
      </c>
      <c r="C11" s="12" t="s">
        <v>186</v>
      </c>
      <c r="D11" s="12" t="s">
        <v>2442</v>
      </c>
      <c r="E11" s="12" t="n">
        <v>10</v>
      </c>
      <c r="F11" s="12" t="s">
        <v>2844</v>
      </c>
      <c r="G11" s="12" t="s">
        <v>2845</v>
      </c>
      <c r="H11" s="12" t="s">
        <v>2846</v>
      </c>
      <c r="I11" s="12" t="n">
        <v>2010100</v>
      </c>
      <c r="J11" s="12" t="s">
        <v>2848</v>
      </c>
      <c r="K11" s="12" t="s">
        <v>204</v>
      </c>
      <c r="L11" s="12" t="n">
        <v>0</v>
      </c>
      <c r="M11" s="12" t="n">
        <v>24118000</v>
      </c>
      <c r="N11" s="12" t="s">
        <v>3580</v>
      </c>
      <c r="O11" s="12" t="s">
        <v>3581</v>
      </c>
      <c r="P11" s="12"/>
    </row>
    <row r="12" customFormat="false" ht="15" hidden="false" customHeight="false" outlineLevel="0" collapsed="false">
      <c r="A12" s="10" t="s">
        <v>3579</v>
      </c>
      <c r="B12" s="10" t="s">
        <v>2441</v>
      </c>
      <c r="C12" s="10" t="s">
        <v>186</v>
      </c>
      <c r="D12" s="10" t="s">
        <v>2442</v>
      </c>
      <c r="E12" s="10" t="n">
        <v>11</v>
      </c>
      <c r="F12" s="10" t="s">
        <v>2849</v>
      </c>
      <c r="G12" s="10" t="s">
        <v>3582</v>
      </c>
      <c r="H12" s="10" t="s">
        <v>2846</v>
      </c>
      <c r="I12" s="10" t="n">
        <v>2010200</v>
      </c>
      <c r="J12" s="10" t="s">
        <v>2852</v>
      </c>
      <c r="K12" s="10" t="s">
        <v>204</v>
      </c>
      <c r="L12" s="10" t="n">
        <v>0</v>
      </c>
      <c r="M12" s="10" t="n">
        <v>4032000</v>
      </c>
      <c r="N12" s="10" t="s">
        <v>3580</v>
      </c>
      <c r="O12" s="10" t="s">
        <v>3581</v>
      </c>
      <c r="P12" s="10"/>
    </row>
    <row r="13" customFormat="false" ht="15" hidden="false" customHeight="false" outlineLevel="0" collapsed="false">
      <c r="A13" s="12" t="s">
        <v>3579</v>
      </c>
      <c r="B13" s="12" t="s">
        <v>2441</v>
      </c>
      <c r="C13" s="12" t="s">
        <v>186</v>
      </c>
      <c r="D13" s="12" t="s">
        <v>2442</v>
      </c>
      <c r="E13" s="12" t="n">
        <v>12</v>
      </c>
      <c r="F13" s="12" t="s">
        <v>2853</v>
      </c>
      <c r="G13" s="12" t="s">
        <v>3583</v>
      </c>
      <c r="H13" s="12" t="s">
        <v>2846</v>
      </c>
      <c r="I13" s="12" t="n">
        <v>2010300</v>
      </c>
      <c r="J13" s="12" t="s">
        <v>2856</v>
      </c>
      <c r="K13" s="12" t="s">
        <v>204</v>
      </c>
      <c r="L13" s="12" t="n">
        <v>0</v>
      </c>
      <c r="M13" s="12" t="n">
        <v>448000</v>
      </c>
      <c r="N13" s="12" t="s">
        <v>3580</v>
      </c>
      <c r="O13" s="12" t="s">
        <v>3581</v>
      </c>
      <c r="P13" s="12"/>
    </row>
    <row r="14" customFormat="false" ht="15" hidden="false" customHeight="false" outlineLevel="0" collapsed="false">
      <c r="A14" s="10" t="s">
        <v>3579</v>
      </c>
      <c r="B14" s="10" t="s">
        <v>2441</v>
      </c>
      <c r="C14" s="10" t="s">
        <v>186</v>
      </c>
      <c r="D14" s="10" t="s">
        <v>2442</v>
      </c>
      <c r="E14" s="10" t="n">
        <v>13</v>
      </c>
      <c r="F14" s="10" t="s">
        <v>2857</v>
      </c>
      <c r="G14" s="10" t="s">
        <v>2858</v>
      </c>
      <c r="H14" s="10" t="s">
        <v>2846</v>
      </c>
      <c r="I14" s="10" t="n">
        <v>2010400</v>
      </c>
      <c r="J14" s="10" t="s">
        <v>2860</v>
      </c>
      <c r="K14" s="10" t="s">
        <v>204</v>
      </c>
      <c r="L14" s="10" t="n">
        <v>0</v>
      </c>
      <c r="M14" s="10" t="n">
        <v>52000</v>
      </c>
      <c r="N14" s="10" t="s">
        <v>3580</v>
      </c>
      <c r="O14" s="10" t="s">
        <v>3581</v>
      </c>
      <c r="P14" s="10" t="s">
        <v>2808</v>
      </c>
    </row>
    <row r="15" customFormat="false" ht="15" hidden="false" customHeight="false" outlineLevel="0" collapsed="false">
      <c r="A15" s="12" t="s">
        <v>3579</v>
      </c>
      <c r="B15" s="12" t="s">
        <v>2441</v>
      </c>
      <c r="C15" s="12" t="s">
        <v>186</v>
      </c>
      <c r="D15" s="12" t="s">
        <v>2442</v>
      </c>
      <c r="E15" s="12" t="n">
        <v>14</v>
      </c>
      <c r="F15" s="12" t="s">
        <v>2862</v>
      </c>
      <c r="G15" s="12" t="s">
        <v>2863</v>
      </c>
      <c r="H15" s="12" t="s">
        <v>2846</v>
      </c>
      <c r="I15" s="12" t="n">
        <v>2010401</v>
      </c>
      <c r="J15" s="12" t="s">
        <v>2860</v>
      </c>
      <c r="K15" s="12" t="s">
        <v>204</v>
      </c>
      <c r="L15" s="12" t="n">
        <v>0</v>
      </c>
      <c r="M15" s="12" t="n">
        <v>26000</v>
      </c>
      <c r="N15" s="12" t="s">
        <v>3580</v>
      </c>
      <c r="O15" s="12" t="s">
        <v>3581</v>
      </c>
      <c r="P15" s="12" t="s">
        <v>2808</v>
      </c>
    </row>
    <row r="16" customFormat="false" ht="15" hidden="false" customHeight="false" outlineLevel="0" collapsed="false">
      <c r="A16" s="10" t="s">
        <v>3579</v>
      </c>
      <c r="B16" s="10" t="s">
        <v>2441</v>
      </c>
      <c r="C16" s="10" t="s">
        <v>186</v>
      </c>
      <c r="D16" s="10" t="s">
        <v>2442</v>
      </c>
      <c r="E16" s="10" t="n">
        <v>15</v>
      </c>
      <c r="F16" s="10" t="s">
        <v>2865</v>
      </c>
      <c r="G16" s="10" t="s">
        <v>2866</v>
      </c>
      <c r="H16" s="10" t="s">
        <v>2846</v>
      </c>
      <c r="I16" s="10" t="n">
        <v>2010500</v>
      </c>
      <c r="J16" s="10" t="s">
        <v>2868</v>
      </c>
      <c r="K16" s="10" t="s">
        <v>204</v>
      </c>
      <c r="L16" s="10" t="n">
        <v>0</v>
      </c>
      <c r="M16" s="10" t="n">
        <v>1580000</v>
      </c>
      <c r="N16" s="10" t="s">
        <v>3580</v>
      </c>
      <c r="O16" s="10" t="s">
        <v>3581</v>
      </c>
      <c r="P16" s="10"/>
    </row>
    <row r="17" customFormat="false" ht="15" hidden="false" customHeight="false" outlineLevel="0" collapsed="false">
      <c r="A17" s="12" t="s">
        <v>3579</v>
      </c>
      <c r="B17" s="12" t="s">
        <v>2441</v>
      </c>
      <c r="C17" s="12" t="s">
        <v>186</v>
      </c>
      <c r="D17" s="12" t="s">
        <v>2442</v>
      </c>
      <c r="E17" s="12" t="n">
        <v>16</v>
      </c>
      <c r="F17" s="12" t="s">
        <v>2869</v>
      </c>
      <c r="G17" s="12" t="s">
        <v>2870</v>
      </c>
      <c r="H17" s="12" t="s">
        <v>2846</v>
      </c>
      <c r="I17" s="12" t="n">
        <v>2010600</v>
      </c>
      <c r="J17" s="12" t="s">
        <v>2872</v>
      </c>
      <c r="K17" s="12" t="s">
        <v>204</v>
      </c>
      <c r="L17" s="12" t="n">
        <v>0</v>
      </c>
      <c r="M17" s="12" t="n">
        <v>62000</v>
      </c>
      <c r="N17" s="12" t="s">
        <v>3580</v>
      </c>
      <c r="O17" s="12" t="s">
        <v>3581</v>
      </c>
      <c r="P17" s="12"/>
    </row>
    <row r="18" customFormat="false" ht="15" hidden="false" customHeight="false" outlineLevel="0" collapsed="false">
      <c r="A18" s="10" t="s">
        <v>3579</v>
      </c>
      <c r="B18" s="10" t="s">
        <v>2441</v>
      </c>
      <c r="C18" s="10" t="s">
        <v>186</v>
      </c>
      <c r="D18" s="10" t="s">
        <v>2442</v>
      </c>
      <c r="E18" s="10" t="n">
        <v>17</v>
      </c>
      <c r="F18" s="10" t="s">
        <v>2873</v>
      </c>
      <c r="G18" s="10" t="s">
        <v>2874</v>
      </c>
      <c r="H18" s="10" t="s">
        <v>2846</v>
      </c>
      <c r="I18" s="10" t="n">
        <v>1030100</v>
      </c>
      <c r="J18" s="10" t="s">
        <v>2876</v>
      </c>
      <c r="K18" s="10" t="s">
        <v>204</v>
      </c>
      <c r="L18" s="10" t="n">
        <v>0</v>
      </c>
      <c r="M18" s="10" t="n">
        <v>420000</v>
      </c>
      <c r="N18" s="10" t="s">
        <v>3580</v>
      </c>
      <c r="O18" s="10" t="s">
        <v>3581</v>
      </c>
      <c r="P18" s="10"/>
    </row>
    <row r="19" customFormat="false" ht="15" hidden="false" customHeight="false" outlineLevel="0" collapsed="false">
      <c r="A19" s="12" t="s">
        <v>3579</v>
      </c>
      <c r="B19" s="12" t="s">
        <v>2441</v>
      </c>
      <c r="C19" s="12" t="s">
        <v>186</v>
      </c>
      <c r="D19" s="12" t="s">
        <v>2442</v>
      </c>
      <c r="E19" s="12" t="n">
        <v>18</v>
      </c>
      <c r="F19" s="12" t="s">
        <v>2879</v>
      </c>
      <c r="G19" s="12" t="s">
        <v>2880</v>
      </c>
      <c r="H19" s="12" t="s">
        <v>2846</v>
      </c>
      <c r="I19" s="12" t="n">
        <v>1030200</v>
      </c>
      <c r="J19" s="12" t="s">
        <v>2882</v>
      </c>
      <c r="K19" s="12" t="s">
        <v>204</v>
      </c>
      <c r="L19" s="12" t="n">
        <v>0</v>
      </c>
      <c r="M19" s="12" t="n">
        <v>110000</v>
      </c>
      <c r="N19" s="12" t="s">
        <v>3580</v>
      </c>
      <c r="O19" s="12" t="s">
        <v>3581</v>
      </c>
      <c r="P19" s="12"/>
    </row>
    <row r="20" customFormat="false" ht="15" hidden="false" customHeight="false" outlineLevel="0" collapsed="false">
      <c r="A20" s="10" t="s">
        <v>3579</v>
      </c>
      <c r="B20" s="10" t="s">
        <v>2441</v>
      </c>
      <c r="C20" s="10" t="s">
        <v>186</v>
      </c>
      <c r="D20" s="10" t="s">
        <v>2442</v>
      </c>
      <c r="E20" s="10" t="n">
        <v>19</v>
      </c>
      <c r="F20" s="10" t="s">
        <v>2883</v>
      </c>
      <c r="G20" s="10" t="s">
        <v>2884</v>
      </c>
      <c r="H20" s="10" t="s">
        <v>2846</v>
      </c>
      <c r="I20" s="10" t="n">
        <v>2010700</v>
      </c>
      <c r="J20" s="10" t="s">
        <v>2886</v>
      </c>
      <c r="K20" s="10" t="s">
        <v>204</v>
      </c>
      <c r="L20" s="10" t="n">
        <v>0</v>
      </c>
      <c r="M20" s="10" t="n">
        <v>172000</v>
      </c>
      <c r="N20" s="10" t="s">
        <v>3580</v>
      </c>
      <c r="O20" s="10" t="s">
        <v>3581</v>
      </c>
      <c r="P20" s="10"/>
    </row>
    <row r="21" customFormat="false" ht="15" hidden="false" customHeight="false" outlineLevel="0" collapsed="false">
      <c r="A21" s="12" t="s">
        <v>3579</v>
      </c>
      <c r="B21" s="12" t="s">
        <v>2441</v>
      </c>
      <c r="C21" s="12" t="s">
        <v>186</v>
      </c>
      <c r="D21" s="12" t="s">
        <v>2442</v>
      </c>
      <c r="E21" s="12" t="n">
        <v>20</v>
      </c>
      <c r="F21" s="12" t="s">
        <v>2892</v>
      </c>
      <c r="G21" s="12" t="s">
        <v>2893</v>
      </c>
      <c r="H21" s="12" t="s">
        <v>2846</v>
      </c>
      <c r="I21" s="12" t="n">
        <v>2010800</v>
      </c>
      <c r="J21" s="12" t="s">
        <v>2894</v>
      </c>
      <c r="K21" s="12" t="s">
        <v>204</v>
      </c>
      <c r="L21" s="12" t="n">
        <v>0</v>
      </c>
      <c r="M21" s="12" t="n">
        <v>520000</v>
      </c>
      <c r="N21" s="12" t="s">
        <v>3580</v>
      </c>
      <c r="O21" s="12" t="s">
        <v>3581</v>
      </c>
      <c r="P21" s="12" t="s">
        <v>2808</v>
      </c>
    </row>
    <row r="22" customFormat="false" ht="15" hidden="false" customHeight="false" outlineLevel="0" collapsed="false">
      <c r="A22" s="10" t="s">
        <v>3579</v>
      </c>
      <c r="B22" s="10" t="s">
        <v>2441</v>
      </c>
      <c r="C22" s="10" t="s">
        <v>186</v>
      </c>
      <c r="D22" s="10" t="s">
        <v>2442</v>
      </c>
      <c r="E22" s="10" t="n">
        <v>21</v>
      </c>
      <c r="F22" s="10" t="s">
        <v>2896</v>
      </c>
      <c r="G22" s="10" t="s">
        <v>2897</v>
      </c>
      <c r="H22" s="10" t="s">
        <v>2846</v>
      </c>
      <c r="I22" s="10" t="n">
        <v>2010900</v>
      </c>
      <c r="J22" s="10" t="s">
        <v>2898</v>
      </c>
      <c r="K22" s="10" t="s">
        <v>204</v>
      </c>
      <c r="L22" s="10" t="n">
        <v>0</v>
      </c>
      <c r="M22" s="10" t="n">
        <v>180000</v>
      </c>
      <c r="N22" s="10" t="s">
        <v>3580</v>
      </c>
      <c r="O22" s="10" t="s">
        <v>3581</v>
      </c>
      <c r="P22" s="10" t="s">
        <v>2808</v>
      </c>
    </row>
    <row r="23" customFormat="false" ht="15" hidden="false" customHeight="false" outlineLevel="0" collapsed="false">
      <c r="A23" s="12" t="s">
        <v>3584</v>
      </c>
      <c r="B23" s="12" t="s">
        <v>2352</v>
      </c>
      <c r="C23" s="12" t="s">
        <v>186</v>
      </c>
      <c r="D23" s="12" t="s">
        <v>3585</v>
      </c>
      <c r="E23" s="12" t="n">
        <v>1</v>
      </c>
      <c r="F23" s="12" t="s">
        <v>2820</v>
      </c>
      <c r="G23" s="12" t="s">
        <v>2821</v>
      </c>
      <c r="H23" s="12" t="s">
        <v>2803</v>
      </c>
      <c r="I23" s="12" t="n">
        <v>5010300</v>
      </c>
      <c r="J23" s="12" t="s">
        <v>2821</v>
      </c>
      <c r="K23" s="12" t="s">
        <v>2806</v>
      </c>
      <c r="L23" s="12" t="n">
        <v>412000</v>
      </c>
      <c r="M23" s="12" t="n">
        <v>0</v>
      </c>
      <c r="N23" s="12" t="s">
        <v>3586</v>
      </c>
      <c r="O23" s="12"/>
      <c r="P23" s="12" t="s">
        <v>3587</v>
      </c>
    </row>
    <row r="24" customFormat="false" ht="15" hidden="false" customHeight="false" outlineLevel="0" collapsed="false">
      <c r="A24" s="10" t="s">
        <v>3584</v>
      </c>
      <c r="B24" s="10" t="s">
        <v>2352</v>
      </c>
      <c r="C24" s="10" t="s">
        <v>186</v>
      </c>
      <c r="D24" s="10" t="s">
        <v>3585</v>
      </c>
      <c r="E24" s="10" t="n">
        <v>2</v>
      </c>
      <c r="F24" s="10" t="s">
        <v>2830</v>
      </c>
      <c r="G24" s="10" t="s">
        <v>2831</v>
      </c>
      <c r="H24" s="10" t="s">
        <v>2803</v>
      </c>
      <c r="I24" s="10" t="n">
        <v>5010400</v>
      </c>
      <c r="J24" s="10" t="s">
        <v>2828</v>
      </c>
      <c r="K24" s="10" t="s">
        <v>2806</v>
      </c>
      <c r="L24" s="10" t="n">
        <v>13390</v>
      </c>
      <c r="M24" s="10" t="n">
        <v>0</v>
      </c>
      <c r="N24" s="10" t="s">
        <v>3586</v>
      </c>
      <c r="O24" s="10"/>
      <c r="P24" s="10" t="s">
        <v>3587</v>
      </c>
    </row>
    <row r="25" customFormat="false" ht="15" hidden="false" customHeight="false" outlineLevel="0" collapsed="false">
      <c r="A25" s="12" t="s">
        <v>3584</v>
      </c>
      <c r="B25" s="12" t="s">
        <v>2352</v>
      </c>
      <c r="C25" s="12" t="s">
        <v>186</v>
      </c>
      <c r="D25" s="12" t="s">
        <v>3585</v>
      </c>
      <c r="E25" s="12" t="n">
        <v>3</v>
      </c>
      <c r="F25" s="12" t="s">
        <v>2844</v>
      </c>
      <c r="G25" s="12" t="s">
        <v>2845</v>
      </c>
      <c r="H25" s="12" t="s">
        <v>2846</v>
      </c>
      <c r="I25" s="12" t="n">
        <v>2010100</v>
      </c>
      <c r="J25" s="12" t="s">
        <v>2848</v>
      </c>
      <c r="K25" s="12" t="s">
        <v>204</v>
      </c>
      <c r="L25" s="12" t="n">
        <v>0</v>
      </c>
      <c r="M25" s="12" t="n">
        <v>384190</v>
      </c>
      <c r="N25" s="12" t="s">
        <v>3586</v>
      </c>
      <c r="O25" s="12"/>
      <c r="P25" s="12" t="s">
        <v>3587</v>
      </c>
    </row>
    <row r="26" customFormat="false" ht="15" hidden="false" customHeight="false" outlineLevel="0" collapsed="false">
      <c r="A26" s="10" t="s">
        <v>3584</v>
      </c>
      <c r="B26" s="10" t="s">
        <v>2352</v>
      </c>
      <c r="C26" s="10" t="s">
        <v>186</v>
      </c>
      <c r="D26" s="10" t="s">
        <v>3585</v>
      </c>
      <c r="E26" s="10" t="n">
        <v>4</v>
      </c>
      <c r="F26" s="10" t="s">
        <v>2853</v>
      </c>
      <c r="G26" s="10" t="s">
        <v>3583</v>
      </c>
      <c r="H26" s="10" t="s">
        <v>2846</v>
      </c>
      <c r="I26" s="10" t="n">
        <v>2010300</v>
      </c>
      <c r="J26" s="10" t="s">
        <v>2856</v>
      </c>
      <c r="K26" s="10" t="s">
        <v>204</v>
      </c>
      <c r="L26" s="10" t="n">
        <v>0</v>
      </c>
      <c r="M26" s="10" t="n">
        <v>16480</v>
      </c>
      <c r="N26" s="10" t="s">
        <v>3586</v>
      </c>
      <c r="O26" s="10"/>
      <c r="P26" s="10" t="s">
        <v>3587</v>
      </c>
    </row>
    <row r="27" customFormat="false" ht="15" hidden="false" customHeight="false" outlineLevel="0" collapsed="false">
      <c r="A27" s="12" t="s">
        <v>3584</v>
      </c>
      <c r="B27" s="12" t="s">
        <v>2352</v>
      </c>
      <c r="C27" s="12" t="s">
        <v>186</v>
      </c>
      <c r="D27" s="12" t="s">
        <v>3585</v>
      </c>
      <c r="E27" s="12" t="n">
        <v>5</v>
      </c>
      <c r="F27" s="12" t="s">
        <v>2865</v>
      </c>
      <c r="G27" s="12" t="s">
        <v>2866</v>
      </c>
      <c r="H27" s="12" t="s">
        <v>2846</v>
      </c>
      <c r="I27" s="12" t="n">
        <v>2010500</v>
      </c>
      <c r="J27" s="12" t="s">
        <v>2868</v>
      </c>
      <c r="K27" s="12" t="s">
        <v>204</v>
      </c>
      <c r="L27" s="12" t="n">
        <v>0</v>
      </c>
      <c r="M27" s="12" t="n">
        <v>24720</v>
      </c>
      <c r="N27" s="12" t="s">
        <v>3586</v>
      </c>
      <c r="O27" s="12"/>
      <c r="P27" s="12" t="s">
        <v>3587</v>
      </c>
    </row>
    <row r="28" customFormat="false" ht="43.25" hidden="false" customHeight="false" outlineLevel="0" collapsed="false">
      <c r="A28" s="10"/>
      <c r="B28" s="10"/>
      <c r="C28" s="10"/>
      <c r="D28" s="10"/>
      <c r="E28" s="10"/>
      <c r="F28" s="10"/>
      <c r="G28" s="10"/>
      <c r="H28" s="10"/>
      <c r="I28" s="10"/>
      <c r="J28" s="10"/>
      <c r="K28" s="10"/>
      <c r="L28" s="10" t="n">
        <v>32145390</v>
      </c>
      <c r="M28" s="10" t="n">
        <v>32145390</v>
      </c>
      <c r="N28" s="10" t="s">
        <v>3588</v>
      </c>
      <c r="O28" s="10"/>
      <c r="P28" s="10" t="s">
        <v>2808</v>
      </c>
    </row>
    <row r="30" customFormat="false" ht="27.75" hidden="false" customHeight="true" outlineLevel="0" collapsed="false">
      <c r="A30" s="14" t="s">
        <v>3589</v>
      </c>
      <c r="B30" s="14"/>
      <c r="C30" s="14"/>
      <c r="D30" s="14"/>
      <c r="E30" s="14"/>
      <c r="F30" s="14"/>
      <c r="G30" s="14"/>
      <c r="H30" s="14"/>
      <c r="I30" s="14"/>
      <c r="J30" s="14"/>
    </row>
  </sheetData>
  <mergeCells count="1">
    <mergeCell ref="A30:J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5"/>
    <col collapsed="false" customWidth="true" hidden="false" outlineLevel="0" max="3" min="3" style="0" width="9"/>
    <col collapsed="false" customWidth="true" hidden="false" outlineLevel="0" max="4" min="4" style="0" width="12"/>
    <col collapsed="false" customWidth="true" hidden="false" outlineLevel="0" max="5" min="5" style="0" width="32"/>
    <col collapsed="false" customWidth="true" hidden="false" outlineLevel="0" max="6" min="6" style="0" width="12"/>
    <col collapsed="false" customWidth="true" hidden="false" outlineLevel="0" max="7" min="7" style="0" width="9"/>
    <col collapsed="false" customWidth="true" hidden="false" outlineLevel="0" max="8" min="8" style="0" width="16"/>
    <col collapsed="false" customWidth="true" hidden="false" outlineLevel="0" max="9" min="9" style="0" width="32"/>
    <col collapsed="false" customWidth="true" hidden="false" outlineLevel="0" max="10" min="10" style="0" width="58"/>
    <col collapsed="false" customWidth="true" hidden="false" outlineLevel="0" max="11" min="11" style="0" width="10"/>
    <col collapsed="false" customWidth="true" hidden="false" outlineLevel="0" max="12" min="12" style="0" width="56"/>
  </cols>
  <sheetData>
    <row r="1" customFormat="false" ht="30" hidden="false" customHeight="true" outlineLevel="0" collapsed="false">
      <c r="A1" s="8" t="s">
        <v>3590</v>
      </c>
      <c r="B1" s="8" t="s">
        <v>3536</v>
      </c>
      <c r="C1" s="8" t="s">
        <v>204</v>
      </c>
      <c r="D1" s="8" t="s">
        <v>3591</v>
      </c>
      <c r="E1" s="8" t="s">
        <v>3592</v>
      </c>
      <c r="F1" s="8" t="s">
        <v>3593</v>
      </c>
      <c r="G1" s="8" t="s">
        <v>3594</v>
      </c>
      <c r="H1" s="8" t="s">
        <v>3595</v>
      </c>
      <c r="I1" s="8" t="s">
        <v>185</v>
      </c>
      <c r="J1" s="8" t="s">
        <v>3596</v>
      </c>
      <c r="K1" s="8" t="s">
        <v>3597</v>
      </c>
      <c r="L1" s="8" t="s">
        <v>40</v>
      </c>
    </row>
    <row r="2" customFormat="false" ht="15" hidden="false" customHeight="false" outlineLevel="0" collapsed="false">
      <c r="A2" s="10" t="s">
        <v>3598</v>
      </c>
      <c r="B2" s="10" t="s">
        <v>2441</v>
      </c>
      <c r="C2" s="10" t="s">
        <v>186</v>
      </c>
      <c r="D2" s="10" t="s">
        <v>3599</v>
      </c>
      <c r="E2" s="10" t="s">
        <v>3600</v>
      </c>
      <c r="F2" s="10" t="s">
        <v>1323</v>
      </c>
      <c r="G2" s="10" t="n">
        <v>412</v>
      </c>
      <c r="H2" s="10" t="n">
        <v>24118000</v>
      </c>
      <c r="I2" s="10" t="s">
        <v>3601</v>
      </c>
      <c r="J2" s="10" t="s">
        <v>3602</v>
      </c>
      <c r="K2" s="10" t="n">
        <v>0</v>
      </c>
      <c r="L2" s="10" t="s">
        <v>2808</v>
      </c>
    </row>
    <row r="3" customFormat="false" ht="15" hidden="false" customHeight="false" outlineLevel="0" collapsed="false">
      <c r="A3" s="12" t="s">
        <v>3603</v>
      </c>
      <c r="B3" s="12" t="s">
        <v>2456</v>
      </c>
      <c r="C3" s="12" t="s">
        <v>195</v>
      </c>
      <c r="D3" s="12" t="s">
        <v>3604</v>
      </c>
      <c r="E3" s="12" t="s">
        <v>3600</v>
      </c>
      <c r="F3" s="12" t="s">
        <v>1323</v>
      </c>
      <c r="G3" s="12" t="n">
        <v>188</v>
      </c>
      <c r="H3" s="12" t="n">
        <v>9506000</v>
      </c>
      <c r="I3" s="12" t="s">
        <v>3601</v>
      </c>
      <c r="J3" s="12" t="s">
        <v>3605</v>
      </c>
      <c r="K3" s="12" t="n">
        <v>0</v>
      </c>
      <c r="L3" s="12"/>
    </row>
    <row r="4" customFormat="false" ht="15" hidden="false" customHeight="false" outlineLevel="0" collapsed="false">
      <c r="A4" s="10" t="s">
        <v>3606</v>
      </c>
      <c r="B4" s="10" t="s">
        <v>2352</v>
      </c>
      <c r="C4" s="10" t="s">
        <v>186</v>
      </c>
      <c r="D4" s="10" t="s">
        <v>3599</v>
      </c>
      <c r="E4" s="10" t="s">
        <v>3600</v>
      </c>
      <c r="F4" s="10" t="s">
        <v>2451</v>
      </c>
      <c r="G4" s="10" t="n">
        <v>96</v>
      </c>
      <c r="H4" s="10" t="n">
        <v>384190</v>
      </c>
      <c r="I4" s="10" t="s">
        <v>3607</v>
      </c>
      <c r="J4" s="10" t="s">
        <v>3608</v>
      </c>
      <c r="K4" s="10" t="n">
        <v>0</v>
      </c>
      <c r="L4" s="10" t="s">
        <v>3609</v>
      </c>
    </row>
    <row r="5" customFormat="false" ht="22.35" hidden="false" customHeight="false" outlineLevel="0" collapsed="false">
      <c r="A5" s="12" t="s">
        <v>3610</v>
      </c>
      <c r="B5" s="12" t="s">
        <v>2453</v>
      </c>
      <c r="C5" s="12" t="s">
        <v>186</v>
      </c>
      <c r="D5" s="12" t="s">
        <v>3599</v>
      </c>
      <c r="E5" s="12" t="s">
        <v>3600</v>
      </c>
      <c r="F5" s="12" t="s">
        <v>1394</v>
      </c>
      <c r="G5" s="12" t="n">
        <v>1</v>
      </c>
      <c r="H5" s="12" t="n">
        <v>251219</v>
      </c>
      <c r="I5" s="12" t="s">
        <v>3611</v>
      </c>
      <c r="J5" s="12" t="s">
        <v>3612</v>
      </c>
      <c r="K5" s="12" t="n">
        <v>0</v>
      </c>
      <c r="L5" s="12" t="s">
        <v>3613</v>
      </c>
    </row>
    <row r="7" customFormat="false" ht="27.75" hidden="false" customHeight="true" outlineLevel="0" collapsed="false">
      <c r="A7" s="14" t="s">
        <v>3614</v>
      </c>
      <c r="B7" s="14"/>
      <c r="C7" s="14"/>
      <c r="D7" s="14"/>
      <c r="E7" s="14"/>
      <c r="F7" s="14"/>
      <c r="G7" s="14"/>
      <c r="H7" s="14"/>
      <c r="I7" s="14"/>
      <c r="J7" s="14"/>
    </row>
  </sheetData>
  <mergeCells count="1">
    <mergeCell ref="A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8"/>
    <col collapsed="false" customWidth="true" hidden="false" outlineLevel="0" max="4" min="4" style="0" width="12"/>
    <col collapsed="false" customWidth="true" hidden="false" outlineLevel="0" max="5" min="5" style="0" width="13"/>
    <col collapsed="false" customWidth="true" hidden="false" outlineLevel="0" max="7" min="6" style="0" width="11"/>
    <col collapsed="false" customWidth="true" hidden="false" outlineLevel="0" max="8" min="8" style="0" width="12"/>
    <col collapsed="false" customWidth="true" hidden="false" outlineLevel="0" max="9" min="9" style="0" width="22"/>
    <col collapsed="false" customWidth="true" hidden="false" outlineLevel="0" max="10" min="10" style="0" width="28"/>
    <col collapsed="false" customWidth="true" hidden="false" outlineLevel="0" max="11" min="11" style="0" width="11"/>
    <col collapsed="false" customWidth="true" hidden="false" outlineLevel="0" max="12" min="12" style="0" width="12"/>
    <col collapsed="false" customWidth="true" hidden="false" outlineLevel="0" max="13" min="13" style="0" width="66"/>
    <col collapsed="false" customWidth="true" hidden="false" outlineLevel="0" max="14" min="14" style="0" width="14"/>
  </cols>
  <sheetData>
    <row r="1" customFormat="false" ht="30" hidden="false" customHeight="true" outlineLevel="0" collapsed="false">
      <c r="A1" s="8" t="s">
        <v>3615</v>
      </c>
      <c r="B1" s="8" t="s">
        <v>608</v>
      </c>
      <c r="C1" s="8" t="s">
        <v>1183</v>
      </c>
      <c r="D1" s="8" t="s">
        <v>2459</v>
      </c>
      <c r="E1" s="8" t="s">
        <v>2460</v>
      </c>
      <c r="F1" s="8" t="s">
        <v>3616</v>
      </c>
      <c r="G1" s="8" t="s">
        <v>2461</v>
      </c>
      <c r="H1" s="8" t="s">
        <v>3617</v>
      </c>
      <c r="I1" s="8" t="s">
        <v>3618</v>
      </c>
      <c r="J1" s="8" t="s">
        <v>3619</v>
      </c>
      <c r="K1" s="8" t="s">
        <v>268</v>
      </c>
      <c r="L1" s="8" t="s">
        <v>3620</v>
      </c>
      <c r="M1" s="8" t="s">
        <v>3621</v>
      </c>
      <c r="N1" s="8" t="s">
        <v>40</v>
      </c>
    </row>
    <row r="2" customFormat="false" ht="15" hidden="false" customHeight="false" outlineLevel="0" collapsed="false">
      <c r="A2" s="10" t="s">
        <v>3622</v>
      </c>
      <c r="B2" s="10" t="s">
        <v>1166</v>
      </c>
      <c r="C2" s="10" t="s">
        <v>1167</v>
      </c>
      <c r="D2" s="10" t="s">
        <v>1323</v>
      </c>
      <c r="E2" s="10" t="s">
        <v>1394</v>
      </c>
      <c r="F2" s="10" t="n">
        <v>30</v>
      </c>
      <c r="G2" s="10" t="n">
        <v>30</v>
      </c>
      <c r="H2" s="10" t="n">
        <v>7</v>
      </c>
      <c r="I2" s="10" t="s">
        <v>3623</v>
      </c>
      <c r="J2" s="10" t="s">
        <v>3624</v>
      </c>
      <c r="K2" s="10" t="s">
        <v>3282</v>
      </c>
      <c r="L2" s="10" t="n">
        <v>70900</v>
      </c>
      <c r="M2" s="10" t="s">
        <v>3625</v>
      </c>
      <c r="N2" s="10"/>
    </row>
    <row r="3" customFormat="false" ht="15" hidden="false" customHeight="false" outlineLevel="0" collapsed="false">
      <c r="A3" s="12" t="s">
        <v>3622</v>
      </c>
      <c r="B3" s="12" t="s">
        <v>1166</v>
      </c>
      <c r="C3" s="12" t="s">
        <v>1167</v>
      </c>
      <c r="D3" s="12"/>
      <c r="E3" s="12"/>
      <c r="F3" s="12"/>
      <c r="G3" s="12"/>
      <c r="H3" s="12"/>
      <c r="I3" s="12"/>
      <c r="J3" s="12" t="s">
        <v>3317</v>
      </c>
      <c r="K3" s="12" t="s">
        <v>3282</v>
      </c>
      <c r="L3" s="12" t="n">
        <v>174138</v>
      </c>
      <c r="M3" s="12" t="s">
        <v>3626</v>
      </c>
      <c r="N3" s="12" t="s">
        <v>1396</v>
      </c>
    </row>
    <row r="4" customFormat="false" ht="22.35" hidden="false" customHeight="false" outlineLevel="0" collapsed="false">
      <c r="A4" s="10" t="s">
        <v>3622</v>
      </c>
      <c r="B4" s="10" t="s">
        <v>1166</v>
      </c>
      <c r="C4" s="10" t="s">
        <v>1167</v>
      </c>
      <c r="D4" s="10"/>
      <c r="E4" s="10"/>
      <c r="F4" s="10"/>
      <c r="G4" s="10"/>
      <c r="H4" s="10"/>
      <c r="I4" s="10"/>
      <c r="J4" s="10" t="s">
        <v>3310</v>
      </c>
      <c r="K4" s="10" t="s">
        <v>3282</v>
      </c>
      <c r="L4" s="10" t="n">
        <v>15755</v>
      </c>
      <c r="M4" s="10" t="s">
        <v>3627</v>
      </c>
      <c r="N4" s="10" t="s">
        <v>3628</v>
      </c>
    </row>
    <row r="5" customFormat="false" ht="15" hidden="false" customHeight="false" outlineLevel="0" collapsed="false">
      <c r="A5" s="12" t="s">
        <v>3622</v>
      </c>
      <c r="B5" s="12" t="s">
        <v>1166</v>
      </c>
      <c r="C5" s="12" t="s">
        <v>1167</v>
      </c>
      <c r="D5" s="12"/>
      <c r="E5" s="12"/>
      <c r="F5" s="12"/>
      <c r="G5" s="12"/>
      <c r="H5" s="12"/>
      <c r="I5" s="12"/>
      <c r="J5" s="12" t="s">
        <v>3314</v>
      </c>
      <c r="K5" s="12" t="s">
        <v>3282</v>
      </c>
      <c r="L5" s="12" t="n">
        <v>0</v>
      </c>
      <c r="M5" s="12" t="s">
        <v>3629</v>
      </c>
      <c r="N5" s="12"/>
    </row>
    <row r="6" customFormat="false" ht="15" hidden="false" customHeight="false" outlineLevel="0" collapsed="false">
      <c r="A6" s="10" t="s">
        <v>3622</v>
      </c>
      <c r="B6" s="10" t="s">
        <v>1166</v>
      </c>
      <c r="C6" s="10" t="s">
        <v>1167</v>
      </c>
      <c r="D6" s="10"/>
      <c r="E6" s="10"/>
      <c r="F6" s="10"/>
      <c r="G6" s="10"/>
      <c r="H6" s="10"/>
      <c r="I6" s="10"/>
      <c r="J6" s="10" t="s">
        <v>3325</v>
      </c>
      <c r="K6" s="10" t="s">
        <v>3326</v>
      </c>
      <c r="L6" s="10" t="n">
        <v>5174</v>
      </c>
      <c r="M6" s="10" t="s">
        <v>3630</v>
      </c>
      <c r="N6" s="10"/>
    </row>
    <row r="7" customFormat="false" ht="15" hidden="false" customHeight="false" outlineLevel="0" collapsed="false">
      <c r="A7" s="12" t="s">
        <v>3622</v>
      </c>
      <c r="B7" s="12" t="s">
        <v>1166</v>
      </c>
      <c r="C7" s="12" t="s">
        <v>1167</v>
      </c>
      <c r="D7" s="12"/>
      <c r="E7" s="12"/>
      <c r="F7" s="12"/>
      <c r="G7" s="12"/>
      <c r="H7" s="12"/>
      <c r="I7" s="12"/>
      <c r="J7" s="12" t="s">
        <v>3335</v>
      </c>
      <c r="K7" s="12" t="s">
        <v>3326</v>
      </c>
      <c r="L7" s="12" t="n">
        <v>200</v>
      </c>
      <c r="M7" s="12" t="s">
        <v>3631</v>
      </c>
      <c r="N7" s="12" t="s">
        <v>2493</v>
      </c>
    </row>
    <row r="8" customFormat="false" ht="15" hidden="false" customHeight="false" outlineLevel="0" collapsed="false">
      <c r="A8" s="10" t="s">
        <v>3622</v>
      </c>
      <c r="B8" s="10" t="s">
        <v>1166</v>
      </c>
      <c r="C8" s="10" t="s">
        <v>1167</v>
      </c>
      <c r="D8" s="10"/>
      <c r="E8" s="10"/>
      <c r="F8" s="10"/>
      <c r="G8" s="10"/>
      <c r="H8" s="10"/>
      <c r="I8" s="10"/>
      <c r="J8" s="10" t="s">
        <v>3547</v>
      </c>
      <c r="K8" s="10" t="s">
        <v>3326</v>
      </c>
      <c r="L8" s="10" t="n">
        <v>4200</v>
      </c>
      <c r="M8" s="10"/>
      <c r="N8" s="10"/>
    </row>
    <row r="9" customFormat="false" ht="15" hidden="false" customHeight="false" outlineLevel="0" collapsed="false">
      <c r="A9" s="12" t="s">
        <v>3622</v>
      </c>
      <c r="B9" s="12" t="s">
        <v>1166</v>
      </c>
      <c r="C9" s="12" t="s">
        <v>1167</v>
      </c>
      <c r="D9" s="12"/>
      <c r="E9" s="12"/>
      <c r="F9" s="12"/>
      <c r="G9" s="12"/>
      <c r="H9" s="12"/>
      <c r="I9" s="12"/>
      <c r="J9" s="12" t="s">
        <v>3632</v>
      </c>
      <c r="K9" s="12" t="s">
        <v>3326</v>
      </c>
      <c r="L9" s="12" t="n">
        <v>0</v>
      </c>
      <c r="M9" s="12" t="s">
        <v>3633</v>
      </c>
      <c r="N9" s="12" t="s">
        <v>3634</v>
      </c>
    </row>
    <row r="10" customFormat="false" ht="15" hidden="false" customHeight="false" outlineLevel="0" collapsed="false">
      <c r="A10" s="10" t="s">
        <v>3622</v>
      </c>
      <c r="B10" s="10" t="s">
        <v>1166</v>
      </c>
      <c r="C10" s="10" t="s">
        <v>1167</v>
      </c>
      <c r="D10" s="10"/>
      <c r="E10" s="10"/>
      <c r="F10" s="10"/>
      <c r="G10" s="10"/>
      <c r="H10" s="10"/>
      <c r="I10" s="10"/>
      <c r="J10" s="10" t="s">
        <v>3635</v>
      </c>
      <c r="K10" s="10" t="s">
        <v>3636</v>
      </c>
      <c r="L10" s="10" t="n">
        <v>251219</v>
      </c>
      <c r="M10" s="10" t="s">
        <v>3637</v>
      </c>
      <c r="N10" s="10" t="s">
        <v>1396</v>
      </c>
    </row>
    <row r="11" customFormat="false" ht="22.35" hidden="false" customHeight="false" outlineLevel="0" collapsed="false">
      <c r="A11" s="12" t="s">
        <v>3638</v>
      </c>
      <c r="B11" s="12" t="s">
        <v>961</v>
      </c>
      <c r="C11" s="12" t="s">
        <v>962</v>
      </c>
      <c r="D11" s="12" t="s">
        <v>2477</v>
      </c>
      <c r="E11" s="12" t="s">
        <v>1465</v>
      </c>
      <c r="F11" s="12" t="n">
        <v>30</v>
      </c>
      <c r="G11" s="12" t="n">
        <v>30</v>
      </c>
      <c r="H11" s="12" t="n">
        <v>4</v>
      </c>
      <c r="I11" s="12" t="s">
        <v>3639</v>
      </c>
      <c r="J11" s="12" t="s">
        <v>3640</v>
      </c>
      <c r="K11" s="12" t="s">
        <v>3282</v>
      </c>
      <c r="L11" s="12" t="n">
        <v>43080</v>
      </c>
      <c r="M11" s="12" t="s">
        <v>3641</v>
      </c>
      <c r="N11" s="12"/>
    </row>
    <row r="12" customFormat="false" ht="22.35" hidden="false" customHeight="false" outlineLevel="0" collapsed="false">
      <c r="A12" s="10" t="s">
        <v>3638</v>
      </c>
      <c r="B12" s="10" t="s">
        <v>961</v>
      </c>
      <c r="C12" s="10" t="s">
        <v>962</v>
      </c>
      <c r="D12" s="10"/>
      <c r="E12" s="10"/>
      <c r="F12" s="10"/>
      <c r="G12" s="10"/>
      <c r="H12" s="10"/>
      <c r="I12" s="10"/>
      <c r="J12" s="10" t="s">
        <v>3317</v>
      </c>
      <c r="K12" s="10" t="s">
        <v>3282</v>
      </c>
      <c r="L12" s="10" t="n">
        <v>0</v>
      </c>
      <c r="M12" s="10" t="s">
        <v>3642</v>
      </c>
      <c r="N12" s="10" t="s">
        <v>1396</v>
      </c>
    </row>
    <row r="13" customFormat="false" ht="15" hidden="false" customHeight="false" outlineLevel="0" collapsed="false">
      <c r="A13" s="12" t="s">
        <v>3638</v>
      </c>
      <c r="B13" s="12" t="s">
        <v>961</v>
      </c>
      <c r="C13" s="12" t="s">
        <v>962</v>
      </c>
      <c r="D13" s="12"/>
      <c r="E13" s="12"/>
      <c r="F13" s="12"/>
      <c r="G13" s="12"/>
      <c r="H13" s="12"/>
      <c r="I13" s="12"/>
      <c r="J13" s="12" t="s">
        <v>3310</v>
      </c>
      <c r="K13" s="12" t="s">
        <v>3282</v>
      </c>
      <c r="L13" s="12" t="n">
        <v>10080</v>
      </c>
      <c r="M13" s="12" t="s">
        <v>3643</v>
      </c>
      <c r="N13" s="12" t="s">
        <v>1396</v>
      </c>
    </row>
    <row r="14" customFormat="false" ht="15" hidden="false" customHeight="false" outlineLevel="0" collapsed="false">
      <c r="A14" s="10" t="s">
        <v>3638</v>
      </c>
      <c r="B14" s="10" t="s">
        <v>961</v>
      </c>
      <c r="C14" s="10" t="s">
        <v>962</v>
      </c>
      <c r="D14" s="10"/>
      <c r="E14" s="10"/>
      <c r="F14" s="10"/>
      <c r="G14" s="10"/>
      <c r="H14" s="10"/>
      <c r="I14" s="10"/>
      <c r="J14" s="10" t="s">
        <v>3325</v>
      </c>
      <c r="K14" s="10" t="s">
        <v>3326</v>
      </c>
      <c r="L14" s="10" t="n">
        <v>3145</v>
      </c>
      <c r="M14" s="10" t="s">
        <v>3644</v>
      </c>
      <c r="N14" s="10"/>
    </row>
    <row r="15" customFormat="false" ht="15" hidden="false" customHeight="false" outlineLevel="0" collapsed="false">
      <c r="A15" s="12" t="s">
        <v>3638</v>
      </c>
      <c r="B15" s="12" t="s">
        <v>961</v>
      </c>
      <c r="C15" s="12" t="s">
        <v>962</v>
      </c>
      <c r="D15" s="12"/>
      <c r="E15" s="12"/>
      <c r="F15" s="12"/>
      <c r="G15" s="12"/>
      <c r="H15" s="12"/>
      <c r="I15" s="12"/>
      <c r="J15" s="12" t="s">
        <v>3335</v>
      </c>
      <c r="K15" s="12" t="s">
        <v>3326</v>
      </c>
      <c r="L15" s="12" t="n">
        <v>200</v>
      </c>
      <c r="M15" s="12" t="s">
        <v>237</v>
      </c>
      <c r="N15" s="12" t="s">
        <v>2493</v>
      </c>
    </row>
    <row r="16" customFormat="false" ht="15" hidden="false" customHeight="false" outlineLevel="0" collapsed="false">
      <c r="A16" s="10" t="s">
        <v>3638</v>
      </c>
      <c r="B16" s="10" t="s">
        <v>961</v>
      </c>
      <c r="C16" s="10" t="s">
        <v>962</v>
      </c>
      <c r="D16" s="10"/>
      <c r="E16" s="10"/>
      <c r="F16" s="10"/>
      <c r="G16" s="10"/>
      <c r="H16" s="10"/>
      <c r="I16" s="10"/>
      <c r="J16" s="10" t="s">
        <v>3547</v>
      </c>
      <c r="K16" s="10" t="s">
        <v>3326</v>
      </c>
      <c r="L16" s="10" t="n">
        <v>1800</v>
      </c>
      <c r="M16" s="10"/>
      <c r="N16" s="10"/>
    </row>
    <row r="17" customFormat="false" ht="32.8" hidden="false" customHeight="false" outlineLevel="0" collapsed="false">
      <c r="A17" s="12" t="s">
        <v>3638</v>
      </c>
      <c r="B17" s="12" t="s">
        <v>961</v>
      </c>
      <c r="C17" s="12" t="s">
        <v>962</v>
      </c>
      <c r="D17" s="12"/>
      <c r="E17" s="12"/>
      <c r="F17" s="12"/>
      <c r="G17" s="12"/>
      <c r="H17" s="12"/>
      <c r="I17" s="12"/>
      <c r="J17" s="12" t="s">
        <v>3632</v>
      </c>
      <c r="K17" s="12" t="s">
        <v>3326</v>
      </c>
      <c r="L17" s="12" t="n">
        <v>12500</v>
      </c>
      <c r="M17" s="12" t="s">
        <v>3645</v>
      </c>
      <c r="N17" s="12" t="s">
        <v>3634</v>
      </c>
    </row>
    <row r="18" customFormat="false" ht="22.35" hidden="false" customHeight="false" outlineLevel="0" collapsed="false">
      <c r="A18" s="10" t="s">
        <v>3638</v>
      </c>
      <c r="B18" s="10" t="s">
        <v>961</v>
      </c>
      <c r="C18" s="10" t="s">
        <v>962</v>
      </c>
      <c r="D18" s="10"/>
      <c r="E18" s="10"/>
      <c r="F18" s="10"/>
      <c r="G18" s="10"/>
      <c r="H18" s="10"/>
      <c r="I18" s="10"/>
      <c r="J18" s="10" t="s">
        <v>3635</v>
      </c>
      <c r="K18" s="10" t="s">
        <v>3636</v>
      </c>
      <c r="L18" s="10" t="n">
        <v>35515</v>
      </c>
      <c r="M18" s="10" t="s">
        <v>3646</v>
      </c>
      <c r="N18" s="10" t="s">
        <v>1396</v>
      </c>
    </row>
    <row r="20" customFormat="false" ht="27.75" hidden="false" customHeight="true" outlineLevel="0" collapsed="false">
      <c r="A20" s="14" t="s">
        <v>3647</v>
      </c>
      <c r="B20" s="14"/>
      <c r="C20" s="14"/>
      <c r="D20" s="14"/>
      <c r="E20" s="14"/>
      <c r="F20" s="14"/>
      <c r="G20" s="14"/>
      <c r="H20" s="14"/>
      <c r="I20" s="14"/>
      <c r="J20" s="14"/>
    </row>
  </sheetData>
  <mergeCells count="1">
    <mergeCell ref="A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4" min="3" style="0" width="20"/>
    <col collapsed="false" customWidth="true" hidden="false" outlineLevel="0" max="5" min="5" style="0" width="22"/>
    <col collapsed="false" customWidth="true" hidden="false" outlineLevel="0" max="6" min="6" style="0" width="18"/>
    <col collapsed="false" customWidth="true" hidden="false" outlineLevel="0" max="7" min="7" style="0" width="34"/>
    <col collapsed="false" customWidth="true" hidden="false" outlineLevel="0" max="8" min="8" style="0" width="13"/>
    <col collapsed="false" customWidth="true" hidden="false" outlineLevel="0" max="9" min="9" style="0" width="15"/>
    <col collapsed="false" customWidth="true" hidden="false" outlineLevel="0" max="10" min="10" style="0" width="16"/>
    <col collapsed="false" customWidth="true" hidden="false" outlineLevel="0" max="11" min="11" style="0" width="14"/>
    <col collapsed="false" customWidth="true" hidden="false" outlineLevel="0" max="12" min="12" style="0" width="15"/>
    <col collapsed="false" customWidth="true" hidden="false" outlineLevel="0" max="13" min="13" style="0" width="14"/>
    <col collapsed="false" customWidth="true" hidden="false" outlineLevel="0" max="14" min="14" style="0" width="74"/>
  </cols>
  <sheetData>
    <row r="1" customFormat="false" ht="30" hidden="false" customHeight="true" outlineLevel="0" collapsed="false">
      <c r="A1" s="8" t="s">
        <v>3648</v>
      </c>
      <c r="B1" s="8" t="s">
        <v>2941</v>
      </c>
      <c r="C1" s="8" t="s">
        <v>1183</v>
      </c>
      <c r="D1" s="8" t="s">
        <v>1488</v>
      </c>
      <c r="E1" s="8" t="s">
        <v>3649</v>
      </c>
      <c r="F1" s="8" t="s">
        <v>3650</v>
      </c>
      <c r="G1" s="8" t="s">
        <v>3651</v>
      </c>
      <c r="H1" s="8" t="s">
        <v>3652</v>
      </c>
      <c r="I1" s="8" t="s">
        <v>3653</v>
      </c>
      <c r="J1" s="8" t="s">
        <v>3654</v>
      </c>
      <c r="K1" s="8" t="s">
        <v>3655</v>
      </c>
      <c r="L1" s="8" t="s">
        <v>3656</v>
      </c>
      <c r="M1" s="8" t="s">
        <v>3657</v>
      </c>
      <c r="N1" s="8" t="s">
        <v>40</v>
      </c>
    </row>
    <row r="2" customFormat="false" ht="15" hidden="false" customHeight="false" outlineLevel="0" collapsed="false">
      <c r="A2" s="10" t="s">
        <v>3658</v>
      </c>
      <c r="B2" s="10" t="s">
        <v>2602</v>
      </c>
      <c r="C2" s="10" t="s">
        <v>1149</v>
      </c>
      <c r="D2" s="10" t="s">
        <v>3659</v>
      </c>
      <c r="E2" s="10" t="s">
        <v>3660</v>
      </c>
      <c r="F2" s="10" t="s">
        <v>3661</v>
      </c>
      <c r="G2" s="10" t="s">
        <v>3662</v>
      </c>
      <c r="H2" s="10" t="s">
        <v>3663</v>
      </c>
      <c r="I2" s="10" t="s">
        <v>3664</v>
      </c>
      <c r="J2" s="10" t="n">
        <v>494400</v>
      </c>
      <c r="K2" s="10" t="s">
        <v>3665</v>
      </c>
      <c r="L2" s="10" t="s">
        <v>1151</v>
      </c>
      <c r="M2" s="10" t="s">
        <v>602</v>
      </c>
      <c r="N2" s="10" t="s">
        <v>3666</v>
      </c>
    </row>
    <row r="3" customFormat="false" ht="15" hidden="false" customHeight="false" outlineLevel="0" collapsed="false">
      <c r="A3" s="12" t="s">
        <v>3667</v>
      </c>
      <c r="B3" s="12" t="s">
        <v>2593</v>
      </c>
      <c r="C3" s="12" t="s">
        <v>1141</v>
      </c>
      <c r="D3" s="12" t="s">
        <v>3659</v>
      </c>
      <c r="E3" s="12" t="s">
        <v>3668</v>
      </c>
      <c r="F3" s="12" t="s">
        <v>3661</v>
      </c>
      <c r="G3" s="12" t="s">
        <v>3669</v>
      </c>
      <c r="H3" s="12" t="s">
        <v>3670</v>
      </c>
      <c r="I3" s="12" t="s">
        <v>3671</v>
      </c>
      <c r="J3" s="12" t="n">
        <v>585600</v>
      </c>
      <c r="K3" s="12" t="s">
        <v>3665</v>
      </c>
      <c r="L3" s="12" t="s">
        <v>1143</v>
      </c>
      <c r="M3" s="12" t="s">
        <v>599</v>
      </c>
      <c r="N3" s="12" t="s">
        <v>3672</v>
      </c>
    </row>
    <row r="4" customFormat="false" ht="15" hidden="false" customHeight="false" outlineLevel="0" collapsed="false">
      <c r="A4" s="10" t="s">
        <v>3673</v>
      </c>
      <c r="B4" s="10" t="s">
        <v>2946</v>
      </c>
      <c r="C4" s="10" t="s">
        <v>3674</v>
      </c>
      <c r="D4" s="10" t="s">
        <v>3675</v>
      </c>
      <c r="E4" s="10"/>
      <c r="F4" s="10" t="s">
        <v>3676</v>
      </c>
      <c r="G4" s="10" t="s">
        <v>3677</v>
      </c>
      <c r="H4" s="10" t="s">
        <v>3678</v>
      </c>
      <c r="I4" s="10"/>
      <c r="J4" s="10"/>
      <c r="K4" s="10"/>
      <c r="L4" s="10"/>
      <c r="M4" s="10"/>
      <c r="N4" s="10" t="s">
        <v>3679</v>
      </c>
    </row>
    <row r="5" customFormat="false" ht="15" hidden="false" customHeight="false" outlineLevel="0" collapsed="false">
      <c r="A5" s="12" t="s">
        <v>3680</v>
      </c>
      <c r="B5" s="12" t="s">
        <v>2946</v>
      </c>
      <c r="C5" s="12" t="s">
        <v>3681</v>
      </c>
      <c r="D5" s="12" t="s">
        <v>3682</v>
      </c>
      <c r="E5" s="12"/>
      <c r="F5" s="12" t="s">
        <v>3683</v>
      </c>
      <c r="G5" s="12" t="s">
        <v>3684</v>
      </c>
      <c r="H5" s="12"/>
      <c r="I5" s="12"/>
      <c r="J5" s="12"/>
      <c r="K5" s="12"/>
      <c r="L5" s="12"/>
      <c r="M5" s="12"/>
      <c r="N5" s="12" t="s">
        <v>558</v>
      </c>
    </row>
    <row r="6" customFormat="false" ht="22.35" hidden="false" customHeight="false" outlineLevel="0" collapsed="false">
      <c r="A6" s="10" t="s">
        <v>3685</v>
      </c>
      <c r="B6" s="10" t="s">
        <v>2606</v>
      </c>
      <c r="C6" s="10" t="s">
        <v>3686</v>
      </c>
      <c r="D6" s="10" t="s">
        <v>3659</v>
      </c>
      <c r="E6" s="10" t="s">
        <v>3687</v>
      </c>
      <c r="F6" s="10" t="s">
        <v>3688</v>
      </c>
      <c r="G6" s="10" t="s">
        <v>3662</v>
      </c>
      <c r="H6" s="10" t="s">
        <v>3663</v>
      </c>
      <c r="I6" s="10" t="s">
        <v>3689</v>
      </c>
      <c r="J6" s="10" t="n">
        <v>288000</v>
      </c>
      <c r="K6" s="10" t="s">
        <v>1439</v>
      </c>
      <c r="L6" s="10" t="s">
        <v>1449</v>
      </c>
      <c r="M6" s="10"/>
      <c r="N6" s="10" t="s">
        <v>3690</v>
      </c>
    </row>
    <row r="7" customFormat="false" ht="15" hidden="false" customHeight="false" outlineLevel="0" collapsed="false">
      <c r="A7" s="12" t="s">
        <v>3691</v>
      </c>
      <c r="B7" s="12" t="s">
        <v>2956</v>
      </c>
      <c r="C7" s="12" t="s">
        <v>3692</v>
      </c>
      <c r="D7" s="12" t="s">
        <v>3693</v>
      </c>
      <c r="E7" s="12"/>
      <c r="F7" s="12" t="s">
        <v>3694</v>
      </c>
      <c r="G7" s="12" t="s">
        <v>3684</v>
      </c>
      <c r="H7" s="12"/>
      <c r="I7" s="12"/>
      <c r="J7" s="12"/>
      <c r="K7" s="12"/>
      <c r="L7" s="12"/>
      <c r="M7" s="12"/>
      <c r="N7" s="12" t="s">
        <v>558</v>
      </c>
    </row>
    <row r="8" customFormat="false" ht="15" hidden="false" customHeight="false" outlineLevel="0" collapsed="false">
      <c r="A8" s="10" t="s">
        <v>3695</v>
      </c>
      <c r="B8" s="10" t="s">
        <v>2959</v>
      </c>
      <c r="C8" s="10" t="s">
        <v>3696</v>
      </c>
      <c r="D8" s="10" t="s">
        <v>3675</v>
      </c>
      <c r="E8" s="10"/>
      <c r="F8" s="10" t="s">
        <v>3688</v>
      </c>
      <c r="G8" s="10" t="s">
        <v>3677</v>
      </c>
      <c r="H8" s="10" t="s">
        <v>3663</v>
      </c>
      <c r="I8" s="10" t="s">
        <v>3697</v>
      </c>
      <c r="J8" s="10" t="n">
        <v>276000</v>
      </c>
      <c r="K8" s="10" t="s">
        <v>3698</v>
      </c>
      <c r="L8" s="10" t="s">
        <v>3699</v>
      </c>
      <c r="M8" s="10"/>
      <c r="N8" s="10" t="s">
        <v>558</v>
      </c>
    </row>
    <row r="9" customFormat="false" ht="15" hidden="false" customHeight="false" outlineLevel="0" collapsed="false">
      <c r="A9" s="12" t="s">
        <v>3700</v>
      </c>
      <c r="B9" s="12" t="s">
        <v>2967</v>
      </c>
      <c r="C9" s="12" t="s">
        <v>3701</v>
      </c>
      <c r="D9" s="12" t="s">
        <v>3702</v>
      </c>
      <c r="E9" s="12"/>
      <c r="F9" s="12" t="s">
        <v>2404</v>
      </c>
      <c r="G9" s="12" t="s">
        <v>3684</v>
      </c>
      <c r="H9" s="12" t="s">
        <v>3703</v>
      </c>
      <c r="I9" s="12"/>
      <c r="J9" s="12"/>
      <c r="K9" s="12"/>
      <c r="L9" s="12"/>
      <c r="M9" s="12"/>
      <c r="N9" s="12" t="s">
        <v>3704</v>
      </c>
    </row>
    <row r="11" customFormat="false" ht="27.75" hidden="false" customHeight="true" outlineLevel="0" collapsed="false">
      <c r="A11" s="14" t="s">
        <v>3705</v>
      </c>
      <c r="B11" s="14"/>
      <c r="C11" s="14"/>
      <c r="D11" s="14"/>
      <c r="E11" s="14"/>
      <c r="F11" s="14"/>
      <c r="G11" s="14"/>
      <c r="H11" s="14"/>
      <c r="I11" s="14"/>
      <c r="J11" s="14"/>
    </row>
  </sheetData>
  <mergeCells count="1">
    <mergeCell ref="A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6" min="6" style="0" width="13"/>
    <col collapsed="false" customWidth="true" hidden="false" outlineLevel="0" max="7" min="7" style="0" width="14"/>
    <col collapsed="false" customWidth="true" hidden="false" outlineLevel="0" max="9" min="8" style="0" width="16"/>
    <col collapsed="false" customWidth="true" hidden="false" outlineLevel="0" max="10" min="10" style="0" width="22"/>
    <col collapsed="false" customWidth="true" hidden="false" outlineLevel="0" max="11" min="11" style="0" width="62"/>
    <col collapsed="false" customWidth="true" hidden="false" outlineLevel="0" max="12" min="12" style="0" width="13"/>
    <col collapsed="false" customWidth="true" hidden="false" outlineLevel="0" max="13" min="13" style="0" width="14"/>
  </cols>
  <sheetData>
    <row r="1" customFormat="false" ht="30" hidden="false" customHeight="true" outlineLevel="0" collapsed="false">
      <c r="A1" s="8" t="s">
        <v>544</v>
      </c>
      <c r="B1" s="8" t="s">
        <v>608</v>
      </c>
      <c r="C1" s="8" t="s">
        <v>1183</v>
      </c>
      <c r="D1" s="8" t="s">
        <v>612</v>
      </c>
      <c r="E1" s="8" t="s">
        <v>3706</v>
      </c>
      <c r="F1" s="8" t="s">
        <v>3707</v>
      </c>
      <c r="G1" s="8" t="s">
        <v>3708</v>
      </c>
      <c r="H1" s="8" t="s">
        <v>3709</v>
      </c>
      <c r="I1" s="8" t="s">
        <v>3710</v>
      </c>
      <c r="J1" s="8" t="s">
        <v>185</v>
      </c>
      <c r="K1" s="8" t="s">
        <v>3711</v>
      </c>
      <c r="L1" s="8" t="s">
        <v>3712</v>
      </c>
      <c r="M1" s="8" t="s">
        <v>40</v>
      </c>
    </row>
    <row r="2" customFormat="false" ht="15" hidden="false" customHeight="false" outlineLevel="0" collapsed="false">
      <c r="A2" s="10" t="s">
        <v>3713</v>
      </c>
      <c r="B2" s="10" t="s">
        <v>1084</v>
      </c>
      <c r="C2" s="10" t="s">
        <v>1085</v>
      </c>
      <c r="D2" s="10" t="s">
        <v>3714</v>
      </c>
      <c r="E2" s="10" t="n">
        <v>6</v>
      </c>
      <c r="F2" s="10" t="s">
        <v>1151</v>
      </c>
      <c r="G2" s="10" t="s">
        <v>233</v>
      </c>
      <c r="H2" s="10" t="s">
        <v>3715</v>
      </c>
      <c r="I2" s="10" t="s">
        <v>3715</v>
      </c>
      <c r="J2" s="10" t="s">
        <v>3716</v>
      </c>
      <c r="K2" s="10"/>
      <c r="L2" s="10" t="s">
        <v>2700</v>
      </c>
      <c r="M2" s="10" t="s">
        <v>2668</v>
      </c>
    </row>
    <row r="3" customFormat="false" ht="32.8" hidden="false" customHeight="false" outlineLevel="0" collapsed="false">
      <c r="A3" s="12" t="s">
        <v>3717</v>
      </c>
      <c r="B3" s="12" t="s">
        <v>602</v>
      </c>
      <c r="C3" s="12" t="s">
        <v>1149</v>
      </c>
      <c r="D3" s="12" t="s">
        <v>1151</v>
      </c>
      <c r="E3" s="12" t="n">
        <v>6</v>
      </c>
      <c r="F3" s="12" t="s">
        <v>1155</v>
      </c>
      <c r="G3" s="12" t="s">
        <v>226</v>
      </c>
      <c r="H3" s="12"/>
      <c r="I3" s="12"/>
      <c r="J3" s="12" t="s">
        <v>3718</v>
      </c>
      <c r="K3" s="12" t="s">
        <v>3719</v>
      </c>
      <c r="L3" s="12"/>
      <c r="M3" s="12" t="s">
        <v>2720</v>
      </c>
    </row>
    <row r="4" customFormat="false" ht="22.35" hidden="false" customHeight="false" outlineLevel="0" collapsed="false">
      <c r="A4" s="10" t="s">
        <v>3720</v>
      </c>
      <c r="B4" s="10" t="s">
        <v>599</v>
      </c>
      <c r="C4" s="10" t="s">
        <v>1141</v>
      </c>
      <c r="D4" s="10" t="s">
        <v>1143</v>
      </c>
      <c r="E4" s="10" t="n">
        <v>6</v>
      </c>
      <c r="F4" s="10" t="s">
        <v>1147</v>
      </c>
      <c r="G4" s="10" t="s">
        <v>233</v>
      </c>
      <c r="H4" s="10"/>
      <c r="I4" s="10"/>
      <c r="J4" s="10" t="s">
        <v>3718</v>
      </c>
      <c r="K4" s="10" t="s">
        <v>3721</v>
      </c>
      <c r="L4" s="10"/>
      <c r="M4" s="10" t="s">
        <v>3722</v>
      </c>
    </row>
    <row r="5" customFormat="false" ht="74.6" hidden="false" customHeight="false" outlineLevel="0" collapsed="false">
      <c r="A5" s="12" t="s">
        <v>3723</v>
      </c>
      <c r="B5" s="12" t="s">
        <v>1157</v>
      </c>
      <c r="C5" s="12" t="s">
        <v>1158</v>
      </c>
      <c r="D5" s="12" t="s">
        <v>1160</v>
      </c>
      <c r="E5" s="12" t="n">
        <v>6</v>
      </c>
      <c r="F5" s="12" t="s">
        <v>1164</v>
      </c>
      <c r="G5" s="12" t="s">
        <v>233</v>
      </c>
      <c r="H5" s="12" t="s">
        <v>3715</v>
      </c>
      <c r="I5" s="12" t="s">
        <v>3715</v>
      </c>
      <c r="J5" s="12" t="s">
        <v>3724</v>
      </c>
      <c r="K5" s="12"/>
      <c r="L5" s="12"/>
      <c r="M5" s="12" t="s">
        <v>3725</v>
      </c>
    </row>
    <row r="6" customFormat="false" ht="15" hidden="false" customHeight="false" outlineLevel="0" collapsed="false">
      <c r="A6" s="10" t="s">
        <v>3726</v>
      </c>
      <c r="B6" s="10" t="s">
        <v>1098</v>
      </c>
      <c r="C6" s="10" t="s">
        <v>1099</v>
      </c>
      <c r="D6" s="10" t="s">
        <v>1101</v>
      </c>
      <c r="E6" s="10" t="n">
        <v>6</v>
      </c>
      <c r="F6" s="10" t="s">
        <v>1105</v>
      </c>
      <c r="G6" s="10" t="s">
        <v>233</v>
      </c>
      <c r="H6" s="10" t="s">
        <v>3727</v>
      </c>
      <c r="I6" s="10" t="s">
        <v>3727</v>
      </c>
      <c r="J6" s="10" t="s">
        <v>3728</v>
      </c>
      <c r="K6" s="10" t="s">
        <v>3729</v>
      </c>
      <c r="L6" s="10"/>
      <c r="M6" s="10"/>
    </row>
    <row r="8" customFormat="false" ht="27.75" hidden="false" customHeight="true" outlineLevel="0" collapsed="false">
      <c r="A8" s="14" t="s">
        <v>3730</v>
      </c>
      <c r="B8" s="14"/>
      <c r="C8" s="14"/>
      <c r="D8" s="14"/>
      <c r="E8" s="14"/>
      <c r="F8" s="14"/>
      <c r="G8" s="14"/>
      <c r="H8" s="14"/>
      <c r="I8" s="14"/>
      <c r="J8" s="14"/>
    </row>
  </sheetData>
  <mergeCells count="1">
    <mergeCell ref="A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5"/>
    <col collapsed="false" customWidth="true" hidden="false" outlineLevel="0" max="3" min="3" style="0" width="18"/>
    <col collapsed="false" customWidth="true" hidden="false" outlineLevel="0" max="4" min="4" style="0" width="15"/>
    <col collapsed="false" customWidth="true" hidden="false" outlineLevel="0" max="5" min="5" style="0" width="12"/>
    <col collapsed="false" customWidth="true" hidden="false" outlineLevel="0" max="6" min="6" style="0" width="11"/>
    <col collapsed="false" customWidth="true" hidden="false" outlineLevel="0" max="7" min="7" style="0" width="34"/>
    <col collapsed="false" customWidth="true" hidden="false" outlineLevel="0" max="8" min="8" style="0" width="9"/>
    <col collapsed="false" customWidth="true" hidden="false" outlineLevel="0" max="9" min="9" style="0" width="12"/>
    <col collapsed="false" customWidth="true" hidden="false" outlineLevel="0" max="10" min="10" style="0" width="34"/>
    <col collapsed="false" customWidth="true" hidden="false" outlineLevel="0" max="11" min="11" style="0" width="12"/>
    <col collapsed="false" customWidth="true" hidden="false" outlineLevel="0" max="12" min="12" style="0" width="74"/>
  </cols>
  <sheetData>
    <row r="1" customFormat="false" ht="30" hidden="false" customHeight="true" outlineLevel="0" collapsed="false">
      <c r="A1" s="8" t="s">
        <v>544</v>
      </c>
      <c r="B1" s="8" t="s">
        <v>3648</v>
      </c>
      <c r="C1" s="8" t="s">
        <v>1183</v>
      </c>
      <c r="D1" s="8" t="s">
        <v>3653</v>
      </c>
      <c r="E1" s="8" t="s">
        <v>3731</v>
      </c>
      <c r="F1" s="8" t="s">
        <v>547</v>
      </c>
      <c r="G1" s="8" t="s">
        <v>3732</v>
      </c>
      <c r="H1" s="8" t="s">
        <v>2463</v>
      </c>
      <c r="I1" s="8" t="s">
        <v>2502</v>
      </c>
      <c r="J1" s="8" t="s">
        <v>185</v>
      </c>
      <c r="K1" s="8" t="s">
        <v>3733</v>
      </c>
      <c r="L1" s="8" t="s">
        <v>40</v>
      </c>
    </row>
    <row r="2" customFormat="false" ht="15" hidden="false" customHeight="false" outlineLevel="0" collapsed="false">
      <c r="A2" s="10" t="s">
        <v>3734</v>
      </c>
      <c r="B2" s="10" t="s">
        <v>3685</v>
      </c>
      <c r="C2" s="10" t="s">
        <v>3686</v>
      </c>
      <c r="D2" s="10" t="s">
        <v>3689</v>
      </c>
      <c r="E2" s="10" t="s">
        <v>1449</v>
      </c>
      <c r="F2" s="10" t="s">
        <v>227</v>
      </c>
      <c r="G2" s="10" t="s">
        <v>3735</v>
      </c>
      <c r="H2" s="10" t="s">
        <v>678</v>
      </c>
      <c r="I2" s="10" t="s">
        <v>2501</v>
      </c>
      <c r="J2" s="10" t="s">
        <v>3736</v>
      </c>
      <c r="K2" s="10" t="s">
        <v>233</v>
      </c>
      <c r="L2" s="10" t="s">
        <v>3737</v>
      </c>
    </row>
    <row r="3" customFormat="false" ht="15" hidden="false" customHeight="false" outlineLevel="0" collapsed="false">
      <c r="A3" s="12" t="s">
        <v>3734</v>
      </c>
      <c r="B3" s="12" t="s">
        <v>3685</v>
      </c>
      <c r="C3" s="12" t="s">
        <v>3686</v>
      </c>
      <c r="D3" s="12" t="s">
        <v>3689</v>
      </c>
      <c r="E3" s="12" t="s">
        <v>1449</v>
      </c>
      <c r="F3" s="12" t="s">
        <v>227</v>
      </c>
      <c r="G3" s="12" t="s">
        <v>3738</v>
      </c>
      <c r="H3" s="12" t="s">
        <v>695</v>
      </c>
      <c r="I3" s="12" t="s">
        <v>1444</v>
      </c>
      <c r="J3" s="12" t="s">
        <v>2519</v>
      </c>
      <c r="K3" s="12" t="s">
        <v>233</v>
      </c>
      <c r="L3" s="12"/>
    </row>
    <row r="4" customFormat="false" ht="15" hidden="false" customHeight="false" outlineLevel="0" collapsed="false">
      <c r="A4" s="10" t="s">
        <v>3734</v>
      </c>
      <c r="B4" s="10" t="s">
        <v>3685</v>
      </c>
      <c r="C4" s="10" t="s">
        <v>3686</v>
      </c>
      <c r="D4" s="10" t="s">
        <v>3689</v>
      </c>
      <c r="E4" s="10" t="s">
        <v>1449</v>
      </c>
      <c r="F4" s="10" t="s">
        <v>227</v>
      </c>
      <c r="G4" s="10" t="s">
        <v>3739</v>
      </c>
      <c r="H4" s="10" t="s">
        <v>702</v>
      </c>
      <c r="I4" s="10" t="s">
        <v>1394</v>
      </c>
      <c r="J4" s="10" t="s">
        <v>2519</v>
      </c>
      <c r="K4" s="10" t="s">
        <v>233</v>
      </c>
      <c r="L4" s="10" t="s">
        <v>3740</v>
      </c>
    </row>
    <row r="5" customFormat="false" ht="22.35" hidden="false" customHeight="false" outlineLevel="0" collapsed="false">
      <c r="A5" s="12" t="s">
        <v>3734</v>
      </c>
      <c r="B5" s="12" t="s">
        <v>3685</v>
      </c>
      <c r="C5" s="12" t="s">
        <v>3686</v>
      </c>
      <c r="D5" s="12" t="s">
        <v>3689</v>
      </c>
      <c r="E5" s="12" t="s">
        <v>1449</v>
      </c>
      <c r="F5" s="12" t="s">
        <v>227</v>
      </c>
      <c r="G5" s="12" t="s">
        <v>3741</v>
      </c>
      <c r="H5" s="12" t="s">
        <v>702</v>
      </c>
      <c r="I5" s="12" t="s">
        <v>1449</v>
      </c>
      <c r="J5" s="12" t="s">
        <v>2519</v>
      </c>
      <c r="K5" s="12" t="s">
        <v>233</v>
      </c>
      <c r="L5" s="12" t="s">
        <v>3742</v>
      </c>
    </row>
    <row r="6" customFormat="false" ht="15" hidden="false" customHeight="false" outlineLevel="0" collapsed="false">
      <c r="A6" s="10" t="s">
        <v>3743</v>
      </c>
      <c r="B6" s="10" t="s">
        <v>3658</v>
      </c>
      <c r="C6" s="10" t="s">
        <v>1149</v>
      </c>
      <c r="D6" s="10" t="s">
        <v>3664</v>
      </c>
      <c r="E6" s="10" t="s">
        <v>1151</v>
      </c>
      <c r="F6" s="10" t="s">
        <v>234</v>
      </c>
      <c r="G6" s="10" t="s">
        <v>3735</v>
      </c>
      <c r="H6" s="10" t="s">
        <v>678</v>
      </c>
      <c r="I6" s="10" t="s">
        <v>2784</v>
      </c>
      <c r="J6" s="10" t="s">
        <v>3744</v>
      </c>
      <c r="K6" s="10" t="s">
        <v>233</v>
      </c>
      <c r="L6" s="10"/>
    </row>
    <row r="7" customFormat="false" ht="15" hidden="false" customHeight="false" outlineLevel="0" collapsed="false">
      <c r="A7" s="12" t="s">
        <v>3743</v>
      </c>
      <c r="B7" s="12" t="s">
        <v>3658</v>
      </c>
      <c r="C7" s="12" t="s">
        <v>1149</v>
      </c>
      <c r="D7" s="12" t="s">
        <v>3664</v>
      </c>
      <c r="E7" s="12" t="s">
        <v>1151</v>
      </c>
      <c r="F7" s="12" t="s">
        <v>234</v>
      </c>
      <c r="G7" s="12" t="s">
        <v>3738</v>
      </c>
      <c r="H7" s="12" t="s">
        <v>695</v>
      </c>
      <c r="I7" s="12" t="s">
        <v>1369</v>
      </c>
      <c r="J7" s="12" t="s">
        <v>3745</v>
      </c>
      <c r="K7" s="12" t="s">
        <v>233</v>
      </c>
      <c r="L7" s="12" t="s">
        <v>2720</v>
      </c>
    </row>
    <row r="8" customFormat="false" ht="15" hidden="false" customHeight="false" outlineLevel="0" collapsed="false">
      <c r="A8" s="10" t="s">
        <v>3743</v>
      </c>
      <c r="B8" s="10" t="s">
        <v>3658</v>
      </c>
      <c r="C8" s="10" t="s">
        <v>1149</v>
      </c>
      <c r="D8" s="10" t="s">
        <v>3664</v>
      </c>
      <c r="E8" s="10" t="s">
        <v>1151</v>
      </c>
      <c r="F8" s="10" t="s">
        <v>234</v>
      </c>
      <c r="G8" s="10" t="s">
        <v>3741</v>
      </c>
      <c r="H8" s="10" t="s">
        <v>702</v>
      </c>
      <c r="I8" s="10" t="s">
        <v>1151</v>
      </c>
      <c r="J8" s="10" t="s">
        <v>3746</v>
      </c>
      <c r="K8" s="10" t="s">
        <v>233</v>
      </c>
      <c r="L8" s="10" t="s">
        <v>2550</v>
      </c>
    </row>
    <row r="9" customFormat="false" ht="15" hidden="false" customHeight="false" outlineLevel="0" collapsed="false">
      <c r="A9" s="12" t="s">
        <v>3743</v>
      </c>
      <c r="B9" s="12" t="s">
        <v>3658</v>
      </c>
      <c r="C9" s="12" t="s">
        <v>1149</v>
      </c>
      <c r="D9" s="12" t="s">
        <v>3664</v>
      </c>
      <c r="E9" s="12" t="s">
        <v>1151</v>
      </c>
      <c r="F9" s="12" t="s">
        <v>234</v>
      </c>
      <c r="G9" s="12" t="s">
        <v>3747</v>
      </c>
      <c r="H9" s="12" t="s">
        <v>724</v>
      </c>
      <c r="I9" s="12" t="s">
        <v>1151</v>
      </c>
      <c r="J9" s="12" t="s">
        <v>3748</v>
      </c>
      <c r="K9" s="12" t="s">
        <v>226</v>
      </c>
      <c r="L9" s="12" t="s">
        <v>2720</v>
      </c>
    </row>
    <row r="10" customFormat="false" ht="15" hidden="false" customHeight="false" outlineLevel="0" collapsed="false">
      <c r="A10" s="10" t="s">
        <v>3743</v>
      </c>
      <c r="B10" s="10" t="s">
        <v>3658</v>
      </c>
      <c r="C10" s="10" t="s">
        <v>1149</v>
      </c>
      <c r="D10" s="10" t="s">
        <v>3664</v>
      </c>
      <c r="E10" s="10" t="s">
        <v>1151</v>
      </c>
      <c r="F10" s="10" t="s">
        <v>234</v>
      </c>
      <c r="G10" s="10" t="s">
        <v>3749</v>
      </c>
      <c r="H10" s="10" t="s">
        <v>2624</v>
      </c>
      <c r="I10" s="10" t="s">
        <v>1151</v>
      </c>
      <c r="J10" s="10" t="s">
        <v>3750</v>
      </c>
      <c r="K10" s="10" t="s">
        <v>226</v>
      </c>
      <c r="L10" s="10" t="s">
        <v>2626</v>
      </c>
    </row>
    <row r="12" customFormat="false" ht="27.75" hidden="false" customHeight="true" outlineLevel="0" collapsed="false">
      <c r="A12" s="14" t="s">
        <v>3751</v>
      </c>
      <c r="B12" s="14"/>
      <c r="C12" s="14"/>
      <c r="D12" s="14"/>
      <c r="E12" s="14"/>
      <c r="F12" s="14"/>
      <c r="G12" s="14"/>
      <c r="H12" s="14"/>
      <c r="I12" s="14"/>
      <c r="J12" s="14"/>
    </row>
  </sheetData>
  <mergeCells count="1">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20"/>
    <col collapsed="false" customWidth="true" hidden="false" outlineLevel="0" max="4" min="4" style="0" width="28"/>
    <col collapsed="false" customWidth="true" hidden="false" outlineLevel="0" max="5" min="5" style="0" width="26"/>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2"/>
    <col collapsed="false" customWidth="true" hidden="false" outlineLevel="0" max="10" min="10" style="0" width="11"/>
    <col collapsed="false" customWidth="true" hidden="false" outlineLevel="0" max="11" min="11" style="0" width="40"/>
    <col collapsed="false" customWidth="true" hidden="false" outlineLevel="0" max="12" min="12" style="0" width="74"/>
  </cols>
  <sheetData>
    <row r="1" customFormat="false" ht="30" hidden="false" customHeight="true" outlineLevel="0" collapsed="false">
      <c r="A1" s="8" t="s">
        <v>3752</v>
      </c>
      <c r="B1" s="8" t="s">
        <v>608</v>
      </c>
      <c r="C1" s="8" t="s">
        <v>1183</v>
      </c>
      <c r="D1" s="8" t="s">
        <v>3753</v>
      </c>
      <c r="E1" s="8" t="s">
        <v>3754</v>
      </c>
      <c r="F1" s="8" t="s">
        <v>3755</v>
      </c>
      <c r="G1" s="8" t="s">
        <v>3756</v>
      </c>
      <c r="H1" s="8" t="s">
        <v>3757</v>
      </c>
      <c r="I1" s="8" t="s">
        <v>1306</v>
      </c>
      <c r="J1" s="8" t="s">
        <v>2416</v>
      </c>
      <c r="K1" s="8" t="s">
        <v>3758</v>
      </c>
      <c r="L1" s="8" t="s">
        <v>40</v>
      </c>
    </row>
    <row r="2" customFormat="false" ht="15" hidden="false" customHeight="false" outlineLevel="0" collapsed="false">
      <c r="A2" s="10" t="s">
        <v>3759</v>
      </c>
      <c r="B2" s="10" t="s">
        <v>602</v>
      </c>
      <c r="C2" s="10" t="s">
        <v>1149</v>
      </c>
      <c r="D2" s="10" t="s">
        <v>3760</v>
      </c>
      <c r="E2" s="10" t="s">
        <v>3761</v>
      </c>
      <c r="F2" s="10" t="s">
        <v>3762</v>
      </c>
      <c r="G2" s="10" t="s">
        <v>695</v>
      </c>
      <c r="H2" s="10" t="s">
        <v>3763</v>
      </c>
      <c r="I2" s="10"/>
      <c r="J2" s="10" t="s">
        <v>233</v>
      </c>
      <c r="K2" s="10" t="s">
        <v>3764</v>
      </c>
      <c r="L2" s="10" t="s">
        <v>2720</v>
      </c>
    </row>
    <row r="3" customFormat="false" ht="15" hidden="false" customHeight="false" outlineLevel="0" collapsed="false">
      <c r="A3" s="12" t="s">
        <v>3765</v>
      </c>
      <c r="B3" s="12" t="s">
        <v>602</v>
      </c>
      <c r="C3" s="12" t="s">
        <v>1149</v>
      </c>
      <c r="D3" s="12" t="s">
        <v>181</v>
      </c>
      <c r="E3" s="12" t="s">
        <v>3766</v>
      </c>
      <c r="F3" s="12" t="s">
        <v>3762</v>
      </c>
      <c r="G3" s="12" t="s">
        <v>695</v>
      </c>
      <c r="H3" s="12" t="s">
        <v>3763</v>
      </c>
      <c r="I3" s="12"/>
      <c r="J3" s="12" t="s">
        <v>233</v>
      </c>
      <c r="K3" s="12" t="s">
        <v>3767</v>
      </c>
      <c r="L3" s="12" t="s">
        <v>2720</v>
      </c>
    </row>
    <row r="4" customFormat="false" ht="15" hidden="false" customHeight="false" outlineLevel="0" collapsed="false">
      <c r="A4" s="10" t="s">
        <v>3768</v>
      </c>
      <c r="B4" s="10" t="s">
        <v>602</v>
      </c>
      <c r="C4" s="10" t="s">
        <v>1149</v>
      </c>
      <c r="D4" s="10" t="s">
        <v>3739</v>
      </c>
      <c r="E4" s="10" t="s">
        <v>3769</v>
      </c>
      <c r="F4" s="10" t="s">
        <v>3770</v>
      </c>
      <c r="G4" s="10" t="s">
        <v>702</v>
      </c>
      <c r="H4" s="10" t="s">
        <v>3763</v>
      </c>
      <c r="I4" s="10" t="s">
        <v>3771</v>
      </c>
      <c r="J4" s="10" t="s">
        <v>233</v>
      </c>
      <c r="K4" s="10" t="s">
        <v>3772</v>
      </c>
      <c r="L4" s="10" t="s">
        <v>3773</v>
      </c>
    </row>
    <row r="5" customFormat="false" ht="15" hidden="false" customHeight="false" outlineLevel="0" collapsed="false">
      <c r="A5" s="12" t="s">
        <v>3774</v>
      </c>
      <c r="B5" s="12" t="s">
        <v>602</v>
      </c>
      <c r="C5" s="12" t="s">
        <v>1149</v>
      </c>
      <c r="D5" s="12" t="s">
        <v>2686</v>
      </c>
      <c r="E5" s="12" t="s">
        <v>3775</v>
      </c>
      <c r="F5" s="12" t="s">
        <v>3776</v>
      </c>
      <c r="G5" s="12" t="s">
        <v>695</v>
      </c>
      <c r="H5" s="12" t="s">
        <v>3763</v>
      </c>
      <c r="I5" s="12"/>
      <c r="J5" s="12" t="s">
        <v>226</v>
      </c>
      <c r="K5" s="12"/>
      <c r="L5" s="12"/>
    </row>
    <row r="6" customFormat="false" ht="15" hidden="false" customHeight="false" outlineLevel="0" collapsed="false">
      <c r="A6" s="10" t="s">
        <v>3777</v>
      </c>
      <c r="B6" s="10" t="s">
        <v>894</v>
      </c>
      <c r="C6" s="10" t="s">
        <v>895</v>
      </c>
      <c r="D6" s="10" t="s">
        <v>3778</v>
      </c>
      <c r="E6" s="10" t="s">
        <v>3779</v>
      </c>
      <c r="F6" s="10" t="s">
        <v>3780</v>
      </c>
      <c r="G6" s="10" t="s">
        <v>702</v>
      </c>
      <c r="H6" s="10" t="s">
        <v>3763</v>
      </c>
      <c r="I6" s="10" t="s">
        <v>3221</v>
      </c>
      <c r="J6" s="10" t="s">
        <v>233</v>
      </c>
      <c r="K6" s="10" t="s">
        <v>3781</v>
      </c>
      <c r="L6" s="10" t="s">
        <v>428</v>
      </c>
    </row>
    <row r="7" customFormat="false" ht="22.35" hidden="false" customHeight="false" outlineLevel="0" collapsed="false">
      <c r="A7" s="12" t="s">
        <v>3782</v>
      </c>
      <c r="B7" s="12" t="s">
        <v>914</v>
      </c>
      <c r="C7" s="12" t="s">
        <v>915</v>
      </c>
      <c r="D7" s="12" t="s">
        <v>3739</v>
      </c>
      <c r="E7" s="12" t="s">
        <v>3783</v>
      </c>
      <c r="F7" s="12" t="s">
        <v>3784</v>
      </c>
      <c r="G7" s="12" t="s">
        <v>702</v>
      </c>
      <c r="H7" s="12" t="s">
        <v>2404</v>
      </c>
      <c r="I7" s="12" t="s">
        <v>1337</v>
      </c>
      <c r="J7" s="12" t="s">
        <v>233</v>
      </c>
      <c r="K7" s="12" t="s">
        <v>3785</v>
      </c>
      <c r="L7" s="12" t="s">
        <v>3786</v>
      </c>
    </row>
    <row r="8" customFormat="false" ht="15" hidden="false" customHeight="false" outlineLevel="0" collapsed="false">
      <c r="A8" s="10" t="s">
        <v>3787</v>
      </c>
      <c r="B8" s="10" t="s">
        <v>1123</v>
      </c>
      <c r="C8" s="10" t="s">
        <v>1124</v>
      </c>
      <c r="D8" s="10" t="s">
        <v>3788</v>
      </c>
      <c r="E8" s="10" t="s">
        <v>3789</v>
      </c>
      <c r="F8" s="10" t="s">
        <v>1126</v>
      </c>
      <c r="G8" s="10"/>
      <c r="H8" s="10" t="s">
        <v>1439</v>
      </c>
      <c r="I8" s="10"/>
      <c r="J8" s="10" t="s">
        <v>233</v>
      </c>
      <c r="K8" s="10" t="s">
        <v>3790</v>
      </c>
      <c r="L8" s="10"/>
    </row>
    <row r="10" customFormat="false" ht="27.75" hidden="false" customHeight="true" outlineLevel="0" collapsed="false">
      <c r="A10" s="14" t="s">
        <v>3791</v>
      </c>
      <c r="B10" s="14"/>
      <c r="C10" s="14"/>
      <c r="D10" s="14"/>
      <c r="E10" s="14"/>
      <c r="F10" s="14"/>
      <c r="G10" s="14"/>
      <c r="H10" s="14"/>
      <c r="I10" s="14"/>
      <c r="J10" s="14"/>
    </row>
  </sheetData>
  <mergeCells count="1">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20"/>
    <col collapsed="false" customWidth="true" hidden="false" outlineLevel="0" max="4" min="4" style="0" width="14"/>
    <col collapsed="false" customWidth="true" hidden="false" outlineLevel="0" max="5" min="5" style="0" width="44"/>
    <col collapsed="false" customWidth="true" hidden="false" outlineLevel="0" max="6" min="6" style="0" width="10"/>
    <col collapsed="false" customWidth="true" hidden="false" outlineLevel="0" max="8" min="7" style="0" width="12"/>
    <col collapsed="false" customWidth="true" hidden="false" outlineLevel="0" max="9" min="9" style="0" width="11"/>
    <col collapsed="false" customWidth="true" hidden="false" outlineLevel="0" max="10" min="10" style="0" width="18"/>
    <col collapsed="false" customWidth="true" hidden="false" outlineLevel="0" max="11" min="11" style="0" width="74"/>
    <col collapsed="false" customWidth="true" hidden="false" outlineLevel="0" max="12" min="12" style="0" width="12"/>
  </cols>
  <sheetData>
    <row r="1" customFormat="false" ht="30" hidden="false" customHeight="true" outlineLevel="0" collapsed="false">
      <c r="A1" s="8" t="s">
        <v>3792</v>
      </c>
      <c r="B1" s="8" t="s">
        <v>3404</v>
      </c>
      <c r="C1" s="8" t="s">
        <v>1183</v>
      </c>
      <c r="D1" s="8" t="s">
        <v>3793</v>
      </c>
      <c r="E1" s="8" t="s">
        <v>3794</v>
      </c>
      <c r="F1" s="8" t="s">
        <v>3795</v>
      </c>
      <c r="G1" s="8" t="s">
        <v>2943</v>
      </c>
      <c r="H1" s="8" t="s">
        <v>3796</v>
      </c>
      <c r="I1" s="8" t="s">
        <v>3797</v>
      </c>
      <c r="J1" s="8" t="s">
        <v>185</v>
      </c>
      <c r="K1" s="8" t="s">
        <v>3798</v>
      </c>
      <c r="L1" s="8" t="s">
        <v>40</v>
      </c>
    </row>
    <row r="2" customFormat="false" ht="22.35" hidden="false" customHeight="false" outlineLevel="0" collapsed="false">
      <c r="A2" s="10" t="s">
        <v>3799</v>
      </c>
      <c r="B2" s="10" t="s">
        <v>773</v>
      </c>
      <c r="C2" s="10" t="s">
        <v>774</v>
      </c>
      <c r="D2" s="10" t="s">
        <v>3800</v>
      </c>
      <c r="E2" s="10" t="s">
        <v>3801</v>
      </c>
      <c r="F2" s="10" t="s">
        <v>3802</v>
      </c>
      <c r="G2" s="10" t="s">
        <v>1459</v>
      </c>
      <c r="H2" s="10" t="s">
        <v>531</v>
      </c>
      <c r="I2" s="10" t="s">
        <v>759</v>
      </c>
      <c r="J2" s="10" t="s">
        <v>3803</v>
      </c>
      <c r="K2" s="10" t="s">
        <v>3804</v>
      </c>
      <c r="L2" s="10" t="s">
        <v>3060</v>
      </c>
    </row>
    <row r="3" customFormat="false" ht="32.8" hidden="false" customHeight="false" outlineLevel="0" collapsed="false">
      <c r="A3" s="12" t="s">
        <v>3805</v>
      </c>
      <c r="B3" s="12" t="s">
        <v>978</v>
      </c>
      <c r="C3" s="12" t="s">
        <v>979</v>
      </c>
      <c r="D3" s="12" t="s">
        <v>3806</v>
      </c>
      <c r="E3" s="12" t="s">
        <v>3807</v>
      </c>
      <c r="F3" s="12" t="s">
        <v>3802</v>
      </c>
      <c r="G3" s="12" t="s">
        <v>2968</v>
      </c>
      <c r="H3" s="12" t="s">
        <v>3808</v>
      </c>
      <c r="I3" s="12" t="s">
        <v>678</v>
      </c>
      <c r="J3" s="12" t="s">
        <v>3803</v>
      </c>
      <c r="K3" s="12" t="s">
        <v>3809</v>
      </c>
      <c r="L3" s="12" t="s">
        <v>1229</v>
      </c>
    </row>
    <row r="4" customFormat="false" ht="22.35" hidden="false" customHeight="false" outlineLevel="0" collapsed="false">
      <c r="A4" s="10" t="s">
        <v>3810</v>
      </c>
      <c r="B4" s="10" t="s">
        <v>583</v>
      </c>
      <c r="C4" s="10" t="s">
        <v>805</v>
      </c>
      <c r="D4" s="10" t="s">
        <v>3800</v>
      </c>
      <c r="E4" s="10" t="s">
        <v>3811</v>
      </c>
      <c r="F4" s="10" t="s">
        <v>3812</v>
      </c>
      <c r="G4" s="10" t="s">
        <v>1545</v>
      </c>
      <c r="H4" s="10" t="s">
        <v>1164</v>
      </c>
      <c r="I4" s="10" t="s">
        <v>808</v>
      </c>
      <c r="J4" s="10" t="s">
        <v>3803</v>
      </c>
      <c r="K4" s="10" t="s">
        <v>3813</v>
      </c>
      <c r="L4" s="10" t="s">
        <v>2324</v>
      </c>
    </row>
    <row r="5" customFormat="false" ht="32.8" hidden="false" customHeight="false" outlineLevel="0" collapsed="false">
      <c r="A5" s="12" t="s">
        <v>3814</v>
      </c>
      <c r="B5" s="12" t="s">
        <v>953</v>
      </c>
      <c r="C5" s="12" t="s">
        <v>954</v>
      </c>
      <c r="D5" s="12" t="s">
        <v>3806</v>
      </c>
      <c r="E5" s="12" t="s">
        <v>3815</v>
      </c>
      <c r="F5" s="12" t="s">
        <v>3816</v>
      </c>
      <c r="G5" s="12" t="s">
        <v>1377</v>
      </c>
      <c r="H5" s="12" t="s">
        <v>1355</v>
      </c>
      <c r="I5" s="12" t="s">
        <v>687</v>
      </c>
      <c r="J5" s="12" t="s">
        <v>3803</v>
      </c>
      <c r="K5" s="12" t="s">
        <v>3817</v>
      </c>
      <c r="L5" s="12" t="s">
        <v>2878</v>
      </c>
    </row>
    <row r="6" customFormat="false" ht="22.35" hidden="false" customHeight="false" outlineLevel="0" collapsed="false">
      <c r="A6" s="10" t="s">
        <v>3818</v>
      </c>
      <c r="B6" s="10" t="s">
        <v>875</v>
      </c>
      <c r="C6" s="10" t="s">
        <v>876</v>
      </c>
      <c r="D6" s="10" t="s">
        <v>3800</v>
      </c>
      <c r="E6" s="10" t="s">
        <v>3819</v>
      </c>
      <c r="F6" s="10" t="s">
        <v>3802</v>
      </c>
      <c r="G6" s="10" t="s">
        <v>1337</v>
      </c>
      <c r="H6" s="10" t="s">
        <v>1465</v>
      </c>
      <c r="I6" s="10" t="s">
        <v>759</v>
      </c>
      <c r="J6" s="10" t="s">
        <v>3820</v>
      </c>
      <c r="K6" s="10" t="s">
        <v>3821</v>
      </c>
      <c r="L6" s="10" t="s">
        <v>420</v>
      </c>
    </row>
    <row r="7" customFormat="false" ht="22.35" hidden="false" customHeight="false" outlineLevel="0" collapsed="false">
      <c r="A7" s="12" t="s">
        <v>3822</v>
      </c>
      <c r="B7" s="12" t="s">
        <v>1068</v>
      </c>
      <c r="C7" s="12" t="s">
        <v>1069</v>
      </c>
      <c r="D7" s="12" t="s">
        <v>3806</v>
      </c>
      <c r="E7" s="12" t="s">
        <v>3823</v>
      </c>
      <c r="F7" s="12" t="s">
        <v>3812</v>
      </c>
      <c r="G7" s="12" t="s">
        <v>1545</v>
      </c>
      <c r="H7" s="12" t="s">
        <v>1164</v>
      </c>
      <c r="I7" s="12" t="s">
        <v>687</v>
      </c>
      <c r="J7" s="12" t="s">
        <v>2396</v>
      </c>
      <c r="K7" s="12" t="s">
        <v>3824</v>
      </c>
      <c r="L7" s="12" t="s">
        <v>3111</v>
      </c>
    </row>
    <row r="9" customFormat="false" ht="27.75" hidden="false" customHeight="true" outlineLevel="0" collapsed="false">
      <c r="A9" s="14" t="s">
        <v>3825</v>
      </c>
      <c r="B9" s="14"/>
      <c r="C9" s="14"/>
      <c r="D9" s="14"/>
      <c r="E9" s="14"/>
      <c r="F9" s="14"/>
      <c r="G9" s="14"/>
      <c r="H9" s="14"/>
      <c r="I9" s="14"/>
      <c r="J9" s="14"/>
    </row>
  </sheetData>
  <mergeCells count="1">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2"/>
    <col collapsed="false" customWidth="true" hidden="false" outlineLevel="0" max="4" min="4" style="0" width="44"/>
    <col collapsed="false" customWidth="true" hidden="false" outlineLevel="0" max="5" min="5" style="0" width="22"/>
    <col collapsed="false" customWidth="true" hidden="false" outlineLevel="0" max="6" min="6" style="0" width="40"/>
    <col collapsed="false" customWidth="true" hidden="false" outlineLevel="0" max="7" min="7" style="0" width="26"/>
    <col collapsed="false" customWidth="true" hidden="false" outlineLevel="0" max="8" min="8" style="0" width="12"/>
    <col collapsed="false" customWidth="true" hidden="false" outlineLevel="0" max="9" min="9" style="0" width="24"/>
    <col collapsed="false" customWidth="true" hidden="false" outlineLevel="0" max="10" min="10" style="0" width="74"/>
    <col collapsed="false" customWidth="true" hidden="false" outlineLevel="0" max="11" min="11" style="0" width="12"/>
  </cols>
  <sheetData>
    <row r="1" customFormat="false" ht="30" hidden="false" customHeight="true" outlineLevel="0" collapsed="false">
      <c r="A1" s="8" t="s">
        <v>3826</v>
      </c>
      <c r="B1" s="8" t="s">
        <v>1183</v>
      </c>
      <c r="C1" s="8" t="s">
        <v>2541</v>
      </c>
      <c r="D1" s="8" t="s">
        <v>3827</v>
      </c>
      <c r="E1" s="8" t="s">
        <v>3828</v>
      </c>
      <c r="F1" s="8" t="s">
        <v>3829</v>
      </c>
      <c r="G1" s="8" t="s">
        <v>3830</v>
      </c>
      <c r="H1" s="8" t="s">
        <v>3831</v>
      </c>
      <c r="I1" s="8" t="s">
        <v>3832</v>
      </c>
      <c r="J1" s="8" t="s">
        <v>3833</v>
      </c>
      <c r="K1" s="8" t="s">
        <v>40</v>
      </c>
    </row>
    <row r="2" customFormat="false" ht="15" hidden="false" customHeight="false" outlineLevel="0" collapsed="false">
      <c r="A2" s="10" t="s">
        <v>3834</v>
      </c>
      <c r="B2" s="10" t="s">
        <v>3835</v>
      </c>
      <c r="C2" s="10" t="s">
        <v>3836</v>
      </c>
      <c r="D2" s="10" t="s">
        <v>3837</v>
      </c>
      <c r="E2" s="10" t="s">
        <v>3838</v>
      </c>
      <c r="F2" s="10" t="s">
        <v>3839</v>
      </c>
      <c r="G2" s="10" t="s">
        <v>3840</v>
      </c>
      <c r="H2" s="10" t="s">
        <v>233</v>
      </c>
      <c r="I2" s="10" t="s">
        <v>3841</v>
      </c>
      <c r="J2" s="10" t="s">
        <v>3842</v>
      </c>
      <c r="K2" s="10" t="s">
        <v>1334</v>
      </c>
    </row>
    <row r="3" customFormat="false" ht="22.35" hidden="false" customHeight="false" outlineLevel="0" collapsed="false">
      <c r="A3" s="12" t="s">
        <v>3843</v>
      </c>
      <c r="B3" s="12" t="s">
        <v>3844</v>
      </c>
      <c r="C3" s="12" t="s">
        <v>3845</v>
      </c>
      <c r="D3" s="12" t="s">
        <v>3130</v>
      </c>
      <c r="E3" s="12" t="s">
        <v>3846</v>
      </c>
      <c r="F3" s="12" t="s">
        <v>3847</v>
      </c>
      <c r="G3" s="12" t="s">
        <v>332</v>
      </c>
      <c r="H3" s="12" t="s">
        <v>226</v>
      </c>
      <c r="I3" s="12" t="s">
        <v>226</v>
      </c>
      <c r="J3" s="12" t="s">
        <v>3848</v>
      </c>
      <c r="K3" s="12" t="s">
        <v>1334</v>
      </c>
    </row>
    <row r="4" customFormat="false" ht="15" hidden="false" customHeight="false" outlineLevel="0" collapsed="false">
      <c r="A4" s="10" t="s">
        <v>3849</v>
      </c>
      <c r="B4" s="10" t="s">
        <v>2821</v>
      </c>
      <c r="C4" s="10" t="s">
        <v>3850</v>
      </c>
      <c r="D4" s="10" t="s">
        <v>3851</v>
      </c>
      <c r="E4" s="10" t="s">
        <v>3838</v>
      </c>
      <c r="F4" s="10" t="s">
        <v>3852</v>
      </c>
      <c r="G4" s="10" t="s">
        <v>3853</v>
      </c>
      <c r="H4" s="10" t="s">
        <v>233</v>
      </c>
      <c r="I4" s="10" t="s">
        <v>233</v>
      </c>
      <c r="J4" s="10" t="s">
        <v>3854</v>
      </c>
      <c r="K4" s="10" t="s">
        <v>2353</v>
      </c>
    </row>
    <row r="5" customFormat="false" ht="22.35" hidden="false" customHeight="false" outlineLevel="0" collapsed="false">
      <c r="A5" s="12" t="s">
        <v>3855</v>
      </c>
      <c r="B5" s="12" t="s">
        <v>3391</v>
      </c>
      <c r="C5" s="12" t="s">
        <v>3856</v>
      </c>
      <c r="D5" s="12" t="s">
        <v>3123</v>
      </c>
      <c r="E5" s="12" t="s">
        <v>3846</v>
      </c>
      <c r="F5" s="12" t="s">
        <v>3857</v>
      </c>
      <c r="G5" s="12" t="s">
        <v>332</v>
      </c>
      <c r="H5" s="12" t="s">
        <v>233</v>
      </c>
      <c r="I5" s="12" t="s">
        <v>226</v>
      </c>
      <c r="J5" s="12" t="s">
        <v>3858</v>
      </c>
      <c r="K5" s="12" t="s">
        <v>2324</v>
      </c>
    </row>
    <row r="6" customFormat="false" ht="15" hidden="false" customHeight="false" outlineLevel="0" collapsed="false">
      <c r="A6" s="10" t="s">
        <v>3859</v>
      </c>
      <c r="B6" s="10" t="s">
        <v>3860</v>
      </c>
      <c r="C6" s="10" t="s">
        <v>3861</v>
      </c>
      <c r="D6" s="10" t="s">
        <v>3862</v>
      </c>
      <c r="E6" s="10" t="s">
        <v>3838</v>
      </c>
      <c r="F6" s="10" t="s">
        <v>3863</v>
      </c>
      <c r="G6" s="10" t="s">
        <v>3864</v>
      </c>
      <c r="H6" s="10" t="s">
        <v>226</v>
      </c>
      <c r="I6" s="10" t="s">
        <v>233</v>
      </c>
      <c r="J6" s="10" t="s">
        <v>3865</v>
      </c>
      <c r="K6" s="10" t="s">
        <v>2878</v>
      </c>
    </row>
    <row r="7" customFormat="false" ht="22.35" hidden="false" customHeight="false" outlineLevel="0" collapsed="false">
      <c r="A7" s="12" t="s">
        <v>3866</v>
      </c>
      <c r="B7" s="12" t="s">
        <v>3867</v>
      </c>
      <c r="C7" s="12" t="s">
        <v>3861</v>
      </c>
      <c r="D7" s="12" t="s">
        <v>3141</v>
      </c>
      <c r="E7" s="12" t="s">
        <v>3868</v>
      </c>
      <c r="F7" s="12" t="s">
        <v>3869</v>
      </c>
      <c r="G7" s="12" t="s">
        <v>332</v>
      </c>
      <c r="H7" s="12" t="s">
        <v>226</v>
      </c>
      <c r="I7" s="12" t="s">
        <v>226</v>
      </c>
      <c r="J7" s="12" t="s">
        <v>3870</v>
      </c>
      <c r="K7" s="12" t="s">
        <v>2878</v>
      </c>
    </row>
    <row r="8" customFormat="false" ht="22.35" hidden="false" customHeight="false" outlineLevel="0" collapsed="false">
      <c r="A8" s="10" t="s">
        <v>3871</v>
      </c>
      <c r="B8" s="10" t="s">
        <v>3872</v>
      </c>
      <c r="C8" s="10" t="s">
        <v>3873</v>
      </c>
      <c r="D8" s="10" t="s">
        <v>3874</v>
      </c>
      <c r="E8" s="10" t="s">
        <v>3875</v>
      </c>
      <c r="F8" s="10" t="s">
        <v>3876</v>
      </c>
      <c r="G8" s="10" t="s">
        <v>3877</v>
      </c>
      <c r="H8" s="10" t="s">
        <v>233</v>
      </c>
      <c r="I8" s="10" t="s">
        <v>226</v>
      </c>
      <c r="J8" s="10" t="s">
        <v>3878</v>
      </c>
      <c r="K8" s="10" t="s">
        <v>1396</v>
      </c>
    </row>
    <row r="9" customFormat="false" ht="15" hidden="false" customHeight="false" outlineLevel="0" collapsed="false">
      <c r="A9" s="12" t="s">
        <v>3879</v>
      </c>
      <c r="B9" s="12" t="s">
        <v>3880</v>
      </c>
      <c r="C9" s="12" t="s">
        <v>3881</v>
      </c>
      <c r="D9" s="12" t="s">
        <v>3882</v>
      </c>
      <c r="E9" s="12" t="s">
        <v>3838</v>
      </c>
      <c r="F9" s="12" t="s">
        <v>3857</v>
      </c>
      <c r="G9" s="12" t="s">
        <v>332</v>
      </c>
      <c r="H9" s="12" t="s">
        <v>226</v>
      </c>
      <c r="I9" s="12" t="s">
        <v>233</v>
      </c>
      <c r="J9" s="12" t="s">
        <v>3883</v>
      </c>
      <c r="K9" s="12" t="s">
        <v>1396</v>
      </c>
    </row>
    <row r="10" customFormat="false" ht="15" hidden="false" customHeight="false" outlineLevel="0" collapsed="false">
      <c r="A10" s="10" t="s">
        <v>3884</v>
      </c>
      <c r="B10" s="10" t="s">
        <v>3885</v>
      </c>
      <c r="C10" s="10" t="s">
        <v>3886</v>
      </c>
      <c r="D10" s="10" t="s">
        <v>3887</v>
      </c>
      <c r="E10" s="10" t="s">
        <v>3838</v>
      </c>
      <c r="F10" s="10" t="s">
        <v>3888</v>
      </c>
      <c r="G10" s="10" t="s">
        <v>3864</v>
      </c>
      <c r="H10" s="10" t="s">
        <v>233</v>
      </c>
      <c r="I10" s="10" t="s">
        <v>233</v>
      </c>
      <c r="J10" s="10" t="s">
        <v>3889</v>
      </c>
      <c r="K10" s="10" t="s">
        <v>3890</v>
      </c>
    </row>
    <row r="11" customFormat="false" ht="22.35" hidden="false" customHeight="false" outlineLevel="0" collapsed="false">
      <c r="A11" s="12" t="s">
        <v>3891</v>
      </c>
      <c r="B11" s="12" t="s">
        <v>3109</v>
      </c>
      <c r="C11" s="12" t="s">
        <v>3892</v>
      </c>
      <c r="D11" s="12" t="s">
        <v>3123</v>
      </c>
      <c r="E11" s="12" t="s">
        <v>3846</v>
      </c>
      <c r="F11" s="12" t="s">
        <v>3893</v>
      </c>
      <c r="G11" s="12" t="s">
        <v>3894</v>
      </c>
      <c r="H11" s="12" t="s">
        <v>233</v>
      </c>
      <c r="I11" s="12" t="s">
        <v>233</v>
      </c>
      <c r="J11" s="12" t="s">
        <v>3895</v>
      </c>
      <c r="K11" s="12" t="s">
        <v>420</v>
      </c>
    </row>
    <row r="13" customFormat="false" ht="27.75" hidden="false" customHeight="true" outlineLevel="0" collapsed="false">
      <c r="A13" s="14" t="s">
        <v>3896</v>
      </c>
      <c r="B13" s="14"/>
      <c r="C13" s="14"/>
      <c r="D13" s="14"/>
      <c r="E13" s="14"/>
      <c r="F13" s="14"/>
      <c r="G13" s="14"/>
      <c r="H13" s="14"/>
      <c r="I13" s="14"/>
      <c r="J13" s="14"/>
    </row>
  </sheetData>
  <mergeCells count="1">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9"/>
    <col collapsed="false" customWidth="true" hidden="false" outlineLevel="0" max="4" min="4" style="0" width="15"/>
    <col collapsed="false" customWidth="true" hidden="false" outlineLevel="0" max="5" min="5" style="0" width="92"/>
    <col collapsed="false" customWidth="true" hidden="false" outlineLevel="0" max="6" min="6" style="0" width="20"/>
    <col collapsed="false" customWidth="true" hidden="false" outlineLevel="0" max="7" min="7" style="0" width="12"/>
  </cols>
  <sheetData>
    <row r="1" customFormat="false" ht="30" hidden="false" customHeight="true" outlineLevel="0" collapsed="false">
      <c r="A1" s="8" t="s">
        <v>3897</v>
      </c>
      <c r="B1" s="8" t="s">
        <v>3898</v>
      </c>
      <c r="C1" s="8" t="s">
        <v>3899</v>
      </c>
      <c r="D1" s="8" t="s">
        <v>3900</v>
      </c>
      <c r="E1" s="8" t="s">
        <v>3901</v>
      </c>
      <c r="F1" s="8" t="s">
        <v>3902</v>
      </c>
      <c r="G1" s="8" t="s">
        <v>41</v>
      </c>
    </row>
    <row r="2" customFormat="false" ht="15" hidden="false" customHeight="false" outlineLevel="0" collapsed="false">
      <c r="A2" s="10" t="s">
        <v>3903</v>
      </c>
      <c r="B2" s="10" t="s">
        <v>621</v>
      </c>
      <c r="C2" s="10" t="s">
        <v>3904</v>
      </c>
      <c r="D2" s="10" t="s">
        <v>3905</v>
      </c>
      <c r="E2" s="10" t="s">
        <v>3906</v>
      </c>
      <c r="F2" s="10" t="s">
        <v>400</v>
      </c>
      <c r="G2" s="10" t="s">
        <v>3907</v>
      </c>
    </row>
    <row r="3" customFormat="false" ht="22.35" hidden="false" customHeight="false" outlineLevel="0" collapsed="false">
      <c r="A3" s="12" t="s">
        <v>3908</v>
      </c>
      <c r="B3" s="12" t="s">
        <v>622</v>
      </c>
      <c r="C3" s="12" t="s">
        <v>3904</v>
      </c>
      <c r="D3" s="12" t="s">
        <v>3905</v>
      </c>
      <c r="E3" s="12" t="s">
        <v>3909</v>
      </c>
      <c r="F3" s="12"/>
      <c r="G3" s="12" t="s">
        <v>3910</v>
      </c>
    </row>
    <row r="4" customFormat="false" ht="15" hidden="false" customHeight="false" outlineLevel="0" collapsed="false">
      <c r="A4" s="10" t="s">
        <v>3911</v>
      </c>
      <c r="B4" s="10" t="s">
        <v>624</v>
      </c>
      <c r="C4" s="10" t="s">
        <v>3904</v>
      </c>
      <c r="D4" s="10" t="s">
        <v>2624</v>
      </c>
      <c r="E4" s="10" t="s">
        <v>3912</v>
      </c>
      <c r="F4" s="10" t="s">
        <v>402</v>
      </c>
      <c r="G4" s="10" t="s">
        <v>3913</v>
      </c>
    </row>
    <row r="5" customFormat="false" ht="15" hidden="false" customHeight="false" outlineLevel="0" collapsed="false">
      <c r="A5" s="12" t="s">
        <v>3914</v>
      </c>
      <c r="B5" s="12" t="s">
        <v>626</v>
      </c>
      <c r="C5" s="12" t="s">
        <v>3904</v>
      </c>
      <c r="D5" s="12" t="s">
        <v>3905</v>
      </c>
      <c r="E5" s="12" t="s">
        <v>3915</v>
      </c>
      <c r="F5" s="12" t="s">
        <v>647</v>
      </c>
      <c r="G5" s="12" t="s">
        <v>3916</v>
      </c>
    </row>
    <row r="6" customFormat="false" ht="15" hidden="false" customHeight="false" outlineLevel="0" collapsed="false">
      <c r="A6" s="10" t="s">
        <v>3917</v>
      </c>
      <c r="B6" s="10" t="s">
        <v>629</v>
      </c>
      <c r="C6" s="10" t="s">
        <v>3904</v>
      </c>
      <c r="D6" s="10" t="s">
        <v>3905</v>
      </c>
      <c r="E6" s="10" t="s">
        <v>3918</v>
      </c>
      <c r="F6" s="10"/>
      <c r="G6" s="10" t="s">
        <v>3919</v>
      </c>
    </row>
    <row r="7" customFormat="false" ht="15" hidden="false" customHeight="false" outlineLevel="0" collapsed="false">
      <c r="A7" s="12" t="s">
        <v>3920</v>
      </c>
      <c r="B7" s="12" t="s">
        <v>3921</v>
      </c>
      <c r="C7" s="12" t="s">
        <v>3922</v>
      </c>
      <c r="D7" s="12" t="s">
        <v>2624</v>
      </c>
      <c r="E7" s="12" t="s">
        <v>3923</v>
      </c>
      <c r="F7" s="12"/>
      <c r="G7" s="12" t="s">
        <v>3924</v>
      </c>
    </row>
    <row r="8" customFormat="false" ht="15" hidden="false" customHeight="false" outlineLevel="0" collapsed="false">
      <c r="A8" s="10" t="s">
        <v>3925</v>
      </c>
      <c r="B8" s="10" t="s">
        <v>2040</v>
      </c>
      <c r="C8" s="10" t="s">
        <v>3922</v>
      </c>
      <c r="D8" s="10" t="s">
        <v>2624</v>
      </c>
      <c r="E8" s="10" t="s">
        <v>3926</v>
      </c>
      <c r="F8" s="10" t="s">
        <v>3927</v>
      </c>
      <c r="G8" s="10" t="s">
        <v>3916</v>
      </c>
    </row>
    <row r="9" customFormat="false" ht="15" hidden="false" customHeight="false" outlineLevel="0" collapsed="false">
      <c r="A9" s="12" t="s">
        <v>3928</v>
      </c>
      <c r="B9" s="12" t="s">
        <v>3383</v>
      </c>
      <c r="C9" s="12" t="s">
        <v>3922</v>
      </c>
      <c r="D9" s="12" t="s">
        <v>3905</v>
      </c>
      <c r="E9" s="12" t="s">
        <v>3929</v>
      </c>
      <c r="F9" s="12" t="s">
        <v>3930</v>
      </c>
      <c r="G9" s="12" t="s">
        <v>3931</v>
      </c>
    </row>
    <row r="10" customFormat="false" ht="15" hidden="false" customHeight="false" outlineLevel="0" collapsed="false">
      <c r="A10" s="10" t="s">
        <v>3932</v>
      </c>
      <c r="B10" s="10" t="s">
        <v>3933</v>
      </c>
      <c r="C10" s="10" t="s">
        <v>3922</v>
      </c>
      <c r="D10" s="10" t="s">
        <v>3905</v>
      </c>
      <c r="E10" s="10" t="s">
        <v>3934</v>
      </c>
      <c r="F10" s="10" t="s">
        <v>3072</v>
      </c>
      <c r="G10" s="10" t="s">
        <v>3924</v>
      </c>
    </row>
    <row r="11" customFormat="false" ht="15" hidden="false" customHeight="false" outlineLevel="0" collapsed="false">
      <c r="A11" s="12" t="s">
        <v>3935</v>
      </c>
      <c r="B11" s="12" t="s">
        <v>3067</v>
      </c>
      <c r="C11" s="12" t="s">
        <v>3922</v>
      </c>
      <c r="D11" s="12" t="s">
        <v>3905</v>
      </c>
      <c r="E11" s="12" t="s">
        <v>3936</v>
      </c>
      <c r="F11" s="12" t="s">
        <v>3073</v>
      </c>
      <c r="G11" s="12" t="s">
        <v>3924</v>
      </c>
    </row>
    <row r="12" customFormat="false" ht="15" hidden="false" customHeight="false" outlineLevel="0" collapsed="false">
      <c r="A12" s="10" t="s">
        <v>3937</v>
      </c>
      <c r="B12" s="10" t="s">
        <v>3938</v>
      </c>
      <c r="C12" s="10" t="s">
        <v>3939</v>
      </c>
      <c r="D12" s="10" t="s">
        <v>3905</v>
      </c>
      <c r="E12" s="10" t="s">
        <v>3940</v>
      </c>
      <c r="F12" s="10" t="s">
        <v>3941</v>
      </c>
      <c r="G12" s="10" t="s">
        <v>3942</v>
      </c>
    </row>
    <row r="13" customFormat="false" ht="15" hidden="false" customHeight="false" outlineLevel="0" collapsed="false">
      <c r="A13" s="12" t="s">
        <v>3943</v>
      </c>
      <c r="B13" s="12" t="s">
        <v>1244</v>
      </c>
      <c r="C13" s="12" t="s">
        <v>3939</v>
      </c>
      <c r="D13" s="12" t="s">
        <v>3905</v>
      </c>
      <c r="E13" s="12" t="s">
        <v>3944</v>
      </c>
      <c r="F13" s="12" t="s">
        <v>1251</v>
      </c>
      <c r="G13" s="12" t="s">
        <v>3919</v>
      </c>
    </row>
    <row r="14" customFormat="false" ht="15" hidden="false" customHeight="false" outlineLevel="0" collapsed="false">
      <c r="A14" s="10" t="s">
        <v>3945</v>
      </c>
      <c r="B14" s="10" t="s">
        <v>3946</v>
      </c>
      <c r="C14" s="10" t="s">
        <v>3939</v>
      </c>
      <c r="D14" s="10" t="s">
        <v>3905</v>
      </c>
      <c r="E14" s="10" t="s">
        <v>3947</v>
      </c>
      <c r="F14" s="10"/>
      <c r="G14" s="10" t="s">
        <v>3919</v>
      </c>
    </row>
    <row r="15" customFormat="false" ht="15" hidden="false" customHeight="false" outlineLevel="0" collapsed="false">
      <c r="A15" s="12" t="s">
        <v>3948</v>
      </c>
      <c r="B15" s="12" t="s">
        <v>3949</v>
      </c>
      <c r="C15" s="12" t="s">
        <v>3939</v>
      </c>
      <c r="D15" s="12" t="s">
        <v>3905</v>
      </c>
      <c r="E15" s="12" t="s">
        <v>3950</v>
      </c>
      <c r="F15" s="12" t="s">
        <v>1304</v>
      </c>
      <c r="G15" s="12" t="s">
        <v>3919</v>
      </c>
    </row>
    <row r="16" customFormat="false" ht="15" hidden="false" customHeight="false" outlineLevel="0" collapsed="false">
      <c r="A16" s="10" t="s">
        <v>3951</v>
      </c>
      <c r="B16" s="10" t="s">
        <v>3952</v>
      </c>
      <c r="C16" s="10" t="s">
        <v>3939</v>
      </c>
      <c r="D16" s="10" t="s">
        <v>2624</v>
      </c>
      <c r="E16" s="10" t="s">
        <v>3953</v>
      </c>
      <c r="F16" s="10" t="s">
        <v>3954</v>
      </c>
      <c r="G16" s="10" t="s">
        <v>3955</v>
      </c>
    </row>
    <row r="17" customFormat="false" ht="15" hidden="false" customHeight="false" outlineLevel="0" collapsed="false">
      <c r="A17" s="12" t="s">
        <v>3956</v>
      </c>
      <c r="B17" s="12" t="s">
        <v>3957</v>
      </c>
      <c r="C17" s="12" t="s">
        <v>3939</v>
      </c>
      <c r="D17" s="12" t="s">
        <v>3905</v>
      </c>
      <c r="E17" s="12" t="s">
        <v>3958</v>
      </c>
      <c r="F17" s="12" t="s">
        <v>3959</v>
      </c>
      <c r="G17" s="12" t="s">
        <v>3942</v>
      </c>
    </row>
    <row r="18" customFormat="false" ht="15" hidden="false" customHeight="false" outlineLevel="0" collapsed="false">
      <c r="A18" s="10" t="s">
        <v>3960</v>
      </c>
      <c r="B18" s="10" t="s">
        <v>3961</v>
      </c>
      <c r="C18" s="10" t="s">
        <v>3939</v>
      </c>
      <c r="D18" s="10" t="s">
        <v>3905</v>
      </c>
      <c r="E18" s="10" t="s">
        <v>3962</v>
      </c>
      <c r="F18" s="10" t="s">
        <v>3963</v>
      </c>
      <c r="G18" s="10" t="s">
        <v>3919</v>
      </c>
    </row>
    <row r="19" customFormat="false" ht="15" hidden="false" customHeight="false" outlineLevel="0" collapsed="false">
      <c r="A19" s="12" t="s">
        <v>3964</v>
      </c>
      <c r="B19" s="12" t="s">
        <v>3965</v>
      </c>
      <c r="C19" s="12" t="s">
        <v>3966</v>
      </c>
      <c r="D19" s="12" t="s">
        <v>3905</v>
      </c>
      <c r="E19" s="12" t="s">
        <v>3967</v>
      </c>
      <c r="F19" s="12" t="s">
        <v>2322</v>
      </c>
      <c r="G19" s="12" t="s">
        <v>3968</v>
      </c>
    </row>
    <row r="20" customFormat="false" ht="15" hidden="false" customHeight="false" outlineLevel="0" collapsed="false">
      <c r="A20" s="10" t="s">
        <v>3969</v>
      </c>
      <c r="B20" s="10" t="s">
        <v>3970</v>
      </c>
      <c r="C20" s="10" t="s">
        <v>3971</v>
      </c>
      <c r="D20" s="10" t="s">
        <v>2624</v>
      </c>
      <c r="E20" s="10" t="s">
        <v>3972</v>
      </c>
      <c r="F20" s="10" t="s">
        <v>194</v>
      </c>
      <c r="G20" s="10" t="s">
        <v>3973</v>
      </c>
    </row>
    <row r="21" customFormat="false" ht="15" hidden="false" customHeight="false" outlineLevel="0" collapsed="false">
      <c r="A21" s="12" t="s">
        <v>3974</v>
      </c>
      <c r="B21" s="12" t="s">
        <v>3618</v>
      </c>
      <c r="C21" s="12" t="s">
        <v>3975</v>
      </c>
      <c r="D21" s="12" t="s">
        <v>3905</v>
      </c>
      <c r="E21" s="12" t="s">
        <v>3976</v>
      </c>
      <c r="F21" s="12" t="s">
        <v>1439</v>
      </c>
      <c r="G21" s="12" t="s">
        <v>3977</v>
      </c>
    </row>
    <row r="22" customFormat="false" ht="15" hidden="false" customHeight="false" outlineLevel="0" collapsed="false">
      <c r="A22" s="10" t="s">
        <v>3978</v>
      </c>
      <c r="B22" s="10" t="s">
        <v>3979</v>
      </c>
      <c r="C22" s="10" t="s">
        <v>3980</v>
      </c>
      <c r="D22" s="10" t="s">
        <v>3905</v>
      </c>
      <c r="E22" s="10" t="s">
        <v>3981</v>
      </c>
      <c r="F22" s="10"/>
      <c r="G22" s="10" t="s">
        <v>3982</v>
      </c>
    </row>
    <row r="23" customFormat="false" ht="15" hidden="false" customHeight="false" outlineLevel="0" collapsed="false">
      <c r="A23" s="12" t="s">
        <v>3983</v>
      </c>
      <c r="B23" s="12" t="s">
        <v>3984</v>
      </c>
      <c r="C23" s="12" t="s">
        <v>3985</v>
      </c>
      <c r="D23" s="12" t="s">
        <v>3905</v>
      </c>
      <c r="E23" s="12" t="s">
        <v>3986</v>
      </c>
      <c r="F23" s="12" t="s">
        <v>633</v>
      </c>
      <c r="G23" s="12" t="s">
        <v>3987</v>
      </c>
    </row>
    <row r="24" customFormat="false" ht="15" hidden="false" customHeight="false" outlineLevel="0" collapsed="false">
      <c r="A24" s="10" t="s">
        <v>3988</v>
      </c>
      <c r="B24" s="10" t="s">
        <v>3989</v>
      </c>
      <c r="C24" s="10" t="s">
        <v>3990</v>
      </c>
      <c r="D24" s="10" t="s">
        <v>3905</v>
      </c>
      <c r="E24" s="10" t="s">
        <v>3991</v>
      </c>
      <c r="F24" s="10" t="s">
        <v>2919</v>
      </c>
      <c r="G24" s="10" t="s">
        <v>3992</v>
      </c>
    </row>
    <row r="25" customFormat="false" ht="15" hidden="false" customHeight="false" outlineLevel="0" collapsed="false">
      <c r="A25" s="12" t="s">
        <v>3993</v>
      </c>
      <c r="B25" s="12" t="s">
        <v>3994</v>
      </c>
      <c r="C25" s="12" t="s">
        <v>3990</v>
      </c>
      <c r="D25" s="12" t="s">
        <v>2624</v>
      </c>
      <c r="E25" s="12" t="s">
        <v>3995</v>
      </c>
      <c r="F25" s="12"/>
      <c r="G25" s="12" t="s">
        <v>3992</v>
      </c>
    </row>
    <row r="26" customFormat="false" ht="15" hidden="false" customHeight="false" outlineLevel="0" collapsed="false">
      <c r="A26" s="10" t="s">
        <v>3996</v>
      </c>
      <c r="B26" s="10" t="s">
        <v>3997</v>
      </c>
      <c r="C26" s="10" t="s">
        <v>3998</v>
      </c>
      <c r="D26" s="10" t="s">
        <v>3905</v>
      </c>
      <c r="E26" s="10" t="s">
        <v>3999</v>
      </c>
      <c r="F26" s="10" t="s">
        <v>2947</v>
      </c>
      <c r="G26" s="10" t="s">
        <v>4000</v>
      </c>
    </row>
    <row r="28" customFormat="false" ht="27.75" hidden="false" customHeight="true" outlineLevel="0" collapsed="false">
      <c r="A28" s="14" t="s">
        <v>4001</v>
      </c>
      <c r="B28" s="14"/>
      <c r="C28" s="14"/>
      <c r="D28" s="14"/>
      <c r="E28" s="14"/>
      <c r="F28" s="14"/>
      <c r="G28" s="14"/>
    </row>
  </sheetData>
  <mergeCells count="1">
    <mergeCell ref="A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11"/>
    <col collapsed="false" customWidth="true" hidden="false" outlineLevel="0" max="4" min="4" style="0" width="9"/>
    <col collapsed="false" customWidth="true" hidden="false" outlineLevel="0" max="5" min="5" style="0" width="130"/>
  </cols>
  <sheetData>
    <row r="1" customFormat="false" ht="30" hidden="false" customHeight="true" outlineLevel="0" collapsed="false">
      <c r="A1" s="8" t="s">
        <v>4002</v>
      </c>
      <c r="B1" s="8" t="s">
        <v>1183</v>
      </c>
      <c r="C1" s="8" t="s">
        <v>4003</v>
      </c>
      <c r="D1" s="8" t="s">
        <v>4004</v>
      </c>
      <c r="E1" s="8" t="s">
        <v>3901</v>
      </c>
    </row>
    <row r="2" customFormat="false" ht="15" hidden="false" customHeight="false" outlineLevel="0" collapsed="false">
      <c r="A2" s="10" t="s">
        <v>4005</v>
      </c>
      <c r="B2" s="10" t="s">
        <v>4006</v>
      </c>
      <c r="C2" s="10" t="s">
        <v>3905</v>
      </c>
      <c r="D2" s="10" t="n">
        <v>5</v>
      </c>
      <c r="E2" s="10" t="s">
        <v>4007</v>
      </c>
    </row>
    <row r="3" customFormat="false" ht="15" hidden="false" customHeight="false" outlineLevel="0" collapsed="false">
      <c r="A3" s="12" t="s">
        <v>4008</v>
      </c>
      <c r="B3" s="12" t="s">
        <v>4009</v>
      </c>
      <c r="C3" s="12" t="s">
        <v>2624</v>
      </c>
      <c r="D3" s="12" t="n">
        <v>5</v>
      </c>
      <c r="E3" s="12" t="s">
        <v>4010</v>
      </c>
    </row>
    <row r="4" customFormat="false" ht="15" hidden="false" customHeight="false" outlineLevel="0" collapsed="false">
      <c r="A4" s="10" t="s">
        <v>4011</v>
      </c>
      <c r="B4" s="10" t="s">
        <v>4012</v>
      </c>
      <c r="C4" s="10" t="s">
        <v>3905</v>
      </c>
      <c r="D4" s="10" t="n">
        <v>2</v>
      </c>
      <c r="E4" s="10" t="s">
        <v>4013</v>
      </c>
    </row>
    <row r="5" customFormat="false" ht="15" hidden="false" customHeight="false" outlineLevel="0" collapsed="false">
      <c r="A5" s="12" t="s">
        <v>4014</v>
      </c>
      <c r="B5" s="12" t="s">
        <v>4015</v>
      </c>
      <c r="C5" s="12" t="s">
        <v>3905</v>
      </c>
      <c r="D5" s="12" t="n">
        <v>4</v>
      </c>
      <c r="E5" s="12" t="s">
        <v>4016</v>
      </c>
    </row>
    <row r="6" customFormat="false" ht="15" hidden="false" customHeight="false" outlineLevel="0" collapsed="false">
      <c r="A6" s="10" t="s">
        <v>4017</v>
      </c>
      <c r="B6" s="10" t="s">
        <v>4018</v>
      </c>
      <c r="C6" s="10" t="s">
        <v>2624</v>
      </c>
      <c r="D6" s="10" t="n">
        <v>2</v>
      </c>
      <c r="E6" s="10" t="s">
        <v>4019</v>
      </c>
    </row>
    <row r="7" customFormat="false" ht="15" hidden="false" customHeight="false" outlineLevel="0" collapsed="false">
      <c r="A7" s="12" t="s">
        <v>4020</v>
      </c>
      <c r="B7" s="12" t="s">
        <v>4021</v>
      </c>
      <c r="C7" s="12" t="s">
        <v>3905</v>
      </c>
      <c r="D7" s="12" t="n">
        <v>5</v>
      </c>
      <c r="E7" s="12" t="s">
        <v>4022</v>
      </c>
    </row>
    <row r="8" customFormat="false" ht="15" hidden="false" customHeight="false" outlineLevel="0" collapsed="false">
      <c r="A8" s="10" t="s">
        <v>4023</v>
      </c>
      <c r="B8" s="10" t="s">
        <v>4024</v>
      </c>
      <c r="C8" s="10" t="s">
        <v>3905</v>
      </c>
      <c r="D8" s="10" t="n">
        <v>5</v>
      </c>
      <c r="E8" s="10" t="s">
        <v>4025</v>
      </c>
    </row>
    <row r="9" customFormat="false" ht="15" hidden="false" customHeight="false" outlineLevel="0" collapsed="false">
      <c r="A9" s="12" t="s">
        <v>4026</v>
      </c>
      <c r="B9" s="12" t="s">
        <v>3405</v>
      </c>
      <c r="C9" s="12" t="s">
        <v>2624</v>
      </c>
      <c r="D9" s="12" t="n">
        <v>5</v>
      </c>
      <c r="E9" s="12" t="s">
        <v>4027</v>
      </c>
    </row>
    <row r="10" customFormat="false" ht="15" hidden="false" customHeight="false" outlineLevel="0" collapsed="false">
      <c r="A10" s="10" t="s">
        <v>4028</v>
      </c>
      <c r="B10" s="10" t="s">
        <v>4029</v>
      </c>
      <c r="C10" s="10" t="s">
        <v>2624</v>
      </c>
      <c r="D10" s="10" t="n">
        <v>3</v>
      </c>
      <c r="E10" s="10" t="s">
        <v>4030</v>
      </c>
    </row>
    <row r="11" customFormat="false" ht="15" hidden="false" customHeight="false" outlineLevel="0" collapsed="false">
      <c r="A11" s="12" t="s">
        <v>4031</v>
      </c>
      <c r="B11" s="12" t="s">
        <v>4032</v>
      </c>
      <c r="C11" s="12" t="s">
        <v>2624</v>
      </c>
      <c r="D11" s="12" t="n">
        <v>4</v>
      </c>
      <c r="E11" s="12" t="s">
        <v>4033</v>
      </c>
    </row>
    <row r="12" customFormat="false" ht="15" hidden="false" customHeight="false" outlineLevel="0" collapsed="false">
      <c r="A12" s="10" t="s">
        <v>4034</v>
      </c>
      <c r="B12" s="10" t="s">
        <v>4035</v>
      </c>
      <c r="C12" s="10" t="s">
        <v>3905</v>
      </c>
      <c r="D12" s="10" t="n">
        <v>12</v>
      </c>
      <c r="E12" s="10" t="s">
        <v>4036</v>
      </c>
    </row>
    <row r="13" customFormat="false" ht="15" hidden="false" customHeight="false" outlineLevel="0" collapsed="false">
      <c r="A13" s="12" t="s">
        <v>4037</v>
      </c>
      <c r="B13" s="12" t="s">
        <v>4038</v>
      </c>
      <c r="C13" s="12" t="s">
        <v>3905</v>
      </c>
      <c r="D13" s="12" t="n">
        <v>10</v>
      </c>
      <c r="E13" s="12" t="s">
        <v>4039</v>
      </c>
    </row>
    <row r="14" customFormat="false" ht="15" hidden="false" customHeight="false" outlineLevel="0" collapsed="false">
      <c r="A14" s="10" t="s">
        <v>4040</v>
      </c>
      <c r="B14" s="10" t="s">
        <v>4041</v>
      </c>
      <c r="C14" s="10" t="s">
        <v>3905</v>
      </c>
      <c r="D14" s="10" t="n">
        <v>6</v>
      </c>
      <c r="E14" s="10" t="s">
        <v>4042</v>
      </c>
    </row>
    <row r="15" customFormat="false" ht="15" hidden="false" customHeight="false" outlineLevel="0" collapsed="false">
      <c r="A15" s="12" t="s">
        <v>4043</v>
      </c>
      <c r="B15" s="12" t="s">
        <v>4044</v>
      </c>
      <c r="C15" s="12" t="s">
        <v>2624</v>
      </c>
      <c r="D15" s="12" t="n">
        <v>9</v>
      </c>
      <c r="E15" s="12" t="s">
        <v>4045</v>
      </c>
    </row>
    <row r="16" customFormat="false" ht="15" hidden="false" customHeight="false" outlineLevel="0" collapsed="false">
      <c r="A16" s="10" t="s">
        <v>4046</v>
      </c>
      <c r="B16" s="10" t="s">
        <v>4047</v>
      </c>
      <c r="C16" s="10" t="s">
        <v>3905</v>
      </c>
      <c r="D16" s="10" t="n">
        <v>5</v>
      </c>
      <c r="E16" s="10" t="s">
        <v>4048</v>
      </c>
    </row>
    <row r="17" customFormat="false" ht="15" hidden="false" customHeight="false" outlineLevel="0" collapsed="false">
      <c r="A17" s="12" t="s">
        <v>4049</v>
      </c>
      <c r="B17" s="12" t="s">
        <v>4050</v>
      </c>
      <c r="C17" s="12" t="s">
        <v>3905</v>
      </c>
      <c r="D17" s="12" t="n">
        <v>8</v>
      </c>
      <c r="E17" s="12" t="s">
        <v>4051</v>
      </c>
    </row>
    <row r="18" customFormat="false" ht="15" hidden="false" customHeight="false" outlineLevel="0" collapsed="false">
      <c r="A18" s="10" t="s">
        <v>4052</v>
      </c>
      <c r="B18" s="10" t="s">
        <v>4053</v>
      </c>
      <c r="C18" s="10" t="s">
        <v>3905</v>
      </c>
      <c r="D18" s="10" t="n">
        <v>8</v>
      </c>
      <c r="E18" s="10" t="s">
        <v>4054</v>
      </c>
    </row>
    <row r="19" customFormat="false" ht="15" hidden="false" customHeight="false" outlineLevel="0" collapsed="false">
      <c r="A19" s="12" t="s">
        <v>4055</v>
      </c>
      <c r="B19" s="12" t="s">
        <v>4056</v>
      </c>
      <c r="C19" s="12" t="s">
        <v>2624</v>
      </c>
      <c r="D19" s="12" t="n">
        <v>9</v>
      </c>
      <c r="E19" s="12" t="s">
        <v>4057</v>
      </c>
    </row>
    <row r="20" customFormat="false" ht="15" hidden="false" customHeight="false" outlineLevel="0" collapsed="false">
      <c r="A20" s="10" t="s">
        <v>4058</v>
      </c>
      <c r="B20" s="10" t="s">
        <v>4059</v>
      </c>
      <c r="C20" s="10" t="s">
        <v>3905</v>
      </c>
      <c r="D20" s="10" t="n">
        <v>6</v>
      </c>
      <c r="E20" s="10" t="s">
        <v>4060</v>
      </c>
    </row>
    <row r="21" customFormat="false" ht="15" hidden="false" customHeight="false" outlineLevel="0" collapsed="false">
      <c r="A21" s="12" t="s">
        <v>4061</v>
      </c>
      <c r="B21" s="12" t="s">
        <v>4062</v>
      </c>
      <c r="C21" s="12" t="s">
        <v>3905</v>
      </c>
      <c r="D21" s="12" t="n">
        <v>11</v>
      </c>
      <c r="E21" s="12" t="s">
        <v>4063</v>
      </c>
    </row>
    <row r="22" customFormat="false" ht="15" hidden="false" customHeight="false" outlineLevel="0" collapsed="false">
      <c r="A22" s="10" t="s">
        <v>4064</v>
      </c>
      <c r="B22" s="10" t="s">
        <v>4065</v>
      </c>
      <c r="C22" s="10" t="s">
        <v>2624</v>
      </c>
      <c r="D22" s="10" t="n">
        <v>3</v>
      </c>
      <c r="E22" s="10" t="s">
        <v>4066</v>
      </c>
    </row>
    <row r="23" customFormat="false" ht="15" hidden="false" customHeight="false" outlineLevel="0" collapsed="false">
      <c r="A23" s="12" t="s">
        <v>4067</v>
      </c>
      <c r="B23" s="12" t="s">
        <v>4068</v>
      </c>
      <c r="C23" s="12" t="s">
        <v>3905</v>
      </c>
      <c r="D23" s="12" t="n">
        <v>9</v>
      </c>
      <c r="E23" s="12" t="s">
        <v>4069</v>
      </c>
    </row>
    <row r="24" customFormat="false" ht="15" hidden="false" customHeight="false" outlineLevel="0" collapsed="false">
      <c r="A24" s="10" t="s">
        <v>4070</v>
      </c>
      <c r="B24" s="10" t="s">
        <v>4071</v>
      </c>
      <c r="C24" s="10" t="s">
        <v>2624</v>
      </c>
      <c r="D24" s="10" t="n">
        <v>3</v>
      </c>
      <c r="E24" s="10" t="s">
        <v>4072</v>
      </c>
    </row>
    <row r="25" customFormat="false" ht="15" hidden="false" customHeight="false" outlineLevel="0" collapsed="false">
      <c r="A25" s="12" t="s">
        <v>4073</v>
      </c>
      <c r="B25" s="12" t="s">
        <v>4074</v>
      </c>
      <c r="C25" s="12" t="s">
        <v>2624</v>
      </c>
      <c r="D25" s="12" t="n">
        <v>4</v>
      </c>
      <c r="E25" s="12" t="s">
        <v>4075</v>
      </c>
    </row>
    <row r="26" customFormat="false" ht="15" hidden="false" customHeight="false" outlineLevel="0" collapsed="false">
      <c r="A26" s="10" t="s">
        <v>4076</v>
      </c>
      <c r="B26" s="10" t="s">
        <v>4077</v>
      </c>
      <c r="C26" s="10" t="s">
        <v>3905</v>
      </c>
      <c r="D26" s="10" t="n">
        <v>5</v>
      </c>
      <c r="E26" s="10" t="s">
        <v>4078</v>
      </c>
    </row>
    <row r="27" customFormat="false" ht="15" hidden="false" customHeight="false" outlineLevel="0" collapsed="false">
      <c r="A27" s="12" t="s">
        <v>4079</v>
      </c>
      <c r="B27" s="12" t="s">
        <v>4080</v>
      </c>
      <c r="C27" s="12" t="s">
        <v>2624</v>
      </c>
      <c r="D27" s="12" t="n">
        <v>3</v>
      </c>
      <c r="E27" s="12" t="s">
        <v>4081</v>
      </c>
    </row>
    <row r="28" customFormat="false" ht="15" hidden="false" customHeight="false" outlineLevel="0" collapsed="false">
      <c r="A28" s="10" t="s">
        <v>4082</v>
      </c>
      <c r="B28" s="10" t="s">
        <v>4083</v>
      </c>
      <c r="C28" s="10" t="s">
        <v>3905</v>
      </c>
      <c r="D28" s="10" t="n">
        <v>3</v>
      </c>
      <c r="E28" s="10" t="s">
        <v>4084</v>
      </c>
    </row>
    <row r="29" customFormat="false" ht="15" hidden="false" customHeight="false" outlineLevel="0" collapsed="false">
      <c r="A29" s="12" t="s">
        <v>4085</v>
      </c>
      <c r="B29" s="12" t="s">
        <v>4086</v>
      </c>
      <c r="C29" s="12" t="s">
        <v>2624</v>
      </c>
      <c r="D29" s="12" t="n">
        <v>2</v>
      </c>
      <c r="E29" s="12" t="s">
        <v>4087</v>
      </c>
    </row>
    <row r="30" customFormat="false" ht="15" hidden="false" customHeight="false" outlineLevel="0" collapsed="false">
      <c r="A30" s="10" t="s">
        <v>4088</v>
      </c>
      <c r="B30" s="10" t="s">
        <v>4089</v>
      </c>
      <c r="C30" s="10" t="s">
        <v>2624</v>
      </c>
      <c r="D30" s="10" t="n">
        <v>7</v>
      </c>
      <c r="E30" s="10" t="s">
        <v>4090</v>
      </c>
    </row>
    <row r="31" customFormat="false" ht="15" hidden="false" customHeight="false" outlineLevel="0" collapsed="false">
      <c r="A31" s="12" t="s">
        <v>4091</v>
      </c>
      <c r="B31" s="12" t="s">
        <v>2040</v>
      </c>
      <c r="C31" s="12" t="s">
        <v>2624</v>
      </c>
      <c r="D31" s="12" t="n">
        <v>4</v>
      </c>
      <c r="E31" s="12" t="s">
        <v>4092</v>
      </c>
    </row>
    <row r="32" customFormat="false" ht="15" hidden="false" customHeight="false" outlineLevel="0" collapsed="false">
      <c r="A32" s="10" t="s">
        <v>4093</v>
      </c>
      <c r="B32" s="10" t="s">
        <v>4094</v>
      </c>
      <c r="C32" s="10" t="s">
        <v>2624</v>
      </c>
      <c r="D32" s="10" t="n">
        <v>4</v>
      </c>
      <c r="E32" s="10" t="s">
        <v>4095</v>
      </c>
    </row>
    <row r="33" customFormat="false" ht="15" hidden="false" customHeight="false" outlineLevel="0" collapsed="false">
      <c r="A33" s="12" t="s">
        <v>4096</v>
      </c>
      <c r="B33" s="12" t="s">
        <v>4097</v>
      </c>
      <c r="C33" s="12" t="s">
        <v>2624</v>
      </c>
      <c r="D33" s="12" t="n">
        <v>5</v>
      </c>
      <c r="E33" s="12" t="s">
        <v>4098</v>
      </c>
    </row>
    <row r="34" customFormat="false" ht="15" hidden="false" customHeight="false" outlineLevel="0" collapsed="false">
      <c r="A34" s="10" t="s">
        <v>4099</v>
      </c>
      <c r="B34" s="10" t="s">
        <v>4100</v>
      </c>
      <c r="C34" s="10" t="s">
        <v>3905</v>
      </c>
      <c r="D34" s="10" t="n">
        <v>8</v>
      </c>
      <c r="E34" s="10" t="s">
        <v>4101</v>
      </c>
    </row>
    <row r="35" customFormat="false" ht="15" hidden="false" customHeight="false" outlineLevel="0" collapsed="false">
      <c r="A35" s="12" t="s">
        <v>4102</v>
      </c>
      <c r="B35" s="12" t="s">
        <v>4103</v>
      </c>
      <c r="C35" s="12" t="s">
        <v>2624</v>
      </c>
      <c r="D35" s="12" t="n">
        <v>7</v>
      </c>
      <c r="E35" s="12" t="s">
        <v>4104</v>
      </c>
    </row>
    <row r="36" customFormat="false" ht="22.35" hidden="false" customHeight="false" outlineLevel="0" collapsed="false">
      <c r="A36" s="10" t="s">
        <v>4105</v>
      </c>
      <c r="B36" s="10" t="s">
        <v>3753</v>
      </c>
      <c r="C36" s="10" t="s">
        <v>3905</v>
      </c>
      <c r="D36" s="10" t="n">
        <v>17</v>
      </c>
      <c r="E36" s="10" t="s">
        <v>4106</v>
      </c>
    </row>
    <row r="37" customFormat="false" ht="15" hidden="false" customHeight="false" outlineLevel="0" collapsed="false">
      <c r="A37" s="12" t="s">
        <v>4107</v>
      </c>
      <c r="B37" s="12" t="s">
        <v>4108</v>
      </c>
      <c r="C37" s="12" t="s">
        <v>3905</v>
      </c>
      <c r="D37" s="12" t="n">
        <v>9</v>
      </c>
      <c r="E37" s="12" t="s">
        <v>4109</v>
      </c>
    </row>
    <row r="38" customFormat="false" ht="15" hidden="false" customHeight="false" outlineLevel="0" collapsed="false">
      <c r="A38" s="10" t="s">
        <v>4110</v>
      </c>
      <c r="B38" s="10" t="s">
        <v>4111</v>
      </c>
      <c r="C38" s="10" t="s">
        <v>3905</v>
      </c>
      <c r="D38" s="10" t="n">
        <v>10</v>
      </c>
      <c r="E38" s="10" t="s">
        <v>4112</v>
      </c>
    </row>
    <row r="39" customFormat="false" ht="15" hidden="false" customHeight="false" outlineLevel="0" collapsed="false">
      <c r="A39" s="12" t="s">
        <v>4113</v>
      </c>
      <c r="B39" s="12" t="s">
        <v>4114</v>
      </c>
      <c r="C39" s="12" t="s">
        <v>3905</v>
      </c>
      <c r="D39" s="12" t="n">
        <v>3</v>
      </c>
      <c r="E39" s="12" t="s">
        <v>4115</v>
      </c>
    </row>
    <row r="40" customFormat="false" ht="15" hidden="false" customHeight="false" outlineLevel="0" collapsed="false">
      <c r="A40" s="10" t="s">
        <v>4116</v>
      </c>
      <c r="B40" s="10" t="s">
        <v>4117</v>
      </c>
      <c r="C40" s="10" t="s">
        <v>3905</v>
      </c>
      <c r="D40" s="10" t="n">
        <v>8</v>
      </c>
      <c r="E40" s="10" t="s">
        <v>4118</v>
      </c>
    </row>
    <row r="41" customFormat="false" ht="15" hidden="false" customHeight="false" outlineLevel="0" collapsed="false">
      <c r="A41" s="12" t="s">
        <v>4119</v>
      </c>
      <c r="B41" s="12" t="s">
        <v>4120</v>
      </c>
      <c r="C41" s="12" t="s">
        <v>3905</v>
      </c>
      <c r="D41" s="12" t="n">
        <v>6</v>
      </c>
      <c r="E41" s="12" t="s">
        <v>4121</v>
      </c>
    </row>
    <row r="42" customFormat="false" ht="15" hidden="false" customHeight="false" outlineLevel="0" collapsed="false">
      <c r="A42" s="10" t="s">
        <v>4122</v>
      </c>
      <c r="B42" s="10" t="s">
        <v>208</v>
      </c>
      <c r="C42" s="10" t="s">
        <v>3905</v>
      </c>
      <c r="D42" s="10" t="n">
        <v>8</v>
      </c>
      <c r="E42" s="10" t="s">
        <v>4123</v>
      </c>
    </row>
    <row r="43" customFormat="false" ht="15" hidden="false" customHeight="false" outlineLevel="0" collapsed="false">
      <c r="A43" s="12" t="s">
        <v>4124</v>
      </c>
      <c r="B43" s="12" t="s">
        <v>4125</v>
      </c>
      <c r="C43" s="12" t="s">
        <v>2624</v>
      </c>
      <c r="D43" s="12" t="n">
        <v>4</v>
      </c>
      <c r="E43" s="12" t="s">
        <v>4126</v>
      </c>
    </row>
    <row r="44" customFormat="false" ht="15" hidden="false" customHeight="false" outlineLevel="0" collapsed="false">
      <c r="A44" s="10" t="s">
        <v>4127</v>
      </c>
      <c r="B44" s="10" t="s">
        <v>4128</v>
      </c>
      <c r="C44" s="10" t="s">
        <v>2624</v>
      </c>
      <c r="D44" s="10" t="n">
        <v>8</v>
      </c>
      <c r="E44" s="10" t="s">
        <v>4129</v>
      </c>
    </row>
    <row r="45" customFormat="false" ht="15" hidden="false" customHeight="false" outlineLevel="0" collapsed="false">
      <c r="A45" s="12" t="s">
        <v>4130</v>
      </c>
      <c r="B45" s="12" t="s">
        <v>4131</v>
      </c>
      <c r="C45" s="12" t="s">
        <v>2624</v>
      </c>
      <c r="D45" s="12" t="n">
        <v>8</v>
      </c>
      <c r="E45" s="12" t="s">
        <v>4132</v>
      </c>
    </row>
    <row r="46" customFormat="false" ht="22.35" hidden="false" customHeight="false" outlineLevel="0" collapsed="false">
      <c r="A46" s="10" t="s">
        <v>4133</v>
      </c>
      <c r="B46" s="10" t="s">
        <v>4134</v>
      </c>
      <c r="C46" s="10" t="s">
        <v>3905</v>
      </c>
      <c r="D46" s="10" t="n">
        <v>12</v>
      </c>
      <c r="E46" s="10" t="s">
        <v>4135</v>
      </c>
    </row>
    <row r="47" customFormat="false" ht="15" hidden="false" customHeight="false" outlineLevel="0" collapsed="false">
      <c r="A47" s="12" t="s">
        <v>4136</v>
      </c>
      <c r="B47" s="12" t="s">
        <v>4137</v>
      </c>
      <c r="C47" s="12" t="s">
        <v>2624</v>
      </c>
      <c r="D47" s="12" t="n">
        <v>7</v>
      </c>
      <c r="E47" s="12" t="s">
        <v>4138</v>
      </c>
    </row>
    <row r="48" customFormat="false" ht="15" hidden="false" customHeight="false" outlineLevel="0" collapsed="false">
      <c r="A48" s="10" t="s">
        <v>4139</v>
      </c>
      <c r="B48" s="10" t="s">
        <v>2914</v>
      </c>
      <c r="C48" s="10" t="s">
        <v>2624</v>
      </c>
      <c r="D48" s="10" t="n">
        <v>2</v>
      </c>
      <c r="E48" s="10" t="s">
        <v>4140</v>
      </c>
    </row>
    <row r="49" customFormat="false" ht="15" hidden="false" customHeight="false" outlineLevel="0" collapsed="false">
      <c r="A49" s="12" t="s">
        <v>4141</v>
      </c>
      <c r="B49" s="12" t="s">
        <v>4142</v>
      </c>
      <c r="C49" s="12" t="s">
        <v>2624</v>
      </c>
      <c r="D49" s="12" t="n">
        <v>4</v>
      </c>
      <c r="E49" s="12" t="s">
        <v>4143</v>
      </c>
    </row>
    <row r="50" customFormat="false" ht="15" hidden="false" customHeight="false" outlineLevel="0" collapsed="false">
      <c r="A50" s="10" t="s">
        <v>4144</v>
      </c>
      <c r="B50" s="10" t="s">
        <v>4145</v>
      </c>
      <c r="C50" s="10" t="s">
        <v>2624</v>
      </c>
      <c r="D50" s="10" t="n">
        <v>3</v>
      </c>
      <c r="E50" s="10" t="s">
        <v>4146</v>
      </c>
    </row>
    <row r="51" customFormat="false" ht="15" hidden="false" customHeight="false" outlineLevel="0" collapsed="false">
      <c r="A51" s="12" t="s">
        <v>4147</v>
      </c>
      <c r="B51" s="12" t="s">
        <v>4148</v>
      </c>
      <c r="C51" s="12" t="s">
        <v>2624</v>
      </c>
      <c r="D51" s="12" t="n">
        <v>5</v>
      </c>
      <c r="E51" s="12" t="s">
        <v>4149</v>
      </c>
    </row>
    <row r="52" customFormat="false" ht="15" hidden="false" customHeight="false" outlineLevel="0" collapsed="false">
      <c r="A52" s="10" t="s">
        <v>4150</v>
      </c>
      <c r="B52" s="10" t="s">
        <v>3965</v>
      </c>
      <c r="C52" s="10" t="s">
        <v>3905</v>
      </c>
      <c r="D52" s="10" t="n">
        <v>2</v>
      </c>
      <c r="E52" s="10" t="s">
        <v>4151</v>
      </c>
    </row>
    <row r="53" customFormat="false" ht="15" hidden="false" customHeight="false" outlineLevel="0" collapsed="false">
      <c r="A53" s="12" t="s">
        <v>4152</v>
      </c>
      <c r="B53" s="12" t="s">
        <v>610</v>
      </c>
      <c r="C53" s="12" t="s">
        <v>2624</v>
      </c>
      <c r="D53" s="12" t="n">
        <v>4</v>
      </c>
      <c r="E53" s="12" t="s">
        <v>4153</v>
      </c>
    </row>
    <row r="54" customFormat="false" ht="15" hidden="false" customHeight="false" outlineLevel="0" collapsed="false">
      <c r="A54" s="10" t="s">
        <v>4154</v>
      </c>
      <c r="B54" s="10" t="s">
        <v>4155</v>
      </c>
      <c r="C54" s="10" t="s">
        <v>2624</v>
      </c>
      <c r="D54" s="10" t="n">
        <v>3</v>
      </c>
      <c r="E54" s="10" t="s">
        <v>4156</v>
      </c>
    </row>
    <row r="55" customFormat="false" ht="15" hidden="false" customHeight="false" outlineLevel="0" collapsed="false">
      <c r="A55" s="12" t="s">
        <v>4157</v>
      </c>
      <c r="B55" s="12" t="s">
        <v>4158</v>
      </c>
      <c r="C55" s="12" t="s">
        <v>2624</v>
      </c>
      <c r="D55" s="12" t="n">
        <v>2</v>
      </c>
      <c r="E55" s="12" t="s">
        <v>4159</v>
      </c>
    </row>
    <row r="56" customFormat="false" ht="15" hidden="false" customHeight="false" outlineLevel="0" collapsed="false">
      <c r="A56" s="10" t="s">
        <v>4160</v>
      </c>
      <c r="B56" s="10" t="s">
        <v>4161</v>
      </c>
      <c r="C56" s="10" t="s">
        <v>2624</v>
      </c>
      <c r="D56" s="10" t="n">
        <v>3</v>
      </c>
      <c r="E56" s="10" t="s">
        <v>4162</v>
      </c>
    </row>
    <row r="57" customFormat="false" ht="15" hidden="false" customHeight="false" outlineLevel="0" collapsed="false">
      <c r="A57" s="12" t="s">
        <v>4163</v>
      </c>
      <c r="B57" s="12" t="s">
        <v>4164</v>
      </c>
      <c r="C57" s="12" t="s">
        <v>3905</v>
      </c>
      <c r="D57" s="12" t="n">
        <v>6</v>
      </c>
      <c r="E57" s="12" t="s">
        <v>4165</v>
      </c>
    </row>
    <row r="58" customFormat="false" ht="15" hidden="false" customHeight="false" outlineLevel="0" collapsed="false">
      <c r="A58" s="10" t="s">
        <v>4166</v>
      </c>
      <c r="B58" s="10" t="s">
        <v>4167</v>
      </c>
      <c r="C58" s="10" t="s">
        <v>2624</v>
      </c>
      <c r="D58" s="10" t="n">
        <v>4</v>
      </c>
      <c r="E58" s="10" t="s">
        <v>4168</v>
      </c>
    </row>
    <row r="59" customFormat="false" ht="15" hidden="false" customHeight="false" outlineLevel="0" collapsed="false">
      <c r="A59" s="12" t="s">
        <v>4169</v>
      </c>
      <c r="B59" s="12" t="s">
        <v>4170</v>
      </c>
      <c r="C59" s="12" t="s">
        <v>3905</v>
      </c>
      <c r="D59" s="12" t="n">
        <v>14</v>
      </c>
      <c r="E59" s="12" t="s">
        <v>4171</v>
      </c>
    </row>
    <row r="60" customFormat="false" ht="22.35" hidden="false" customHeight="false" outlineLevel="0" collapsed="false">
      <c r="A60" s="10" t="s">
        <v>4172</v>
      </c>
      <c r="B60" s="10" t="s">
        <v>1198</v>
      </c>
      <c r="C60" s="10" t="s">
        <v>3905</v>
      </c>
      <c r="D60" s="10" t="n">
        <v>11</v>
      </c>
      <c r="E60" s="10" t="s">
        <v>4173</v>
      </c>
    </row>
    <row r="61" customFormat="false" ht="15" hidden="false" customHeight="false" outlineLevel="0" collapsed="false">
      <c r="A61" s="12" t="s">
        <v>4174</v>
      </c>
      <c r="B61" s="12" t="s">
        <v>4175</v>
      </c>
      <c r="C61" s="12" t="s">
        <v>3905</v>
      </c>
      <c r="D61" s="12" t="n">
        <v>2</v>
      </c>
      <c r="E61" s="12" t="s">
        <v>4176</v>
      </c>
    </row>
    <row r="62" customFormat="false" ht="22.35" hidden="false" customHeight="false" outlineLevel="0" collapsed="false">
      <c r="A62" s="10" t="s">
        <v>4177</v>
      </c>
      <c r="B62" s="10" t="s">
        <v>4178</v>
      </c>
      <c r="C62" s="10" t="s">
        <v>3905</v>
      </c>
      <c r="D62" s="10" t="n">
        <v>14</v>
      </c>
      <c r="E62" s="10" t="s">
        <v>4179</v>
      </c>
    </row>
    <row r="63" customFormat="false" ht="15" hidden="false" customHeight="false" outlineLevel="0" collapsed="false">
      <c r="A63" s="12" t="s">
        <v>4180</v>
      </c>
      <c r="B63" s="12" t="s">
        <v>4181</v>
      </c>
      <c r="C63" s="12" t="s">
        <v>3905</v>
      </c>
      <c r="D63" s="12" t="n">
        <v>8</v>
      </c>
      <c r="E63" s="12" t="s">
        <v>4182</v>
      </c>
    </row>
    <row r="64" customFormat="false" ht="15" hidden="false" customHeight="false" outlineLevel="0" collapsed="false">
      <c r="A64" s="10" t="s">
        <v>4183</v>
      </c>
      <c r="B64" s="10" t="s">
        <v>4184</v>
      </c>
      <c r="C64" s="10" t="s">
        <v>3905</v>
      </c>
      <c r="D64" s="10" t="n">
        <v>11</v>
      </c>
      <c r="E64" s="10" t="s">
        <v>4185</v>
      </c>
    </row>
    <row r="65" customFormat="false" ht="15" hidden="false" customHeight="false" outlineLevel="0" collapsed="false">
      <c r="A65" s="12" t="s">
        <v>4186</v>
      </c>
      <c r="B65" s="12" t="s">
        <v>4187</v>
      </c>
      <c r="C65" s="12" t="s">
        <v>2624</v>
      </c>
      <c r="D65" s="12" t="n">
        <v>5</v>
      </c>
      <c r="E65" s="12" t="s">
        <v>4188</v>
      </c>
    </row>
    <row r="66" customFormat="false" ht="15" hidden="false" customHeight="false" outlineLevel="0" collapsed="false">
      <c r="A66" s="10" t="s">
        <v>4189</v>
      </c>
      <c r="B66" s="10" t="s">
        <v>4190</v>
      </c>
      <c r="C66" s="10" t="s">
        <v>3905</v>
      </c>
      <c r="D66" s="10" t="n">
        <v>3</v>
      </c>
      <c r="E66" s="10" t="s">
        <v>4191</v>
      </c>
    </row>
    <row r="67" customFormat="false" ht="15" hidden="false" customHeight="false" outlineLevel="0" collapsed="false">
      <c r="A67" s="12" t="s">
        <v>4192</v>
      </c>
      <c r="B67" s="12" t="s">
        <v>4193</v>
      </c>
      <c r="C67" s="12" t="s">
        <v>2624</v>
      </c>
      <c r="D67" s="12" t="n">
        <v>4</v>
      </c>
      <c r="E67" s="12" t="s">
        <v>4194</v>
      </c>
    </row>
    <row r="68" customFormat="false" ht="15" hidden="false" customHeight="false" outlineLevel="0" collapsed="false">
      <c r="A68" s="10" t="s">
        <v>4195</v>
      </c>
      <c r="B68" s="10" t="s">
        <v>4196</v>
      </c>
      <c r="C68" s="10" t="s">
        <v>2624</v>
      </c>
      <c r="D68" s="10" t="n">
        <v>12</v>
      </c>
      <c r="E68" s="10" t="s">
        <v>4197</v>
      </c>
    </row>
    <row r="69" customFormat="false" ht="15" hidden="false" customHeight="false" outlineLevel="0" collapsed="false">
      <c r="A69" s="12" t="s">
        <v>4198</v>
      </c>
      <c r="B69" s="12" t="s">
        <v>4199</v>
      </c>
      <c r="C69" s="12" t="s">
        <v>2624</v>
      </c>
      <c r="D69" s="12" t="n">
        <v>2</v>
      </c>
      <c r="E69" s="12" t="s">
        <v>4200</v>
      </c>
    </row>
    <row r="70" customFormat="false" ht="15" hidden="false" customHeight="false" outlineLevel="0" collapsed="false">
      <c r="A70" s="10" t="s">
        <v>4201</v>
      </c>
      <c r="B70" s="10" t="s">
        <v>4202</v>
      </c>
      <c r="C70" s="10" t="s">
        <v>2624</v>
      </c>
      <c r="D70" s="10" t="n">
        <v>5</v>
      </c>
      <c r="E70" s="10" t="s">
        <v>4203</v>
      </c>
    </row>
    <row r="71" customFormat="false" ht="15" hidden="false" customHeight="false" outlineLevel="0" collapsed="false">
      <c r="A71" s="12" t="s">
        <v>4204</v>
      </c>
      <c r="B71" s="12" t="s">
        <v>4205</v>
      </c>
      <c r="C71" s="12" t="s">
        <v>2624</v>
      </c>
      <c r="D71" s="12" t="n">
        <v>5</v>
      </c>
      <c r="E71" s="12" t="s">
        <v>4206</v>
      </c>
    </row>
    <row r="72" customFormat="false" ht="15" hidden="false" customHeight="false" outlineLevel="0" collapsed="false">
      <c r="A72" s="10" t="s">
        <v>4207</v>
      </c>
      <c r="B72" s="10" t="s">
        <v>4208</v>
      </c>
      <c r="C72" s="10" t="s">
        <v>2624</v>
      </c>
      <c r="D72" s="10" t="n">
        <v>5</v>
      </c>
      <c r="E72" s="10" t="s">
        <v>4209</v>
      </c>
    </row>
    <row r="73" customFormat="false" ht="15" hidden="false" customHeight="false" outlineLevel="0" collapsed="false">
      <c r="A73" s="12" t="s">
        <v>4210</v>
      </c>
      <c r="B73" s="12" t="s">
        <v>4211</v>
      </c>
      <c r="C73" s="12" t="s">
        <v>3905</v>
      </c>
      <c r="D73" s="12" t="n">
        <v>2</v>
      </c>
      <c r="E73" s="12" t="s">
        <v>4212</v>
      </c>
    </row>
    <row r="74" customFormat="false" ht="15" hidden="false" customHeight="false" outlineLevel="0" collapsed="false">
      <c r="A74" s="10" t="s">
        <v>4213</v>
      </c>
      <c r="B74" s="10" t="s">
        <v>395</v>
      </c>
      <c r="C74" s="10" t="s">
        <v>3905</v>
      </c>
      <c r="D74" s="10" t="n">
        <v>4</v>
      </c>
      <c r="E74" s="10" t="s">
        <v>4214</v>
      </c>
    </row>
    <row r="75" customFormat="false" ht="15" hidden="false" customHeight="false" outlineLevel="0" collapsed="false">
      <c r="A75" s="12" t="s">
        <v>4215</v>
      </c>
      <c r="B75" s="12" t="s">
        <v>4216</v>
      </c>
      <c r="C75" s="12" t="s">
        <v>3905</v>
      </c>
      <c r="D75" s="12" t="n">
        <v>6</v>
      </c>
      <c r="E75" s="12" t="s">
        <v>4217</v>
      </c>
    </row>
    <row r="76" customFormat="false" ht="15" hidden="false" customHeight="false" outlineLevel="0" collapsed="false">
      <c r="A76" s="10" t="s">
        <v>4218</v>
      </c>
      <c r="B76" s="10" t="s">
        <v>4219</v>
      </c>
      <c r="C76" s="10" t="s">
        <v>2624</v>
      </c>
      <c r="D76" s="10" t="n">
        <v>5</v>
      </c>
      <c r="E76" s="10" t="s">
        <v>4220</v>
      </c>
    </row>
    <row r="77" customFormat="false" ht="15" hidden="false" customHeight="false" outlineLevel="0" collapsed="false">
      <c r="A77" s="12" t="s">
        <v>4221</v>
      </c>
      <c r="B77" s="12" t="s">
        <v>4222</v>
      </c>
      <c r="C77" s="12" t="s">
        <v>2624</v>
      </c>
      <c r="D77" s="12" t="n">
        <v>4</v>
      </c>
      <c r="E77" s="12" t="s">
        <v>4223</v>
      </c>
    </row>
    <row r="78" customFormat="false" ht="15" hidden="false" customHeight="false" outlineLevel="0" collapsed="false">
      <c r="A78" s="10" t="s">
        <v>4224</v>
      </c>
      <c r="B78" s="10" t="s">
        <v>4225</v>
      </c>
      <c r="C78" s="10" t="s">
        <v>2624</v>
      </c>
      <c r="D78" s="10" t="n">
        <v>3</v>
      </c>
      <c r="E78" s="10" t="s">
        <v>4226</v>
      </c>
    </row>
    <row r="79" customFormat="false" ht="15" hidden="false" customHeight="false" outlineLevel="0" collapsed="false">
      <c r="A79" s="12" t="s">
        <v>4227</v>
      </c>
      <c r="B79" s="12" t="s">
        <v>3795</v>
      </c>
      <c r="C79" s="12" t="s">
        <v>2624</v>
      </c>
      <c r="D79" s="12" t="n">
        <v>4</v>
      </c>
      <c r="E79" s="12" t="s">
        <v>4228</v>
      </c>
    </row>
    <row r="80" customFormat="false" ht="15" hidden="false" customHeight="false" outlineLevel="0" collapsed="false">
      <c r="A80" s="10" t="s">
        <v>4229</v>
      </c>
      <c r="B80" s="10" t="s">
        <v>4230</v>
      </c>
      <c r="C80" s="10" t="s">
        <v>2624</v>
      </c>
      <c r="D80" s="10" t="n">
        <v>4</v>
      </c>
      <c r="E80" s="10" t="s">
        <v>4231</v>
      </c>
    </row>
    <row r="81" customFormat="false" ht="15" hidden="false" customHeight="false" outlineLevel="0" collapsed="false">
      <c r="A81" s="12" t="s">
        <v>4232</v>
      </c>
      <c r="B81" s="12" t="s">
        <v>3278</v>
      </c>
      <c r="C81" s="12" t="s">
        <v>3905</v>
      </c>
      <c r="D81" s="12" t="n">
        <v>3</v>
      </c>
      <c r="E81" s="12" t="s">
        <v>4233</v>
      </c>
    </row>
    <row r="82" customFormat="false" ht="15" hidden="false" customHeight="false" outlineLevel="0" collapsed="false">
      <c r="A82" s="10" t="s">
        <v>4234</v>
      </c>
      <c r="B82" s="10" t="s">
        <v>4235</v>
      </c>
      <c r="C82" s="10" t="s">
        <v>2624</v>
      </c>
      <c r="D82" s="10" t="n">
        <v>2</v>
      </c>
      <c r="E82" s="10" t="s">
        <v>4236</v>
      </c>
    </row>
    <row r="83" customFormat="false" ht="15" hidden="false" customHeight="false" outlineLevel="0" collapsed="false">
      <c r="A83" s="12" t="s">
        <v>4237</v>
      </c>
      <c r="B83" s="12" t="s">
        <v>4238</v>
      </c>
      <c r="C83" s="12" t="s">
        <v>2624</v>
      </c>
      <c r="D83" s="12" t="n">
        <v>2</v>
      </c>
      <c r="E83" s="12" t="s">
        <v>4239</v>
      </c>
    </row>
    <row r="84" customFormat="false" ht="15" hidden="false" customHeight="false" outlineLevel="0" collapsed="false">
      <c r="A84" s="10" t="s">
        <v>4240</v>
      </c>
      <c r="B84" s="10" t="s">
        <v>4241</v>
      </c>
      <c r="C84" s="10" t="s">
        <v>2624</v>
      </c>
      <c r="D84" s="10" t="n">
        <v>6</v>
      </c>
      <c r="E84" s="10" t="s">
        <v>4242</v>
      </c>
    </row>
    <row r="85" customFormat="false" ht="15" hidden="false" customHeight="false" outlineLevel="0" collapsed="false">
      <c r="A85" s="12" t="s">
        <v>4243</v>
      </c>
      <c r="B85" s="12" t="s">
        <v>4244</v>
      </c>
      <c r="C85" s="12" t="s">
        <v>3905</v>
      </c>
      <c r="D85" s="12" t="n">
        <v>5</v>
      </c>
      <c r="E85" s="12" t="s">
        <v>4245</v>
      </c>
    </row>
    <row r="86" customFormat="false" ht="15" hidden="false" customHeight="false" outlineLevel="0" collapsed="false">
      <c r="A86" s="10" t="s">
        <v>4246</v>
      </c>
      <c r="B86" s="10" t="s">
        <v>4247</v>
      </c>
      <c r="C86" s="10" t="s">
        <v>3905</v>
      </c>
      <c r="D86" s="10" t="n">
        <v>6</v>
      </c>
      <c r="E86" s="10" t="s">
        <v>4248</v>
      </c>
    </row>
    <row r="87" customFormat="false" ht="15" hidden="false" customHeight="false" outlineLevel="0" collapsed="false">
      <c r="A87" s="12" t="s">
        <v>4249</v>
      </c>
      <c r="B87" s="12" t="s">
        <v>4250</v>
      </c>
      <c r="C87" s="12" t="s">
        <v>2624</v>
      </c>
      <c r="D87" s="12" t="n">
        <v>4</v>
      </c>
      <c r="E87" s="12" t="s">
        <v>4251</v>
      </c>
    </row>
    <row r="88" customFormat="false" ht="15" hidden="false" customHeight="false" outlineLevel="0" collapsed="false">
      <c r="A88" s="10" t="s">
        <v>4252</v>
      </c>
      <c r="B88" s="10" t="s">
        <v>4253</v>
      </c>
      <c r="C88" s="10" t="s">
        <v>3905</v>
      </c>
      <c r="D88" s="10" t="n">
        <v>6</v>
      </c>
      <c r="E88" s="10" t="s">
        <v>4254</v>
      </c>
    </row>
    <row r="89" customFormat="false" ht="15" hidden="false" customHeight="false" outlineLevel="0" collapsed="false">
      <c r="A89" s="12" t="s">
        <v>4255</v>
      </c>
      <c r="B89" s="12" t="s">
        <v>4256</v>
      </c>
      <c r="C89" s="12" t="s">
        <v>2624</v>
      </c>
      <c r="D89" s="12" t="n">
        <v>3</v>
      </c>
      <c r="E89" s="12" t="s">
        <v>4257</v>
      </c>
    </row>
    <row r="90" customFormat="false" ht="15" hidden="false" customHeight="false" outlineLevel="0" collapsed="false">
      <c r="A90" s="10" t="s">
        <v>4258</v>
      </c>
      <c r="B90" s="10" t="s">
        <v>4259</v>
      </c>
      <c r="C90" s="10" t="s">
        <v>3905</v>
      </c>
      <c r="D90" s="10" t="n">
        <v>9</v>
      </c>
      <c r="E90" s="10" t="s">
        <v>4260</v>
      </c>
    </row>
    <row r="91" customFormat="false" ht="15" hidden="false" customHeight="false" outlineLevel="0" collapsed="false">
      <c r="A91" s="12" t="s">
        <v>4261</v>
      </c>
      <c r="B91" s="12" t="s">
        <v>4262</v>
      </c>
      <c r="C91" s="12" t="s">
        <v>2624</v>
      </c>
      <c r="D91" s="12" t="n">
        <v>14</v>
      </c>
      <c r="E91" s="12" t="s">
        <v>4263</v>
      </c>
    </row>
    <row r="92" customFormat="false" ht="15" hidden="false" customHeight="false" outlineLevel="0" collapsed="false">
      <c r="A92" s="10" t="s">
        <v>4264</v>
      </c>
      <c r="B92" s="10" t="s">
        <v>4265</v>
      </c>
      <c r="C92" s="10" t="s">
        <v>3905</v>
      </c>
      <c r="D92" s="10" t="n">
        <v>4</v>
      </c>
      <c r="E92" s="10" t="s">
        <v>4266</v>
      </c>
    </row>
    <row r="93" customFormat="false" ht="15" hidden="false" customHeight="false" outlineLevel="0" collapsed="false">
      <c r="A93" s="12" t="s">
        <v>4267</v>
      </c>
      <c r="B93" s="12" t="s">
        <v>4268</v>
      </c>
      <c r="C93" s="12" t="s">
        <v>3905</v>
      </c>
      <c r="D93" s="12" t="n">
        <v>10</v>
      </c>
      <c r="E93" s="12" t="s">
        <v>4269</v>
      </c>
    </row>
    <row r="94" customFormat="false" ht="15" hidden="false" customHeight="false" outlineLevel="0" collapsed="false">
      <c r="A94" s="10" t="s">
        <v>4270</v>
      </c>
      <c r="B94" s="10" t="s">
        <v>4271</v>
      </c>
      <c r="C94" s="10" t="s">
        <v>2624</v>
      </c>
      <c r="D94" s="10" t="n">
        <v>2</v>
      </c>
      <c r="E94" s="10" t="s">
        <v>4272</v>
      </c>
    </row>
    <row r="95" customFormat="false" ht="15" hidden="false" customHeight="false" outlineLevel="0" collapsed="false">
      <c r="A95" s="12" t="s">
        <v>4273</v>
      </c>
      <c r="B95" s="12" t="s">
        <v>393</v>
      </c>
      <c r="C95" s="12" t="s">
        <v>3905</v>
      </c>
      <c r="D95" s="12" t="n">
        <v>4</v>
      </c>
      <c r="E95" s="12" t="s">
        <v>4274</v>
      </c>
    </row>
    <row r="96" customFormat="false" ht="15" hidden="false" customHeight="false" outlineLevel="0" collapsed="false">
      <c r="A96" s="10" t="s">
        <v>4275</v>
      </c>
      <c r="B96" s="10" t="s">
        <v>4276</v>
      </c>
      <c r="C96" s="10" t="s">
        <v>3905</v>
      </c>
      <c r="D96" s="10" t="n">
        <v>7</v>
      </c>
      <c r="E96" s="10" t="s">
        <v>4277</v>
      </c>
    </row>
    <row r="97" customFormat="false" ht="32.8" hidden="false" customHeight="false" outlineLevel="0" collapsed="false">
      <c r="A97" s="12" t="s">
        <v>4278</v>
      </c>
      <c r="B97" s="12" t="s">
        <v>3159</v>
      </c>
      <c r="C97" s="12" t="s">
        <v>3905</v>
      </c>
      <c r="D97" s="12" t="n">
        <v>22</v>
      </c>
      <c r="E97" s="12" t="s">
        <v>4279</v>
      </c>
    </row>
    <row r="98" customFormat="false" ht="15" hidden="false" customHeight="false" outlineLevel="0" collapsed="false">
      <c r="A98" s="10" t="s">
        <v>4280</v>
      </c>
      <c r="B98" s="10" t="s">
        <v>4281</v>
      </c>
      <c r="C98" s="10" t="s">
        <v>3905</v>
      </c>
      <c r="D98" s="10" t="n">
        <v>4</v>
      </c>
      <c r="E98" s="10" t="s">
        <v>4282</v>
      </c>
    </row>
    <row r="99" customFormat="false" ht="15" hidden="false" customHeight="false" outlineLevel="0" collapsed="false">
      <c r="A99" s="12" t="s">
        <v>4283</v>
      </c>
      <c r="B99" s="12" t="s">
        <v>4284</v>
      </c>
      <c r="C99" s="12" t="s">
        <v>2624</v>
      </c>
      <c r="D99" s="12" t="n">
        <v>9</v>
      </c>
      <c r="E99" s="12" t="s">
        <v>4285</v>
      </c>
    </row>
    <row r="100" customFormat="false" ht="15" hidden="false" customHeight="false" outlineLevel="0" collapsed="false">
      <c r="A100" s="10" t="s">
        <v>4286</v>
      </c>
      <c r="B100" s="10" t="s">
        <v>4287</v>
      </c>
      <c r="C100" s="10" t="s">
        <v>2624</v>
      </c>
      <c r="D100" s="10" t="n">
        <v>6</v>
      </c>
      <c r="E100" s="10" t="s">
        <v>4288</v>
      </c>
    </row>
    <row r="101" customFormat="false" ht="15" hidden="false" customHeight="false" outlineLevel="0" collapsed="false">
      <c r="A101" s="12" t="s">
        <v>4289</v>
      </c>
      <c r="B101" s="12" t="s">
        <v>4290</v>
      </c>
      <c r="C101" s="12" t="s">
        <v>3905</v>
      </c>
      <c r="D101" s="12" t="n">
        <v>7</v>
      </c>
      <c r="E101" s="12" t="s">
        <v>4291</v>
      </c>
    </row>
    <row r="102" customFormat="false" ht="15" hidden="false" customHeight="false" outlineLevel="0" collapsed="false">
      <c r="A102" s="10" t="s">
        <v>4292</v>
      </c>
      <c r="B102" s="10" t="s">
        <v>4293</v>
      </c>
      <c r="C102" s="10" t="s">
        <v>3905</v>
      </c>
      <c r="D102" s="10" t="n">
        <v>4</v>
      </c>
      <c r="E102" s="10" t="s">
        <v>4294</v>
      </c>
    </row>
    <row r="103" customFormat="false" ht="15" hidden="false" customHeight="false" outlineLevel="0" collapsed="false">
      <c r="A103" s="12" t="s">
        <v>4295</v>
      </c>
      <c r="B103" s="12" t="s">
        <v>4296</v>
      </c>
      <c r="C103" s="12" t="s">
        <v>2624</v>
      </c>
      <c r="D103" s="12" t="n">
        <v>5</v>
      </c>
      <c r="E103" s="12" t="s">
        <v>4297</v>
      </c>
    </row>
    <row r="104" customFormat="false" ht="15" hidden="false" customHeight="false" outlineLevel="0" collapsed="false">
      <c r="A104" s="10" t="s">
        <v>4298</v>
      </c>
      <c r="B104" s="10" t="s">
        <v>3439</v>
      </c>
      <c r="C104" s="10" t="s">
        <v>2624</v>
      </c>
      <c r="D104" s="10" t="n">
        <v>3</v>
      </c>
      <c r="E104" s="10" t="s">
        <v>4299</v>
      </c>
    </row>
    <row r="105" customFormat="false" ht="15" hidden="false" customHeight="false" outlineLevel="0" collapsed="false">
      <c r="A105" s="12" t="s">
        <v>4300</v>
      </c>
      <c r="B105" s="12" t="s">
        <v>4301</v>
      </c>
      <c r="C105" s="12" t="s">
        <v>2624</v>
      </c>
      <c r="D105" s="12" t="n">
        <v>6</v>
      </c>
      <c r="E105" s="12" t="s">
        <v>4302</v>
      </c>
    </row>
    <row r="106" customFormat="false" ht="15" hidden="false" customHeight="false" outlineLevel="0" collapsed="false">
      <c r="A106" s="10" t="s">
        <v>4303</v>
      </c>
      <c r="B106" s="10" t="s">
        <v>4304</v>
      </c>
      <c r="C106" s="10" t="s">
        <v>3905</v>
      </c>
      <c r="D106" s="10" t="n">
        <v>9</v>
      </c>
      <c r="E106" s="10" t="s">
        <v>4305</v>
      </c>
    </row>
    <row r="107" customFormat="false" ht="32.8" hidden="false" customHeight="false" outlineLevel="0" collapsed="false">
      <c r="A107" s="12" t="s">
        <v>4306</v>
      </c>
      <c r="B107" s="12" t="s">
        <v>4307</v>
      </c>
      <c r="C107" s="12" t="s">
        <v>2624</v>
      </c>
      <c r="D107" s="12" t="n">
        <v>36</v>
      </c>
      <c r="E107" s="12" t="s">
        <v>4308</v>
      </c>
    </row>
    <row r="108" customFormat="false" ht="15" hidden="false" customHeight="false" outlineLevel="0" collapsed="false">
      <c r="A108" s="10" t="s">
        <v>4309</v>
      </c>
      <c r="B108" s="10" t="s">
        <v>4310</v>
      </c>
      <c r="C108" s="10" t="s">
        <v>3905</v>
      </c>
      <c r="D108" s="10" t="n">
        <v>4</v>
      </c>
      <c r="E108" s="10" t="s">
        <v>4311</v>
      </c>
    </row>
    <row r="109" customFormat="false" ht="15" hidden="false" customHeight="false" outlineLevel="0" collapsed="false">
      <c r="A109" s="12" t="s">
        <v>4312</v>
      </c>
      <c r="B109" s="12" t="s">
        <v>4313</v>
      </c>
      <c r="C109" s="12" t="s">
        <v>2624</v>
      </c>
      <c r="D109" s="12" t="n">
        <v>5</v>
      </c>
      <c r="E109" s="12" t="s">
        <v>4314</v>
      </c>
    </row>
    <row r="110" customFormat="false" ht="15" hidden="false" customHeight="false" outlineLevel="0" collapsed="false">
      <c r="A110" s="10" t="s">
        <v>4315</v>
      </c>
      <c r="B110" s="10" t="s">
        <v>4316</v>
      </c>
      <c r="C110" s="10" t="s">
        <v>2624</v>
      </c>
      <c r="D110" s="10" t="n">
        <v>2</v>
      </c>
      <c r="E110" s="10" t="s">
        <v>4317</v>
      </c>
    </row>
    <row r="111" customFormat="false" ht="15" hidden="false" customHeight="false" outlineLevel="0" collapsed="false">
      <c r="A111" s="12" t="s">
        <v>4318</v>
      </c>
      <c r="B111" s="12" t="s">
        <v>4319</v>
      </c>
      <c r="C111" s="12" t="s">
        <v>2624</v>
      </c>
      <c r="D111" s="12" t="n">
        <v>2</v>
      </c>
      <c r="E111" s="12" t="s">
        <v>4320</v>
      </c>
    </row>
    <row r="112" customFormat="false" ht="15" hidden="false" customHeight="false" outlineLevel="0" collapsed="false">
      <c r="A112" s="10" t="s">
        <v>4321</v>
      </c>
      <c r="B112" s="10" t="s">
        <v>4322</v>
      </c>
      <c r="C112" s="10" t="s">
        <v>3905</v>
      </c>
      <c r="D112" s="10" t="n">
        <v>12</v>
      </c>
      <c r="E112" s="10" t="s">
        <v>4323</v>
      </c>
    </row>
    <row r="113" customFormat="false" ht="15" hidden="false" customHeight="false" outlineLevel="0" collapsed="false">
      <c r="A113" s="12" t="s">
        <v>4324</v>
      </c>
      <c r="B113" s="12" t="s">
        <v>4325</v>
      </c>
      <c r="C113" s="12" t="s">
        <v>2624</v>
      </c>
      <c r="D113" s="12" t="n">
        <v>6</v>
      </c>
      <c r="E113" s="12" t="s">
        <v>4326</v>
      </c>
    </row>
    <row r="114" customFormat="false" ht="15" hidden="false" customHeight="false" outlineLevel="0" collapsed="false">
      <c r="A114" s="10" t="s">
        <v>4327</v>
      </c>
      <c r="B114" s="10" t="s">
        <v>4328</v>
      </c>
      <c r="C114" s="10" t="s">
        <v>2624</v>
      </c>
      <c r="D114" s="10" t="n">
        <v>2</v>
      </c>
      <c r="E114" s="10" t="s">
        <v>4329</v>
      </c>
    </row>
    <row r="115" customFormat="false" ht="15" hidden="false" customHeight="false" outlineLevel="0" collapsed="false">
      <c r="A115" s="12" t="s">
        <v>4330</v>
      </c>
      <c r="B115" s="12" t="s">
        <v>4331</v>
      </c>
      <c r="C115" s="12" t="s">
        <v>3905</v>
      </c>
      <c r="D115" s="12" t="n">
        <v>3</v>
      </c>
      <c r="E115" s="12" t="s">
        <v>4332</v>
      </c>
    </row>
    <row r="116" customFormat="false" ht="15" hidden="false" customHeight="false" outlineLevel="0" collapsed="false">
      <c r="A116" s="10" t="s">
        <v>4333</v>
      </c>
      <c r="B116" s="10" t="s">
        <v>4334</v>
      </c>
      <c r="C116" s="10" t="s">
        <v>2624</v>
      </c>
      <c r="D116" s="10" t="n">
        <v>3</v>
      </c>
      <c r="E116" s="10" t="s">
        <v>4335</v>
      </c>
    </row>
    <row r="117" customFormat="false" ht="15" hidden="false" customHeight="false" outlineLevel="0" collapsed="false">
      <c r="A117" s="12" t="s">
        <v>4336</v>
      </c>
      <c r="B117" s="12" t="s">
        <v>3757</v>
      </c>
      <c r="C117" s="12" t="s">
        <v>2624</v>
      </c>
      <c r="D117" s="12" t="n">
        <v>3</v>
      </c>
      <c r="E117" s="12" t="s">
        <v>4337</v>
      </c>
    </row>
    <row r="118" customFormat="false" ht="15" hidden="false" customHeight="false" outlineLevel="0" collapsed="false">
      <c r="A118" s="10" t="s">
        <v>4338</v>
      </c>
      <c r="B118" s="10" t="s">
        <v>394</v>
      </c>
      <c r="C118" s="10" t="s">
        <v>3905</v>
      </c>
      <c r="D118" s="10" t="n">
        <v>6</v>
      </c>
      <c r="E118" s="10" t="s">
        <v>4339</v>
      </c>
    </row>
    <row r="119" customFormat="false" ht="15" hidden="false" customHeight="false" outlineLevel="0" collapsed="false">
      <c r="A119" s="12" t="s">
        <v>4340</v>
      </c>
      <c r="B119" s="12" t="s">
        <v>4341</v>
      </c>
      <c r="C119" s="12" t="s">
        <v>2624</v>
      </c>
      <c r="D119" s="12" t="n">
        <v>7</v>
      </c>
      <c r="E119" s="12" t="s">
        <v>4342</v>
      </c>
    </row>
    <row r="120" customFormat="false" ht="22.35" hidden="false" customHeight="false" outlineLevel="0" collapsed="false">
      <c r="A120" s="10" t="s">
        <v>4343</v>
      </c>
      <c r="B120" s="10" t="s">
        <v>613</v>
      </c>
      <c r="C120" s="10" t="s">
        <v>3905</v>
      </c>
      <c r="D120" s="10" t="n">
        <v>9</v>
      </c>
      <c r="E120" s="10" t="s">
        <v>4344</v>
      </c>
    </row>
    <row r="122" customFormat="false" ht="27.75" hidden="false" customHeight="true" outlineLevel="0" collapsed="false">
      <c r="A122" s="14" t="s">
        <v>4345</v>
      </c>
      <c r="B122" s="14"/>
      <c r="C122" s="14"/>
      <c r="D122" s="14"/>
      <c r="E122" s="14"/>
    </row>
  </sheetData>
  <mergeCells count="1">
    <mergeCell ref="A122:E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9"/>
    <col collapsed="false" customWidth="true" hidden="false" outlineLevel="0" max="4" min="4" style="0" width="15"/>
    <col collapsed="false" customWidth="true" hidden="false" outlineLevel="0" max="5" min="5" style="0" width="20"/>
    <col collapsed="false" customWidth="true" hidden="false" outlineLevel="0" max="6" min="6" style="0" width="44"/>
    <col collapsed="false" customWidth="true" hidden="false" outlineLevel="0" max="7" min="7" style="0" width="34"/>
    <col collapsed="false" customWidth="true" hidden="false" outlineLevel="0" max="8" min="8" style="0" width="82"/>
    <col collapsed="false" customWidth="true" hidden="false" outlineLevel="0" max="9" min="9" style="0" width="14"/>
  </cols>
  <sheetData>
    <row r="1" customFormat="false" ht="30" hidden="false" customHeight="true" outlineLevel="0" collapsed="false">
      <c r="A1" s="8" t="s">
        <v>4346</v>
      </c>
      <c r="B1" s="8" t="s">
        <v>1183</v>
      </c>
      <c r="C1" s="8" t="s">
        <v>3899</v>
      </c>
      <c r="D1" s="8" t="s">
        <v>41</v>
      </c>
      <c r="E1" s="8" t="s">
        <v>4347</v>
      </c>
      <c r="F1" s="8" t="s">
        <v>4348</v>
      </c>
      <c r="G1" s="8" t="s">
        <v>4349</v>
      </c>
      <c r="H1" s="8" t="s">
        <v>3505</v>
      </c>
      <c r="I1" s="8" t="s">
        <v>40</v>
      </c>
    </row>
    <row r="2" customFormat="false" ht="15" hidden="false" customHeight="false" outlineLevel="0" collapsed="false">
      <c r="A2" s="10" t="s">
        <v>4350</v>
      </c>
      <c r="B2" s="10" t="s">
        <v>4351</v>
      </c>
      <c r="C2" s="10" t="s">
        <v>3922</v>
      </c>
      <c r="D2" s="10" t="s">
        <v>3931</v>
      </c>
      <c r="E2" s="10" t="s">
        <v>4352</v>
      </c>
      <c r="F2" s="10" t="s">
        <v>4353</v>
      </c>
      <c r="G2" s="10" t="s">
        <v>4354</v>
      </c>
      <c r="H2" s="10" t="s">
        <v>4355</v>
      </c>
      <c r="I2" s="10" t="s">
        <v>3176</v>
      </c>
    </row>
    <row r="3" customFormat="false" ht="22.35" hidden="false" customHeight="false" outlineLevel="0" collapsed="false">
      <c r="A3" s="12" t="s">
        <v>4356</v>
      </c>
      <c r="B3" s="12" t="s">
        <v>4357</v>
      </c>
      <c r="C3" s="12" t="s">
        <v>3922</v>
      </c>
      <c r="D3" s="12" t="s">
        <v>4358</v>
      </c>
      <c r="E3" s="12" t="s">
        <v>4352</v>
      </c>
      <c r="F3" s="12" t="s">
        <v>4359</v>
      </c>
      <c r="G3" s="12" t="s">
        <v>4360</v>
      </c>
      <c r="H3" s="12" t="s">
        <v>4361</v>
      </c>
      <c r="I3" s="12" t="s">
        <v>3176</v>
      </c>
    </row>
    <row r="4" customFormat="false" ht="15" hidden="false" customHeight="false" outlineLevel="0" collapsed="false">
      <c r="A4" s="10" t="s">
        <v>4362</v>
      </c>
      <c r="B4" s="10" t="s">
        <v>4363</v>
      </c>
      <c r="C4" s="10" t="s">
        <v>3922</v>
      </c>
      <c r="D4" s="10" t="s">
        <v>4364</v>
      </c>
      <c r="E4" s="10" t="s">
        <v>4365</v>
      </c>
      <c r="F4" s="10" t="s">
        <v>4366</v>
      </c>
      <c r="G4" s="10" t="s">
        <v>4367</v>
      </c>
      <c r="H4" s="10" t="s">
        <v>4368</v>
      </c>
      <c r="I4" s="10" t="s">
        <v>3456</v>
      </c>
    </row>
    <row r="5" customFormat="false" ht="22.35" hidden="false" customHeight="false" outlineLevel="0" collapsed="false">
      <c r="A5" s="12" t="s">
        <v>4369</v>
      </c>
      <c r="B5" s="12" t="s">
        <v>4370</v>
      </c>
      <c r="C5" s="12" t="s">
        <v>4371</v>
      </c>
      <c r="D5" s="12" t="s">
        <v>4372</v>
      </c>
      <c r="E5" s="12" t="s">
        <v>4365</v>
      </c>
      <c r="F5" s="12" t="s">
        <v>4373</v>
      </c>
      <c r="G5" s="12" t="s">
        <v>4374</v>
      </c>
      <c r="H5" s="12" t="s">
        <v>4375</v>
      </c>
      <c r="I5" s="12" t="s">
        <v>4376</v>
      </c>
    </row>
    <row r="6" customFormat="false" ht="15" hidden="false" customHeight="false" outlineLevel="0" collapsed="false">
      <c r="A6" s="10" t="s">
        <v>4377</v>
      </c>
      <c r="B6" s="10" t="s">
        <v>4378</v>
      </c>
      <c r="C6" s="10" t="s">
        <v>3939</v>
      </c>
      <c r="D6" s="10" t="s">
        <v>4379</v>
      </c>
      <c r="E6" s="10" t="s">
        <v>4365</v>
      </c>
      <c r="F6" s="10" t="s">
        <v>4380</v>
      </c>
      <c r="G6" s="10" t="s">
        <v>4381</v>
      </c>
      <c r="H6" s="10" t="s">
        <v>4382</v>
      </c>
      <c r="I6" s="10" t="s">
        <v>4383</v>
      </c>
    </row>
    <row r="7" customFormat="false" ht="15" hidden="false" customHeight="false" outlineLevel="0" collapsed="false">
      <c r="A7" s="12" t="s">
        <v>4384</v>
      </c>
      <c r="B7" s="12" t="s">
        <v>4385</v>
      </c>
      <c r="C7" s="12" t="s">
        <v>3939</v>
      </c>
      <c r="D7" s="12" t="s">
        <v>3955</v>
      </c>
      <c r="E7" s="12" t="s">
        <v>4352</v>
      </c>
      <c r="F7" s="12" t="s">
        <v>4386</v>
      </c>
      <c r="G7" s="12" t="s">
        <v>4387</v>
      </c>
      <c r="H7" s="12" t="s">
        <v>4388</v>
      </c>
      <c r="I7" s="12" t="s">
        <v>1229</v>
      </c>
    </row>
    <row r="8" customFormat="false" ht="22.35" hidden="false" customHeight="false" outlineLevel="0" collapsed="false">
      <c r="A8" s="10" t="s">
        <v>4389</v>
      </c>
      <c r="B8" s="10" t="s">
        <v>4390</v>
      </c>
      <c r="C8" s="10" t="s">
        <v>3939</v>
      </c>
      <c r="D8" s="10" t="s">
        <v>3919</v>
      </c>
      <c r="E8" s="10" t="s">
        <v>4352</v>
      </c>
      <c r="F8" s="10" t="s">
        <v>4391</v>
      </c>
      <c r="G8" s="10" t="s">
        <v>4392</v>
      </c>
      <c r="H8" s="10" t="s">
        <v>4393</v>
      </c>
      <c r="I8" s="10" t="s">
        <v>412</v>
      </c>
    </row>
    <row r="9" customFormat="false" ht="15" hidden="false" customHeight="false" outlineLevel="0" collapsed="false">
      <c r="A9" s="12" t="s">
        <v>4394</v>
      </c>
      <c r="B9" s="12" t="s">
        <v>4395</v>
      </c>
      <c r="C9" s="12" t="s">
        <v>3939</v>
      </c>
      <c r="D9" s="12" t="s">
        <v>3919</v>
      </c>
      <c r="E9" s="12" t="s">
        <v>4352</v>
      </c>
      <c r="F9" s="12" t="s">
        <v>4396</v>
      </c>
      <c r="G9" s="12" t="s">
        <v>4397</v>
      </c>
      <c r="H9" s="12" t="s">
        <v>4398</v>
      </c>
      <c r="I9" s="12" t="s">
        <v>412</v>
      </c>
    </row>
    <row r="10" customFormat="false" ht="15" hidden="false" customHeight="false" outlineLevel="0" collapsed="false">
      <c r="A10" s="10" t="s">
        <v>4399</v>
      </c>
      <c r="B10" s="10" t="s">
        <v>4400</v>
      </c>
      <c r="C10" s="10" t="s">
        <v>3966</v>
      </c>
      <c r="D10" s="10" t="s">
        <v>3968</v>
      </c>
      <c r="E10" s="10" t="s">
        <v>4352</v>
      </c>
      <c r="F10" s="10" t="s">
        <v>4401</v>
      </c>
      <c r="G10" s="10" t="s">
        <v>4402</v>
      </c>
      <c r="H10" s="10" t="s">
        <v>4403</v>
      </c>
      <c r="I10" s="10" t="s">
        <v>2324</v>
      </c>
    </row>
    <row r="11" customFormat="false" ht="15" hidden="false" customHeight="false" outlineLevel="0" collapsed="false">
      <c r="A11" s="12" t="s">
        <v>4404</v>
      </c>
      <c r="B11" s="12" t="s">
        <v>4405</v>
      </c>
      <c r="C11" s="12" t="s">
        <v>3971</v>
      </c>
      <c r="D11" s="12" t="s">
        <v>3973</v>
      </c>
      <c r="E11" s="12" t="s">
        <v>4352</v>
      </c>
      <c r="F11" s="12" t="s">
        <v>93</v>
      </c>
      <c r="G11" s="12" t="s">
        <v>4406</v>
      </c>
      <c r="H11" s="12" t="s">
        <v>4407</v>
      </c>
      <c r="I11" s="12" t="s">
        <v>2878</v>
      </c>
    </row>
    <row r="12" customFormat="false" ht="15" hidden="false" customHeight="false" outlineLevel="0" collapsed="false">
      <c r="A12" s="10" t="s">
        <v>4408</v>
      </c>
      <c r="B12" s="10" t="s">
        <v>3618</v>
      </c>
      <c r="C12" s="10" t="s">
        <v>3975</v>
      </c>
      <c r="D12" s="10" t="s">
        <v>3977</v>
      </c>
      <c r="E12" s="10" t="s">
        <v>4352</v>
      </c>
      <c r="F12" s="10" t="s">
        <v>4409</v>
      </c>
      <c r="G12" s="10" t="s">
        <v>4410</v>
      </c>
      <c r="H12" s="10" t="s">
        <v>4411</v>
      </c>
      <c r="I12" s="10" t="s">
        <v>1396</v>
      </c>
    </row>
    <row r="13" customFormat="false" ht="15" hidden="false" customHeight="false" outlineLevel="0" collapsed="false">
      <c r="A13" s="12" t="s">
        <v>4412</v>
      </c>
      <c r="B13" s="12" t="s">
        <v>4413</v>
      </c>
      <c r="C13" s="12" t="s">
        <v>3980</v>
      </c>
      <c r="D13" s="12" t="s">
        <v>4414</v>
      </c>
      <c r="E13" s="12" t="s">
        <v>4365</v>
      </c>
      <c r="F13" s="12" t="s">
        <v>4415</v>
      </c>
      <c r="G13" s="12" t="s">
        <v>4416</v>
      </c>
      <c r="H13" s="12" t="s">
        <v>4417</v>
      </c>
      <c r="I13" s="12" t="s">
        <v>2493</v>
      </c>
    </row>
    <row r="14" customFormat="false" ht="15" hidden="false" customHeight="false" outlineLevel="0" collapsed="false">
      <c r="A14" s="10" t="s">
        <v>4418</v>
      </c>
      <c r="B14" s="10" t="s">
        <v>4419</v>
      </c>
      <c r="C14" s="10" t="s">
        <v>3980</v>
      </c>
      <c r="D14" s="10" t="s">
        <v>4420</v>
      </c>
      <c r="E14" s="10" t="s">
        <v>4352</v>
      </c>
      <c r="F14" s="10" t="s">
        <v>4421</v>
      </c>
      <c r="G14" s="10" t="s">
        <v>4422</v>
      </c>
      <c r="H14" s="10" t="s">
        <v>4423</v>
      </c>
      <c r="I14" s="10" t="s">
        <v>2550</v>
      </c>
    </row>
    <row r="15" customFormat="false" ht="15" hidden="false" customHeight="false" outlineLevel="0" collapsed="false">
      <c r="A15" s="12" t="s">
        <v>4424</v>
      </c>
      <c r="B15" s="12" t="s">
        <v>4425</v>
      </c>
      <c r="C15" s="12" t="s">
        <v>4426</v>
      </c>
      <c r="D15" s="12" t="s">
        <v>3987</v>
      </c>
      <c r="E15" s="12" t="s">
        <v>4365</v>
      </c>
      <c r="F15" s="12" t="s">
        <v>4427</v>
      </c>
      <c r="G15" s="12" t="s">
        <v>4428</v>
      </c>
      <c r="H15" s="12" t="s">
        <v>4429</v>
      </c>
      <c r="I15" s="12" t="s">
        <v>3111</v>
      </c>
    </row>
    <row r="16" customFormat="false" ht="22.35" hidden="false" customHeight="false" outlineLevel="0" collapsed="false">
      <c r="A16" s="10" t="s">
        <v>4430</v>
      </c>
      <c r="B16" s="10" t="s">
        <v>4431</v>
      </c>
      <c r="C16" s="10" t="s">
        <v>3990</v>
      </c>
      <c r="D16" s="10" t="s">
        <v>4432</v>
      </c>
      <c r="E16" s="10" t="s">
        <v>4352</v>
      </c>
      <c r="F16" s="10" t="s">
        <v>4433</v>
      </c>
      <c r="G16" s="10" t="s">
        <v>4434</v>
      </c>
      <c r="H16" s="10" t="s">
        <v>4435</v>
      </c>
      <c r="I16" s="10" t="s">
        <v>2808</v>
      </c>
    </row>
    <row r="17" customFormat="false" ht="15" hidden="false" customHeight="false" outlineLevel="0" collapsed="false">
      <c r="A17" s="12" t="s">
        <v>4436</v>
      </c>
      <c r="B17" s="12" t="s">
        <v>4437</v>
      </c>
      <c r="C17" s="12" t="s">
        <v>4438</v>
      </c>
      <c r="D17" s="12" t="s">
        <v>3907</v>
      </c>
      <c r="E17" s="12" t="s">
        <v>4439</v>
      </c>
      <c r="F17" s="12" t="s">
        <v>4440</v>
      </c>
      <c r="G17" s="12" t="s">
        <v>4441</v>
      </c>
      <c r="H17" s="12" t="s">
        <v>4442</v>
      </c>
      <c r="I17" s="12" t="s">
        <v>428</v>
      </c>
    </row>
    <row r="18" customFormat="false" ht="15" hidden="false" customHeight="false" outlineLevel="0" collapsed="false">
      <c r="A18" s="10" t="s">
        <v>4443</v>
      </c>
      <c r="B18" s="10" t="s">
        <v>4444</v>
      </c>
      <c r="C18" s="10" t="s">
        <v>3922</v>
      </c>
      <c r="D18" s="10" t="s">
        <v>4364</v>
      </c>
      <c r="E18" s="10" t="s">
        <v>4439</v>
      </c>
      <c r="F18" s="10" t="s">
        <v>4445</v>
      </c>
      <c r="G18" s="10" t="s">
        <v>4446</v>
      </c>
      <c r="H18" s="10" t="s">
        <v>4447</v>
      </c>
      <c r="I18" s="10" t="s">
        <v>3060</v>
      </c>
    </row>
    <row r="20" customFormat="false" ht="27.75" hidden="false" customHeight="true" outlineLevel="0" collapsed="false">
      <c r="A20" s="14" t="s">
        <v>4448</v>
      </c>
      <c r="B20" s="14"/>
      <c r="C20" s="14"/>
      <c r="D20" s="14"/>
      <c r="E20" s="14"/>
      <c r="F20" s="14"/>
      <c r="G20" s="14"/>
      <c r="H20" s="14"/>
      <c r="I20" s="14"/>
    </row>
  </sheetData>
  <mergeCells count="1">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52"/>
    <col collapsed="false" customWidth="true" hidden="false" outlineLevel="0" max="4" min="4" style="0" width="62"/>
    <col collapsed="false" customWidth="true" hidden="false" outlineLevel="0" max="5" min="5" style="0" width="76"/>
    <col collapsed="false" customWidth="true" hidden="false" outlineLevel="0" max="6" min="6" style="0" width="74"/>
  </cols>
  <sheetData>
    <row r="1" customFormat="false" ht="30" hidden="false" customHeight="true" outlineLevel="0" collapsed="false">
      <c r="A1" s="8" t="s">
        <v>4449</v>
      </c>
      <c r="B1" s="8" t="s">
        <v>41</v>
      </c>
      <c r="C1" s="8" t="s">
        <v>4449</v>
      </c>
      <c r="D1" s="8" t="s">
        <v>4450</v>
      </c>
      <c r="E1" s="8" t="s">
        <v>4451</v>
      </c>
      <c r="F1" s="8" t="s">
        <v>4452</v>
      </c>
    </row>
    <row r="2" customFormat="false" ht="15" hidden="false" customHeight="false" outlineLevel="0" collapsed="false">
      <c r="A2" s="10" t="s">
        <v>4453</v>
      </c>
      <c r="B2" s="10" t="s">
        <v>3931</v>
      </c>
      <c r="C2" s="10" t="s">
        <v>4454</v>
      </c>
      <c r="D2" s="10" t="s">
        <v>4455</v>
      </c>
      <c r="E2" s="10" t="s">
        <v>4456</v>
      </c>
      <c r="F2" s="10" t="s">
        <v>4457</v>
      </c>
    </row>
    <row r="3" customFormat="false" ht="15" hidden="false" customHeight="false" outlineLevel="0" collapsed="false">
      <c r="A3" s="12" t="s">
        <v>4458</v>
      </c>
      <c r="B3" s="12" t="s">
        <v>3931</v>
      </c>
      <c r="C3" s="12" t="s">
        <v>4459</v>
      </c>
      <c r="D3" s="12" t="s">
        <v>4460</v>
      </c>
      <c r="E3" s="12" t="s">
        <v>4461</v>
      </c>
      <c r="F3" s="12" t="s">
        <v>4462</v>
      </c>
    </row>
    <row r="4" customFormat="false" ht="15" hidden="false" customHeight="false" outlineLevel="0" collapsed="false">
      <c r="A4" s="10" t="s">
        <v>4463</v>
      </c>
      <c r="B4" s="10" t="s">
        <v>3931</v>
      </c>
      <c r="C4" s="10" t="s">
        <v>4464</v>
      </c>
      <c r="D4" s="10" t="s">
        <v>2349</v>
      </c>
      <c r="E4" s="10" t="s">
        <v>4465</v>
      </c>
      <c r="F4" s="10" t="s">
        <v>4457</v>
      </c>
    </row>
    <row r="5" customFormat="false" ht="15" hidden="false" customHeight="false" outlineLevel="0" collapsed="false">
      <c r="A5" s="12" t="s">
        <v>4466</v>
      </c>
      <c r="B5" s="12" t="s">
        <v>3916</v>
      </c>
      <c r="C5" s="12" t="s">
        <v>4467</v>
      </c>
      <c r="D5" s="12" t="s">
        <v>4468</v>
      </c>
      <c r="E5" s="12" t="s">
        <v>4469</v>
      </c>
      <c r="F5" s="12" t="s">
        <v>4457</v>
      </c>
    </row>
    <row r="6" customFormat="false" ht="15" hidden="false" customHeight="false" outlineLevel="0" collapsed="false">
      <c r="A6" s="10" t="s">
        <v>4470</v>
      </c>
      <c r="B6" s="10" t="s">
        <v>4358</v>
      </c>
      <c r="C6" s="10" t="s">
        <v>4471</v>
      </c>
      <c r="D6" s="10" t="s">
        <v>4472</v>
      </c>
      <c r="E6" s="10" t="s">
        <v>4473</v>
      </c>
      <c r="F6" s="10" t="s">
        <v>4474</v>
      </c>
    </row>
    <row r="7" customFormat="false" ht="15" hidden="false" customHeight="false" outlineLevel="0" collapsed="false">
      <c r="A7" s="12" t="s">
        <v>4475</v>
      </c>
      <c r="B7" s="12" t="s">
        <v>3913</v>
      </c>
      <c r="C7" s="12" t="s">
        <v>4476</v>
      </c>
      <c r="D7" s="12" t="s">
        <v>4477</v>
      </c>
      <c r="E7" s="12" t="s">
        <v>4478</v>
      </c>
      <c r="F7" s="12" t="s">
        <v>4457</v>
      </c>
    </row>
    <row r="8" customFormat="false" ht="15" hidden="false" customHeight="false" outlineLevel="0" collapsed="false">
      <c r="A8" s="10" t="s">
        <v>4479</v>
      </c>
      <c r="B8" s="10" t="s">
        <v>3910</v>
      </c>
      <c r="C8" s="10" t="s">
        <v>4480</v>
      </c>
      <c r="D8" s="10" t="s">
        <v>4481</v>
      </c>
      <c r="E8" s="10" t="s">
        <v>4482</v>
      </c>
      <c r="F8" s="10" t="s">
        <v>4462</v>
      </c>
    </row>
    <row r="9" customFormat="false" ht="15" hidden="false" customHeight="false" outlineLevel="0" collapsed="false">
      <c r="A9" s="12" t="s">
        <v>4483</v>
      </c>
      <c r="B9" s="12" t="s">
        <v>3942</v>
      </c>
      <c r="C9" s="12" t="s">
        <v>4484</v>
      </c>
      <c r="D9" s="12" t="s">
        <v>4485</v>
      </c>
      <c r="E9" s="12" t="s">
        <v>4486</v>
      </c>
      <c r="F9" s="12" t="s">
        <v>4487</v>
      </c>
    </row>
    <row r="10" customFormat="false" ht="15" hidden="false" customHeight="false" outlineLevel="0" collapsed="false">
      <c r="A10" s="10" t="s">
        <v>4488</v>
      </c>
      <c r="B10" s="10" t="s">
        <v>3942</v>
      </c>
      <c r="C10" s="10" t="s">
        <v>4489</v>
      </c>
      <c r="D10" s="10" t="s">
        <v>4490</v>
      </c>
      <c r="E10" s="10" t="s">
        <v>4491</v>
      </c>
      <c r="F10" s="10" t="s">
        <v>4457</v>
      </c>
    </row>
    <row r="11" customFormat="false" ht="15" hidden="false" customHeight="false" outlineLevel="0" collapsed="false">
      <c r="A11" s="12" t="s">
        <v>4492</v>
      </c>
      <c r="B11" s="12" t="s">
        <v>3955</v>
      </c>
      <c r="C11" s="12" t="s">
        <v>4493</v>
      </c>
      <c r="D11" s="12" t="s">
        <v>4494</v>
      </c>
      <c r="E11" s="12" t="s">
        <v>4495</v>
      </c>
      <c r="F11" s="12" t="s">
        <v>4496</v>
      </c>
    </row>
    <row r="12" customFormat="false" ht="15" hidden="false" customHeight="false" outlineLevel="0" collapsed="false">
      <c r="A12" s="10" t="s">
        <v>4497</v>
      </c>
      <c r="B12" s="10" t="s">
        <v>3919</v>
      </c>
      <c r="C12" s="10" t="s">
        <v>4498</v>
      </c>
      <c r="D12" s="10" t="s">
        <v>4499</v>
      </c>
      <c r="E12" s="10" t="s">
        <v>4500</v>
      </c>
      <c r="F12" s="10" t="s">
        <v>4457</v>
      </c>
    </row>
    <row r="13" customFormat="false" ht="15" hidden="false" customHeight="false" outlineLevel="0" collapsed="false">
      <c r="A13" s="12" t="s">
        <v>4501</v>
      </c>
      <c r="B13" s="12" t="s">
        <v>3919</v>
      </c>
      <c r="C13" s="12" t="s">
        <v>4502</v>
      </c>
      <c r="D13" s="12" t="s">
        <v>4503</v>
      </c>
      <c r="E13" s="12" t="s">
        <v>4504</v>
      </c>
      <c r="F13" s="12" t="s">
        <v>4457</v>
      </c>
    </row>
    <row r="14" customFormat="false" ht="15" hidden="false" customHeight="false" outlineLevel="0" collapsed="false">
      <c r="A14" s="10" t="s">
        <v>4505</v>
      </c>
      <c r="B14" s="10" t="s">
        <v>3919</v>
      </c>
      <c r="C14" s="10" t="s">
        <v>4506</v>
      </c>
      <c r="D14" s="10" t="s">
        <v>4507</v>
      </c>
      <c r="E14" s="10" t="s">
        <v>4508</v>
      </c>
      <c r="F14" s="10" t="s">
        <v>4509</v>
      </c>
    </row>
    <row r="15" customFormat="false" ht="15" hidden="false" customHeight="false" outlineLevel="0" collapsed="false">
      <c r="A15" s="12" t="s">
        <v>4510</v>
      </c>
      <c r="B15" s="12" t="s">
        <v>3919</v>
      </c>
      <c r="C15" s="12" t="s">
        <v>4511</v>
      </c>
      <c r="D15" s="12" t="s">
        <v>4512</v>
      </c>
      <c r="E15" s="12" t="s">
        <v>4513</v>
      </c>
      <c r="F15" s="12" t="s">
        <v>4514</v>
      </c>
    </row>
    <row r="16" customFormat="false" ht="15" hidden="false" customHeight="false" outlineLevel="0" collapsed="false">
      <c r="A16" s="10" t="s">
        <v>4515</v>
      </c>
      <c r="B16" s="10" t="s">
        <v>3919</v>
      </c>
      <c r="C16" s="10" t="s">
        <v>4516</v>
      </c>
      <c r="D16" s="10" t="s">
        <v>4517</v>
      </c>
      <c r="E16" s="10" t="s">
        <v>4518</v>
      </c>
      <c r="F16" s="10" t="s">
        <v>4519</v>
      </c>
    </row>
    <row r="17" customFormat="false" ht="15" hidden="false" customHeight="false" outlineLevel="0" collapsed="false">
      <c r="A17" s="12" t="s">
        <v>4520</v>
      </c>
      <c r="B17" s="12" t="s">
        <v>3919</v>
      </c>
      <c r="C17" s="12" t="s">
        <v>4521</v>
      </c>
      <c r="D17" s="12" t="s">
        <v>1448</v>
      </c>
      <c r="E17" s="12" t="s">
        <v>4522</v>
      </c>
      <c r="F17" s="12" t="s">
        <v>4457</v>
      </c>
    </row>
    <row r="18" customFormat="false" ht="15" hidden="false" customHeight="false" outlineLevel="0" collapsed="false">
      <c r="A18" s="10" t="s">
        <v>4523</v>
      </c>
      <c r="B18" s="10" t="s">
        <v>3919</v>
      </c>
      <c r="C18" s="10" t="s">
        <v>4524</v>
      </c>
      <c r="D18" s="10" t="s">
        <v>4396</v>
      </c>
      <c r="E18" s="10" t="s">
        <v>4525</v>
      </c>
      <c r="F18" s="10" t="s">
        <v>4462</v>
      </c>
    </row>
    <row r="19" customFormat="false" ht="15" hidden="false" customHeight="false" outlineLevel="0" collapsed="false">
      <c r="A19" s="12" t="s">
        <v>4526</v>
      </c>
      <c r="B19" s="12" t="s">
        <v>3987</v>
      </c>
      <c r="C19" s="12" t="s">
        <v>4527</v>
      </c>
      <c r="D19" s="12" t="s">
        <v>4528</v>
      </c>
      <c r="E19" s="12" t="s">
        <v>4529</v>
      </c>
      <c r="F19" s="12" t="s">
        <v>4530</v>
      </c>
    </row>
    <row r="20" customFormat="false" ht="15" hidden="false" customHeight="false" outlineLevel="0" collapsed="false">
      <c r="A20" s="10" t="s">
        <v>4531</v>
      </c>
      <c r="B20" s="10" t="s">
        <v>3973</v>
      </c>
      <c r="C20" s="10" t="s">
        <v>4532</v>
      </c>
      <c r="D20" s="10" t="s">
        <v>4533</v>
      </c>
      <c r="E20" s="10" t="s">
        <v>4534</v>
      </c>
      <c r="F20" s="10" t="s">
        <v>4457</v>
      </c>
    </row>
    <row r="21" customFormat="false" ht="15" hidden="false" customHeight="false" outlineLevel="0" collapsed="false">
      <c r="A21" s="12" t="s">
        <v>4535</v>
      </c>
      <c r="B21" s="12" t="s">
        <v>3973</v>
      </c>
      <c r="C21" s="12" t="s">
        <v>4536</v>
      </c>
      <c r="D21" s="12" t="s">
        <v>4537</v>
      </c>
      <c r="E21" s="12" t="s">
        <v>4538</v>
      </c>
      <c r="F21" s="12" t="s">
        <v>4457</v>
      </c>
    </row>
    <row r="22" customFormat="false" ht="22.35" hidden="false" customHeight="false" outlineLevel="0" collapsed="false">
      <c r="A22" s="10" t="s">
        <v>4539</v>
      </c>
      <c r="B22" s="10" t="s">
        <v>3973</v>
      </c>
      <c r="C22" s="10" t="s">
        <v>4540</v>
      </c>
      <c r="D22" s="10" t="s">
        <v>4541</v>
      </c>
      <c r="E22" s="10" t="s">
        <v>4542</v>
      </c>
      <c r="F22" s="10" t="s">
        <v>4543</v>
      </c>
    </row>
    <row r="23" customFormat="false" ht="15" hidden="false" customHeight="false" outlineLevel="0" collapsed="false">
      <c r="A23" s="12" t="s">
        <v>4544</v>
      </c>
      <c r="B23" s="12" t="s">
        <v>4545</v>
      </c>
      <c r="C23" s="12" t="s">
        <v>4546</v>
      </c>
      <c r="D23" s="12" t="s">
        <v>4547</v>
      </c>
      <c r="E23" s="12" t="s">
        <v>4548</v>
      </c>
      <c r="F23" s="12" t="s">
        <v>4549</v>
      </c>
    </row>
    <row r="24" customFormat="false" ht="15" hidden="false" customHeight="false" outlineLevel="0" collapsed="false">
      <c r="A24" s="10" t="s">
        <v>4550</v>
      </c>
      <c r="B24" s="10" t="s">
        <v>3968</v>
      </c>
      <c r="C24" s="10" t="s">
        <v>4551</v>
      </c>
      <c r="D24" s="10" t="s">
        <v>4552</v>
      </c>
      <c r="E24" s="10" t="s">
        <v>4553</v>
      </c>
      <c r="F24" s="10" t="s">
        <v>4457</v>
      </c>
    </row>
    <row r="25" customFormat="false" ht="15" hidden="false" customHeight="false" outlineLevel="0" collapsed="false">
      <c r="A25" s="12" t="s">
        <v>4554</v>
      </c>
      <c r="B25" s="12" t="s">
        <v>3924</v>
      </c>
      <c r="C25" s="12" t="s">
        <v>4555</v>
      </c>
      <c r="D25" s="12" t="s">
        <v>4556</v>
      </c>
      <c r="E25" s="12" t="s">
        <v>4557</v>
      </c>
      <c r="F25" s="12" t="s">
        <v>4457</v>
      </c>
    </row>
    <row r="26" customFormat="false" ht="15" hidden="false" customHeight="false" outlineLevel="0" collapsed="false">
      <c r="A26" s="10" t="s">
        <v>4558</v>
      </c>
      <c r="B26" s="10" t="s">
        <v>3924</v>
      </c>
      <c r="C26" s="10" t="s">
        <v>4559</v>
      </c>
      <c r="D26" s="10" t="s">
        <v>4560</v>
      </c>
      <c r="E26" s="10" t="s">
        <v>4561</v>
      </c>
      <c r="F26" s="10" t="s">
        <v>4562</v>
      </c>
    </row>
    <row r="27" customFormat="false" ht="15" hidden="false" customHeight="false" outlineLevel="0" collapsed="false">
      <c r="A27" s="12" t="s">
        <v>4563</v>
      </c>
      <c r="B27" s="12" t="s">
        <v>3924</v>
      </c>
      <c r="C27" s="12" t="s">
        <v>4564</v>
      </c>
      <c r="D27" s="12" t="s">
        <v>4565</v>
      </c>
      <c r="E27" s="12" t="s">
        <v>4566</v>
      </c>
      <c r="F27" s="12" t="s">
        <v>4457</v>
      </c>
    </row>
    <row r="28" customFormat="false" ht="15" hidden="false" customHeight="false" outlineLevel="0" collapsed="false">
      <c r="A28" s="10" t="s">
        <v>4567</v>
      </c>
      <c r="B28" s="10" t="s">
        <v>4568</v>
      </c>
      <c r="C28" s="10" t="s">
        <v>4569</v>
      </c>
      <c r="D28" s="10" t="s">
        <v>4570</v>
      </c>
      <c r="E28" s="10" t="s">
        <v>4571</v>
      </c>
      <c r="F28" s="10" t="s">
        <v>4572</v>
      </c>
    </row>
    <row r="29" customFormat="false" ht="15" hidden="false" customHeight="false" outlineLevel="0" collapsed="false">
      <c r="A29" s="12" t="s">
        <v>4573</v>
      </c>
      <c r="B29" s="12" t="s">
        <v>3992</v>
      </c>
      <c r="C29" s="12" t="s">
        <v>4574</v>
      </c>
      <c r="D29" s="12" t="s">
        <v>4575</v>
      </c>
      <c r="E29" s="12" t="s">
        <v>4576</v>
      </c>
      <c r="F29" s="12" t="s">
        <v>4457</v>
      </c>
    </row>
    <row r="30" customFormat="false" ht="15" hidden="false" customHeight="false" outlineLevel="0" collapsed="false">
      <c r="A30" s="10" t="s">
        <v>4577</v>
      </c>
      <c r="B30" s="10" t="s">
        <v>4432</v>
      </c>
      <c r="C30" s="10" t="s">
        <v>4578</v>
      </c>
      <c r="D30" s="10" t="s">
        <v>4579</v>
      </c>
      <c r="E30" s="10" t="s">
        <v>4580</v>
      </c>
      <c r="F30" s="10" t="s">
        <v>4581</v>
      </c>
    </row>
    <row r="31" customFormat="false" ht="15" hidden="false" customHeight="false" outlineLevel="0" collapsed="false">
      <c r="A31" s="12" t="s">
        <v>4582</v>
      </c>
      <c r="B31" s="12" t="s">
        <v>3977</v>
      </c>
      <c r="C31" s="12" t="s">
        <v>4583</v>
      </c>
      <c r="D31" s="12" t="s">
        <v>4584</v>
      </c>
      <c r="E31" s="12" t="s">
        <v>4585</v>
      </c>
      <c r="F31" s="12" t="s">
        <v>4586</v>
      </c>
    </row>
    <row r="32" customFormat="false" ht="15" hidden="false" customHeight="false" outlineLevel="0" collapsed="false">
      <c r="A32" s="10" t="s">
        <v>4587</v>
      </c>
      <c r="B32" s="10" t="s">
        <v>4420</v>
      </c>
      <c r="C32" s="10" t="s">
        <v>4588</v>
      </c>
      <c r="D32" s="10" t="s">
        <v>4589</v>
      </c>
      <c r="E32" s="10" t="s">
        <v>4590</v>
      </c>
      <c r="F32" s="10" t="s">
        <v>4591</v>
      </c>
    </row>
    <row r="33" customFormat="false" ht="15" hidden="false" customHeight="false" outlineLevel="0" collapsed="false">
      <c r="A33" s="12" t="s">
        <v>4592</v>
      </c>
      <c r="B33" s="12" t="s">
        <v>4414</v>
      </c>
      <c r="C33" s="12" t="s">
        <v>4593</v>
      </c>
      <c r="D33" s="12" t="s">
        <v>4594</v>
      </c>
      <c r="E33" s="12" t="s">
        <v>4595</v>
      </c>
      <c r="F33" s="12" t="s">
        <v>4457</v>
      </c>
    </row>
    <row r="34" customFormat="false" ht="15" hidden="false" customHeight="false" outlineLevel="0" collapsed="false">
      <c r="A34" s="10" t="s">
        <v>4596</v>
      </c>
      <c r="B34" s="10" t="s">
        <v>4597</v>
      </c>
      <c r="C34" s="10" t="s">
        <v>4598</v>
      </c>
      <c r="D34" s="10" t="s">
        <v>4599</v>
      </c>
      <c r="E34" s="10" t="s">
        <v>4600</v>
      </c>
      <c r="F34" s="10" t="s">
        <v>4457</v>
      </c>
    </row>
    <row r="35" customFormat="false" ht="15" hidden="false" customHeight="false" outlineLevel="0" collapsed="false">
      <c r="A35" s="12" t="s">
        <v>4601</v>
      </c>
      <c r="B35" s="12" t="s">
        <v>4602</v>
      </c>
      <c r="C35" s="12" t="s">
        <v>4603</v>
      </c>
      <c r="D35" s="12" t="s">
        <v>4604</v>
      </c>
      <c r="E35" s="12" t="s">
        <v>4605</v>
      </c>
      <c r="F35" s="12" t="s">
        <v>4606</v>
      </c>
    </row>
    <row r="36" customFormat="false" ht="15" hidden="false" customHeight="false" outlineLevel="0" collapsed="false">
      <c r="A36" s="10" t="s">
        <v>4607</v>
      </c>
      <c r="B36" s="10" t="s">
        <v>4608</v>
      </c>
      <c r="C36" s="10" t="s">
        <v>4609</v>
      </c>
      <c r="D36" s="10" t="s">
        <v>4610</v>
      </c>
      <c r="E36" s="10" t="s">
        <v>4611</v>
      </c>
      <c r="F36" s="10" t="s">
        <v>4457</v>
      </c>
    </row>
    <row r="37" customFormat="false" ht="15" hidden="false" customHeight="false" outlineLevel="0" collapsed="false">
      <c r="A37" s="12" t="s">
        <v>4612</v>
      </c>
      <c r="B37" s="12" t="s">
        <v>4613</v>
      </c>
      <c r="C37" s="12" t="s">
        <v>4614</v>
      </c>
      <c r="D37" s="12" t="s">
        <v>4615</v>
      </c>
      <c r="E37" s="12" t="s">
        <v>4616</v>
      </c>
      <c r="F37" s="12" t="s">
        <v>4457</v>
      </c>
    </row>
    <row r="38" customFormat="false" ht="15" hidden="false" customHeight="false" outlineLevel="0" collapsed="false">
      <c r="A38" s="10" t="s">
        <v>4617</v>
      </c>
      <c r="B38" s="10" t="s">
        <v>4618</v>
      </c>
      <c r="C38" s="10" t="s">
        <v>4619</v>
      </c>
      <c r="D38" s="10" t="s">
        <v>4620</v>
      </c>
      <c r="E38" s="10" t="s">
        <v>4621</v>
      </c>
      <c r="F38" s="10" t="s">
        <v>4457</v>
      </c>
    </row>
    <row r="39" customFormat="false" ht="15" hidden="false" customHeight="false" outlineLevel="0" collapsed="false">
      <c r="A39" s="12" t="s">
        <v>4622</v>
      </c>
      <c r="B39" s="12" t="s">
        <v>4623</v>
      </c>
      <c r="C39" s="12" t="s">
        <v>4624</v>
      </c>
      <c r="D39" s="12" t="s">
        <v>4625</v>
      </c>
      <c r="E39" s="12" t="s">
        <v>4626</v>
      </c>
      <c r="F39" s="12" t="s">
        <v>4627</v>
      </c>
    </row>
    <row r="40" customFormat="false" ht="15" hidden="false" customHeight="false" outlineLevel="0" collapsed="false">
      <c r="A40" s="10" t="s">
        <v>4628</v>
      </c>
      <c r="B40" s="10" t="s">
        <v>4000</v>
      </c>
      <c r="C40" s="10" t="s">
        <v>4629</v>
      </c>
      <c r="D40" s="10" t="s">
        <v>4630</v>
      </c>
      <c r="E40" s="10" t="s">
        <v>4631</v>
      </c>
      <c r="F40" s="10" t="s">
        <v>4457</v>
      </c>
    </row>
    <row r="41" customFormat="false" ht="15" hidden="false" customHeight="false" outlineLevel="0" collapsed="false">
      <c r="A41" s="12" t="s">
        <v>4632</v>
      </c>
      <c r="B41" s="12" t="s">
        <v>4633</v>
      </c>
      <c r="C41" s="12" t="s">
        <v>4634</v>
      </c>
      <c r="D41" s="12" t="s">
        <v>4635</v>
      </c>
      <c r="E41" s="12" t="s">
        <v>4636</v>
      </c>
      <c r="F41" s="12" t="s">
        <v>4637</v>
      </c>
    </row>
    <row r="43" customFormat="false" ht="27.75" hidden="false" customHeight="true" outlineLevel="0" collapsed="false">
      <c r="A43" s="14" t="s">
        <v>4638</v>
      </c>
      <c r="B43" s="14"/>
      <c r="C43" s="14"/>
      <c r="D43" s="14"/>
      <c r="E43" s="14"/>
      <c r="F43" s="14"/>
    </row>
  </sheetData>
  <mergeCells count="1">
    <mergeCell ref="A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4"/>
    <col collapsed="false" customWidth="true" hidden="false" outlineLevel="0" max="3" min="3" style="0" width="9"/>
    <col collapsed="false" customWidth="true" hidden="false" outlineLevel="0" max="4" min="4" style="0" width="11"/>
    <col collapsed="false" customWidth="true" hidden="false" outlineLevel="0" max="5" min="5" style="0" width="52"/>
    <col collapsed="false" customWidth="true" hidden="false" outlineLevel="0" max="6" min="6" style="0" width="62"/>
  </cols>
  <sheetData>
    <row r="1" customFormat="false" ht="30" hidden="false" customHeight="true" outlineLevel="0" collapsed="false">
      <c r="A1" s="8" t="s">
        <v>4639</v>
      </c>
      <c r="B1" s="8" t="s">
        <v>4640</v>
      </c>
      <c r="C1" s="8" t="s">
        <v>3899</v>
      </c>
      <c r="D1" s="8" t="s">
        <v>4641</v>
      </c>
      <c r="E1" s="8" t="s">
        <v>4642</v>
      </c>
      <c r="F1" s="8" t="s">
        <v>185</v>
      </c>
    </row>
    <row r="2" customFormat="false" ht="15" hidden="false" customHeight="false" outlineLevel="0" collapsed="false">
      <c r="A2" s="10" t="s">
        <v>4643</v>
      </c>
      <c r="B2" s="10" t="s">
        <v>4644</v>
      </c>
      <c r="C2" s="10" t="s">
        <v>4645</v>
      </c>
      <c r="D2" s="10" t="s">
        <v>4646</v>
      </c>
      <c r="E2" s="10" t="s">
        <v>4647</v>
      </c>
      <c r="F2" s="10" t="s">
        <v>4648</v>
      </c>
    </row>
    <row r="3" customFormat="false" ht="15" hidden="false" customHeight="false" outlineLevel="0" collapsed="false">
      <c r="A3" s="12" t="s">
        <v>4649</v>
      </c>
      <c r="B3" s="12" t="s">
        <v>4650</v>
      </c>
      <c r="C3" s="12" t="s">
        <v>4645</v>
      </c>
      <c r="D3" s="12" t="s">
        <v>4646</v>
      </c>
      <c r="E3" s="12" t="s">
        <v>4651</v>
      </c>
      <c r="F3" s="12" t="s">
        <v>4648</v>
      </c>
    </row>
    <row r="4" customFormat="false" ht="15" hidden="false" customHeight="false" outlineLevel="0" collapsed="false">
      <c r="A4" s="10" t="s">
        <v>4652</v>
      </c>
      <c r="B4" s="10" t="s">
        <v>4653</v>
      </c>
      <c r="C4" s="10" t="s">
        <v>4645</v>
      </c>
      <c r="D4" s="10" t="s">
        <v>4646</v>
      </c>
      <c r="E4" s="10" t="s">
        <v>4654</v>
      </c>
      <c r="F4" s="10" t="s">
        <v>4655</v>
      </c>
    </row>
    <row r="5" customFormat="false" ht="15" hidden="false" customHeight="false" outlineLevel="0" collapsed="false">
      <c r="A5" s="12" t="s">
        <v>4656</v>
      </c>
      <c r="B5" s="12" t="s">
        <v>4657</v>
      </c>
      <c r="C5" s="12" t="s">
        <v>4658</v>
      </c>
      <c r="D5" s="12" t="s">
        <v>4646</v>
      </c>
      <c r="E5" s="12" t="s">
        <v>4659</v>
      </c>
      <c r="F5" s="12" t="s">
        <v>4648</v>
      </c>
    </row>
    <row r="6" customFormat="false" ht="15" hidden="false" customHeight="false" outlineLevel="0" collapsed="false">
      <c r="A6" s="10" t="s">
        <v>4660</v>
      </c>
      <c r="B6" s="10" t="s">
        <v>4661</v>
      </c>
      <c r="C6" s="10" t="s">
        <v>4658</v>
      </c>
      <c r="D6" s="10" t="s">
        <v>4646</v>
      </c>
      <c r="E6" s="10" t="s">
        <v>4662</v>
      </c>
      <c r="F6" s="10" t="s">
        <v>4663</v>
      </c>
    </row>
    <row r="7" customFormat="false" ht="15" hidden="false" customHeight="false" outlineLevel="0" collapsed="false">
      <c r="A7" s="12" t="s">
        <v>4664</v>
      </c>
      <c r="B7" s="12" t="s">
        <v>4665</v>
      </c>
      <c r="C7" s="12" t="s">
        <v>4658</v>
      </c>
      <c r="D7" s="12" t="s">
        <v>4646</v>
      </c>
      <c r="E7" s="12" t="s">
        <v>4666</v>
      </c>
      <c r="F7" s="12" t="s">
        <v>4648</v>
      </c>
    </row>
    <row r="8" customFormat="false" ht="15" hidden="false" customHeight="false" outlineLevel="0" collapsed="false">
      <c r="A8" s="10" t="s">
        <v>4667</v>
      </c>
      <c r="B8" s="10" t="s">
        <v>4668</v>
      </c>
      <c r="C8" s="10" t="s">
        <v>4658</v>
      </c>
      <c r="D8" s="10" t="s">
        <v>4646</v>
      </c>
      <c r="E8" s="10" t="s">
        <v>167</v>
      </c>
      <c r="F8" s="10" t="s">
        <v>4648</v>
      </c>
    </row>
    <row r="9" customFormat="false" ht="15" hidden="false" customHeight="false" outlineLevel="0" collapsed="false">
      <c r="A9" s="12" t="s">
        <v>4669</v>
      </c>
      <c r="B9" s="12" t="s">
        <v>4670</v>
      </c>
      <c r="C9" s="12" t="s">
        <v>4658</v>
      </c>
      <c r="D9" s="12" t="s">
        <v>4646</v>
      </c>
      <c r="E9" s="12" t="s">
        <v>4671</v>
      </c>
      <c r="F9" s="12" t="s">
        <v>4655</v>
      </c>
    </row>
    <row r="10" customFormat="false" ht="15" hidden="false" customHeight="false" outlineLevel="0" collapsed="false">
      <c r="A10" s="10" t="s">
        <v>4672</v>
      </c>
      <c r="B10" s="10" t="s">
        <v>4673</v>
      </c>
      <c r="C10" s="10" t="s">
        <v>4658</v>
      </c>
      <c r="D10" s="10" t="s">
        <v>4646</v>
      </c>
      <c r="E10" s="10" t="s">
        <v>4674</v>
      </c>
      <c r="F10" s="10" t="s">
        <v>4675</v>
      </c>
    </row>
    <row r="11" customFormat="false" ht="15" hidden="false" customHeight="false" outlineLevel="0" collapsed="false">
      <c r="A11" s="12" t="s">
        <v>4676</v>
      </c>
      <c r="B11" s="12" t="s">
        <v>4677</v>
      </c>
      <c r="C11" s="12" t="s">
        <v>4678</v>
      </c>
      <c r="D11" s="12" t="s">
        <v>4646</v>
      </c>
      <c r="E11" s="12" t="s">
        <v>4679</v>
      </c>
      <c r="F11" s="12" t="s">
        <v>4680</v>
      </c>
    </row>
    <row r="12" customFormat="false" ht="15" hidden="false" customHeight="false" outlineLevel="0" collapsed="false">
      <c r="A12" s="10" t="s">
        <v>4681</v>
      </c>
      <c r="B12" s="10" t="s">
        <v>4682</v>
      </c>
      <c r="C12" s="10" t="s">
        <v>4678</v>
      </c>
      <c r="D12" s="10" t="s">
        <v>4646</v>
      </c>
      <c r="E12" s="10" t="s">
        <v>4683</v>
      </c>
      <c r="F12" s="10" t="s">
        <v>4655</v>
      </c>
    </row>
    <row r="13" customFormat="false" ht="15" hidden="false" customHeight="false" outlineLevel="0" collapsed="false">
      <c r="A13" s="12" t="s">
        <v>4684</v>
      </c>
      <c r="B13" s="12" t="s">
        <v>4685</v>
      </c>
      <c r="C13" s="12" t="s">
        <v>4678</v>
      </c>
      <c r="D13" s="12" t="s">
        <v>4646</v>
      </c>
      <c r="E13" s="12" t="s">
        <v>4686</v>
      </c>
      <c r="F13" s="12" t="s">
        <v>4687</v>
      </c>
    </row>
    <row r="14" customFormat="false" ht="15" hidden="false" customHeight="false" outlineLevel="0" collapsed="false">
      <c r="A14" s="10" t="s">
        <v>4688</v>
      </c>
      <c r="B14" s="10" t="s">
        <v>4689</v>
      </c>
      <c r="C14" s="10" t="s">
        <v>4678</v>
      </c>
      <c r="D14" s="10" t="s">
        <v>4646</v>
      </c>
      <c r="E14" s="10" t="s">
        <v>54</v>
      </c>
      <c r="F14" s="10" t="s">
        <v>4687</v>
      </c>
    </row>
    <row r="15" customFormat="false" ht="15" hidden="false" customHeight="false" outlineLevel="0" collapsed="false">
      <c r="A15" s="12" t="s">
        <v>4690</v>
      </c>
      <c r="B15" s="12" t="s">
        <v>4691</v>
      </c>
      <c r="C15" s="12" t="s">
        <v>4678</v>
      </c>
      <c r="D15" s="12" t="s">
        <v>4646</v>
      </c>
      <c r="E15" s="12" t="s">
        <v>4692</v>
      </c>
      <c r="F15" s="12" t="s">
        <v>4655</v>
      </c>
    </row>
    <row r="16" customFormat="false" ht="15" hidden="false" customHeight="false" outlineLevel="0" collapsed="false">
      <c r="A16" s="10" t="s">
        <v>4693</v>
      </c>
      <c r="B16" s="10" t="s">
        <v>4694</v>
      </c>
      <c r="C16" s="10" t="s">
        <v>4678</v>
      </c>
      <c r="D16" s="10" t="s">
        <v>4646</v>
      </c>
      <c r="E16" s="10" t="s">
        <v>4401</v>
      </c>
      <c r="F16" s="10" t="s">
        <v>4648</v>
      </c>
    </row>
    <row r="17" customFormat="false" ht="15" hidden="false" customHeight="false" outlineLevel="0" collapsed="false">
      <c r="A17" s="12" t="s">
        <v>4695</v>
      </c>
      <c r="B17" s="12" t="s">
        <v>4696</v>
      </c>
      <c r="C17" s="12" t="s">
        <v>4678</v>
      </c>
      <c r="D17" s="12" t="s">
        <v>4646</v>
      </c>
      <c r="E17" s="12" t="s">
        <v>4697</v>
      </c>
      <c r="F17" s="12" t="s">
        <v>4648</v>
      </c>
    </row>
    <row r="18" customFormat="false" ht="15" hidden="false" customHeight="false" outlineLevel="0" collapsed="false">
      <c r="A18" s="10" t="s">
        <v>4698</v>
      </c>
      <c r="B18" s="10" t="s">
        <v>4699</v>
      </c>
      <c r="C18" s="10" t="s">
        <v>4678</v>
      </c>
      <c r="D18" s="10" t="s">
        <v>4646</v>
      </c>
      <c r="E18" s="10" t="s">
        <v>4445</v>
      </c>
      <c r="F18" s="10" t="s">
        <v>4655</v>
      </c>
    </row>
    <row r="19" customFormat="false" ht="15" hidden="false" customHeight="false" outlineLevel="0" collapsed="false">
      <c r="A19" s="12" t="s">
        <v>4700</v>
      </c>
      <c r="B19" s="12" t="s">
        <v>4701</v>
      </c>
      <c r="C19" s="12" t="s">
        <v>3939</v>
      </c>
      <c r="D19" s="12" t="s">
        <v>4646</v>
      </c>
      <c r="E19" s="12" t="s">
        <v>4702</v>
      </c>
      <c r="F19" s="12" t="s">
        <v>4663</v>
      </c>
    </row>
    <row r="20" customFormat="false" ht="15" hidden="false" customHeight="false" outlineLevel="0" collapsed="false">
      <c r="A20" s="10" t="s">
        <v>4703</v>
      </c>
      <c r="B20" s="10" t="s">
        <v>4704</v>
      </c>
      <c r="C20" s="10" t="s">
        <v>3939</v>
      </c>
      <c r="D20" s="10" t="s">
        <v>4646</v>
      </c>
      <c r="E20" s="10" t="s">
        <v>4705</v>
      </c>
      <c r="F20" s="10" t="s">
        <v>4648</v>
      </c>
    </row>
    <row r="21" customFormat="false" ht="15" hidden="false" customHeight="false" outlineLevel="0" collapsed="false">
      <c r="A21" s="12" t="s">
        <v>4706</v>
      </c>
      <c r="B21" s="12" t="s">
        <v>4707</v>
      </c>
      <c r="C21" s="12" t="s">
        <v>3939</v>
      </c>
      <c r="D21" s="12" t="s">
        <v>4646</v>
      </c>
      <c r="E21" s="12" t="s">
        <v>78</v>
      </c>
      <c r="F21" s="12" t="s">
        <v>4648</v>
      </c>
    </row>
    <row r="22" customFormat="false" ht="15" hidden="false" customHeight="false" outlineLevel="0" collapsed="false">
      <c r="A22" s="10" t="s">
        <v>4708</v>
      </c>
      <c r="B22" s="10" t="s">
        <v>4709</v>
      </c>
      <c r="C22" s="10" t="s">
        <v>3939</v>
      </c>
      <c r="D22" s="10" t="s">
        <v>4646</v>
      </c>
      <c r="E22" s="10" t="s">
        <v>4710</v>
      </c>
      <c r="F22" s="10" t="s">
        <v>4655</v>
      </c>
    </row>
    <row r="23" customFormat="false" ht="15" hidden="false" customHeight="false" outlineLevel="0" collapsed="false">
      <c r="A23" s="12" t="s">
        <v>4711</v>
      </c>
      <c r="B23" s="12" t="s">
        <v>4712</v>
      </c>
      <c r="C23" s="12" t="s">
        <v>4426</v>
      </c>
      <c r="D23" s="12" t="s">
        <v>4646</v>
      </c>
      <c r="E23" s="12" t="s">
        <v>4713</v>
      </c>
      <c r="F23" s="12" t="s">
        <v>4655</v>
      </c>
    </row>
    <row r="24" customFormat="false" ht="15" hidden="false" customHeight="false" outlineLevel="0" collapsed="false">
      <c r="A24" s="10" t="s">
        <v>4714</v>
      </c>
      <c r="B24" s="10" t="s">
        <v>4715</v>
      </c>
      <c r="C24" s="10" t="s">
        <v>4426</v>
      </c>
      <c r="D24" s="10" t="s">
        <v>4646</v>
      </c>
      <c r="E24" s="10" t="s">
        <v>4716</v>
      </c>
      <c r="F24" s="10" t="s">
        <v>4648</v>
      </c>
    </row>
    <row r="25" customFormat="false" ht="15" hidden="false" customHeight="false" outlineLevel="0" collapsed="false">
      <c r="A25" s="12" t="s">
        <v>4717</v>
      </c>
      <c r="B25" s="12" t="s">
        <v>4718</v>
      </c>
      <c r="C25" s="12" t="s">
        <v>4426</v>
      </c>
      <c r="D25" s="12" t="s">
        <v>4646</v>
      </c>
      <c r="E25" s="12" t="s">
        <v>4719</v>
      </c>
      <c r="F25" s="12" t="s">
        <v>4663</v>
      </c>
    </row>
    <row r="26" customFormat="false" ht="15" hidden="false" customHeight="false" outlineLevel="0" collapsed="false">
      <c r="A26" s="10" t="s">
        <v>4720</v>
      </c>
      <c r="B26" s="10" t="s">
        <v>4721</v>
      </c>
      <c r="C26" s="10" t="s">
        <v>4426</v>
      </c>
      <c r="D26" s="10" t="s">
        <v>4646</v>
      </c>
      <c r="E26" s="10" t="s">
        <v>4445</v>
      </c>
      <c r="F26" s="10" t="s">
        <v>4655</v>
      </c>
    </row>
    <row r="27" customFormat="false" ht="22.35" hidden="false" customHeight="false" outlineLevel="0" collapsed="false">
      <c r="A27" s="12" t="s">
        <v>4722</v>
      </c>
      <c r="B27" s="12" t="s">
        <v>4723</v>
      </c>
      <c r="C27" s="12" t="s">
        <v>4426</v>
      </c>
      <c r="D27" s="12" t="s">
        <v>4646</v>
      </c>
      <c r="E27" s="12" t="s">
        <v>4724</v>
      </c>
      <c r="F27" s="12" t="s">
        <v>4725</v>
      </c>
    </row>
    <row r="28" customFormat="false" ht="15" hidden="false" customHeight="false" outlineLevel="0" collapsed="false">
      <c r="A28" s="10" t="s">
        <v>4726</v>
      </c>
      <c r="B28" s="10" t="s">
        <v>4727</v>
      </c>
      <c r="C28" s="10" t="s">
        <v>4426</v>
      </c>
      <c r="D28" s="10" t="s">
        <v>4646</v>
      </c>
      <c r="E28" s="10" t="s">
        <v>4724</v>
      </c>
      <c r="F28" s="10" t="s">
        <v>4728</v>
      </c>
    </row>
    <row r="29" customFormat="false" ht="15" hidden="false" customHeight="false" outlineLevel="0" collapsed="false">
      <c r="A29" s="12" t="s">
        <v>4729</v>
      </c>
      <c r="B29" s="12" t="s">
        <v>4730</v>
      </c>
      <c r="C29" s="12" t="s">
        <v>4426</v>
      </c>
      <c r="D29" s="12" t="s">
        <v>4646</v>
      </c>
      <c r="E29" s="12" t="s">
        <v>4731</v>
      </c>
      <c r="F29" s="12" t="s">
        <v>4655</v>
      </c>
    </row>
    <row r="30" customFormat="false" ht="15" hidden="false" customHeight="false" outlineLevel="0" collapsed="false">
      <c r="A30" s="10" t="s">
        <v>4732</v>
      </c>
      <c r="B30" s="10" t="s">
        <v>4733</v>
      </c>
      <c r="C30" s="10" t="s">
        <v>4426</v>
      </c>
      <c r="D30" s="10" t="s">
        <v>4646</v>
      </c>
      <c r="E30" s="10" t="s">
        <v>4734</v>
      </c>
      <c r="F30" s="10" t="s">
        <v>4655</v>
      </c>
    </row>
    <row r="31" customFormat="false" ht="15" hidden="false" customHeight="false" outlineLevel="0" collapsed="false">
      <c r="A31" s="12" t="s">
        <v>4735</v>
      </c>
      <c r="B31" s="12" t="s">
        <v>4736</v>
      </c>
      <c r="C31" s="12" t="s">
        <v>4737</v>
      </c>
      <c r="D31" s="12" t="s">
        <v>4646</v>
      </c>
      <c r="E31" s="12" t="s">
        <v>93</v>
      </c>
      <c r="F31" s="12" t="s">
        <v>4648</v>
      </c>
    </row>
    <row r="32" customFormat="false" ht="15" hidden="false" customHeight="false" outlineLevel="0" collapsed="false">
      <c r="A32" s="10" t="s">
        <v>4738</v>
      </c>
      <c r="B32" s="10" t="s">
        <v>4739</v>
      </c>
      <c r="C32" s="10" t="s">
        <v>4737</v>
      </c>
      <c r="D32" s="10" t="s">
        <v>4646</v>
      </c>
      <c r="E32" s="10" t="s">
        <v>4740</v>
      </c>
      <c r="F32" s="10" t="s">
        <v>4648</v>
      </c>
    </row>
    <row r="33" customFormat="false" ht="15" hidden="false" customHeight="false" outlineLevel="0" collapsed="false">
      <c r="A33" s="12" t="s">
        <v>4741</v>
      </c>
      <c r="B33" s="12" t="s">
        <v>4742</v>
      </c>
      <c r="C33" s="12" t="s">
        <v>4743</v>
      </c>
      <c r="D33" s="12" t="s">
        <v>4646</v>
      </c>
      <c r="E33" s="12" t="s">
        <v>4744</v>
      </c>
      <c r="F33" s="12" t="s">
        <v>4648</v>
      </c>
    </row>
    <row r="34" customFormat="false" ht="15" hidden="false" customHeight="false" outlineLevel="0" collapsed="false">
      <c r="A34" s="10" t="s">
        <v>4745</v>
      </c>
      <c r="B34" s="10" t="s">
        <v>4746</v>
      </c>
      <c r="C34" s="10" t="s">
        <v>4743</v>
      </c>
      <c r="D34" s="10" t="s">
        <v>4646</v>
      </c>
      <c r="E34" s="10" t="s">
        <v>170</v>
      </c>
      <c r="F34" s="10" t="s">
        <v>4655</v>
      </c>
    </row>
    <row r="35" customFormat="false" ht="15" hidden="false" customHeight="false" outlineLevel="0" collapsed="false">
      <c r="A35" s="12" t="s">
        <v>4747</v>
      </c>
      <c r="B35" s="12" t="s">
        <v>4748</v>
      </c>
      <c r="C35" s="12" t="s">
        <v>4743</v>
      </c>
      <c r="D35" s="12" t="s">
        <v>4646</v>
      </c>
      <c r="E35" s="12" t="s">
        <v>170</v>
      </c>
      <c r="F35" s="12" t="s">
        <v>4749</v>
      </c>
    </row>
    <row r="36" customFormat="false" ht="15" hidden="false" customHeight="false" outlineLevel="0" collapsed="false">
      <c r="A36" s="10" t="s">
        <v>4750</v>
      </c>
      <c r="B36" s="10" t="s">
        <v>3653</v>
      </c>
      <c r="C36" s="10" t="s">
        <v>4743</v>
      </c>
      <c r="D36" s="10" t="s">
        <v>4646</v>
      </c>
      <c r="E36" s="10" t="s">
        <v>170</v>
      </c>
      <c r="F36" s="10" t="s">
        <v>4655</v>
      </c>
    </row>
    <row r="37" customFormat="false" ht="15" hidden="false" customHeight="false" outlineLevel="0" collapsed="false">
      <c r="A37" s="12" t="s">
        <v>4751</v>
      </c>
      <c r="B37" s="12" t="s">
        <v>4752</v>
      </c>
      <c r="C37" s="12" t="s">
        <v>4743</v>
      </c>
      <c r="D37" s="12" t="s">
        <v>4646</v>
      </c>
      <c r="E37" s="12" t="s">
        <v>137</v>
      </c>
      <c r="F37" s="12" t="s">
        <v>4648</v>
      </c>
    </row>
    <row r="38" customFormat="false" ht="15" hidden="false" customHeight="false" outlineLevel="0" collapsed="false">
      <c r="A38" s="10" t="s">
        <v>4753</v>
      </c>
      <c r="B38" s="10" t="s">
        <v>4754</v>
      </c>
      <c r="C38" s="10" t="s">
        <v>4755</v>
      </c>
      <c r="D38" s="10" t="s">
        <v>4646</v>
      </c>
      <c r="E38" s="10" t="s">
        <v>175</v>
      </c>
      <c r="F38" s="10" t="s">
        <v>4655</v>
      </c>
    </row>
    <row r="39" customFormat="false" ht="15" hidden="false" customHeight="false" outlineLevel="0" collapsed="false">
      <c r="A39" s="12" t="s">
        <v>4756</v>
      </c>
      <c r="B39" s="12" t="s">
        <v>4757</v>
      </c>
      <c r="C39" s="12" t="s">
        <v>4755</v>
      </c>
      <c r="D39" s="12" t="s">
        <v>4646</v>
      </c>
      <c r="E39" s="12" t="s">
        <v>4758</v>
      </c>
      <c r="F39" s="12" t="s">
        <v>4655</v>
      </c>
    </row>
    <row r="40" customFormat="false" ht="15" hidden="false" customHeight="false" outlineLevel="0" collapsed="false">
      <c r="A40" s="10" t="s">
        <v>4759</v>
      </c>
      <c r="B40" s="10" t="s">
        <v>4760</v>
      </c>
      <c r="C40" s="10" t="s">
        <v>4755</v>
      </c>
      <c r="D40" s="10" t="s">
        <v>4646</v>
      </c>
      <c r="E40" s="10" t="s">
        <v>4409</v>
      </c>
      <c r="F40" s="10" t="s">
        <v>4663</v>
      </c>
    </row>
    <row r="41" customFormat="false" ht="15" hidden="false" customHeight="false" outlineLevel="0" collapsed="false">
      <c r="A41" s="12" t="s">
        <v>4761</v>
      </c>
      <c r="B41" s="12" t="s">
        <v>4762</v>
      </c>
      <c r="C41" s="12" t="s">
        <v>4755</v>
      </c>
      <c r="D41" s="12" t="s">
        <v>4646</v>
      </c>
      <c r="E41" s="12" t="s">
        <v>127</v>
      </c>
      <c r="F41" s="12" t="s">
        <v>4648</v>
      </c>
    </row>
    <row r="42" customFormat="false" ht="15" hidden="false" customHeight="false" outlineLevel="0" collapsed="false">
      <c r="A42" s="10" t="s">
        <v>4763</v>
      </c>
      <c r="B42" s="10" t="s">
        <v>4764</v>
      </c>
      <c r="C42" s="10" t="s">
        <v>4765</v>
      </c>
      <c r="D42" s="10" t="s">
        <v>4646</v>
      </c>
      <c r="E42" s="10" t="s">
        <v>149</v>
      </c>
      <c r="F42" s="10" t="s">
        <v>4648</v>
      </c>
    </row>
    <row r="43" customFormat="false" ht="15" hidden="false" customHeight="false" outlineLevel="0" collapsed="false">
      <c r="A43" s="12" t="s">
        <v>4766</v>
      </c>
      <c r="B43" s="12" t="s">
        <v>4767</v>
      </c>
      <c r="C43" s="12" t="s">
        <v>4765</v>
      </c>
      <c r="D43" s="12" t="s">
        <v>4646</v>
      </c>
      <c r="E43" s="12" t="s">
        <v>137</v>
      </c>
      <c r="F43" s="12" t="s">
        <v>4648</v>
      </c>
    </row>
    <row r="44" customFormat="false" ht="15" hidden="false" customHeight="false" outlineLevel="0" collapsed="false">
      <c r="A44" s="10" t="s">
        <v>4768</v>
      </c>
      <c r="B44" s="10" t="s">
        <v>4769</v>
      </c>
      <c r="C44" s="10" t="s">
        <v>4765</v>
      </c>
      <c r="D44" s="10" t="s">
        <v>4646</v>
      </c>
      <c r="E44" s="10" t="s">
        <v>145</v>
      </c>
      <c r="F44" s="10" t="s">
        <v>4648</v>
      </c>
    </row>
    <row r="45" customFormat="false" ht="15" hidden="false" customHeight="false" outlineLevel="0" collapsed="false">
      <c r="A45" s="12" t="s">
        <v>4770</v>
      </c>
      <c r="B45" s="12" t="s">
        <v>4771</v>
      </c>
      <c r="C45" s="12" t="s">
        <v>4772</v>
      </c>
      <c r="D45" s="12" t="s">
        <v>4646</v>
      </c>
      <c r="E45" s="12" t="s">
        <v>4773</v>
      </c>
      <c r="F45" s="12" t="s">
        <v>4655</v>
      </c>
    </row>
    <row r="46" customFormat="false" ht="15" hidden="false" customHeight="false" outlineLevel="0" collapsed="false">
      <c r="A46" s="10" t="s">
        <v>4774</v>
      </c>
      <c r="B46" s="10" t="s">
        <v>4775</v>
      </c>
      <c r="C46" s="10" t="s">
        <v>4776</v>
      </c>
      <c r="D46" s="10" t="s">
        <v>4646</v>
      </c>
      <c r="E46" s="10" t="s">
        <v>4777</v>
      </c>
      <c r="F46" s="10" t="s">
        <v>4648</v>
      </c>
    </row>
    <row r="47" customFormat="false" ht="15" hidden="false" customHeight="false" outlineLevel="0" collapsed="false">
      <c r="A47" s="12" t="s">
        <v>4778</v>
      </c>
      <c r="B47" s="12" t="s">
        <v>4779</v>
      </c>
      <c r="C47" s="12" t="s">
        <v>4438</v>
      </c>
      <c r="D47" s="12" t="s">
        <v>4646</v>
      </c>
      <c r="E47" s="12" t="s">
        <v>4780</v>
      </c>
      <c r="F47" s="12" t="s">
        <v>4655</v>
      </c>
    </row>
    <row r="48" customFormat="false" ht="15" hidden="false" customHeight="false" outlineLevel="0" collapsed="false">
      <c r="A48" s="10" t="s">
        <v>4781</v>
      </c>
      <c r="B48" s="10" t="s">
        <v>4782</v>
      </c>
      <c r="C48" s="10" t="s">
        <v>4438</v>
      </c>
      <c r="D48" s="10" t="s">
        <v>4646</v>
      </c>
      <c r="E48" s="10" t="s">
        <v>4783</v>
      </c>
      <c r="F48" s="10" t="s">
        <v>4655</v>
      </c>
    </row>
    <row r="49" customFormat="false" ht="15" hidden="false" customHeight="false" outlineLevel="0" collapsed="false">
      <c r="A49" s="12" t="s">
        <v>4784</v>
      </c>
      <c r="B49" s="12" t="s">
        <v>4785</v>
      </c>
      <c r="C49" s="12" t="s">
        <v>4786</v>
      </c>
      <c r="D49" s="12" t="s">
        <v>4646</v>
      </c>
      <c r="E49" s="12" t="s">
        <v>4787</v>
      </c>
      <c r="F49" s="12" t="s">
        <v>4788</v>
      </c>
    </row>
    <row r="50" customFormat="false" ht="15" hidden="false" customHeight="false" outlineLevel="0" collapsed="false">
      <c r="A50" s="10" t="s">
        <v>4789</v>
      </c>
      <c r="B50" s="10" t="s">
        <v>4790</v>
      </c>
      <c r="C50" s="10" t="s">
        <v>4786</v>
      </c>
      <c r="D50" s="10" t="s">
        <v>4646</v>
      </c>
      <c r="E50" s="10" t="s">
        <v>118</v>
      </c>
      <c r="F50" s="10" t="s">
        <v>4648</v>
      </c>
    </row>
    <row r="51" customFormat="false" ht="15" hidden="false" customHeight="false" outlineLevel="0" collapsed="false">
      <c r="A51" s="12" t="s">
        <v>4791</v>
      </c>
      <c r="B51" s="12" t="s">
        <v>4792</v>
      </c>
      <c r="C51" s="12" t="s">
        <v>3904</v>
      </c>
      <c r="D51" s="12" t="s">
        <v>4793</v>
      </c>
      <c r="E51" s="12" t="s">
        <v>4662</v>
      </c>
      <c r="F51" s="12" t="s">
        <v>4794</v>
      </c>
    </row>
    <row r="52" customFormat="false" ht="15" hidden="false" customHeight="false" outlineLevel="0" collapsed="false">
      <c r="A52" s="10" t="s">
        <v>4795</v>
      </c>
      <c r="B52" s="10" t="s">
        <v>4796</v>
      </c>
      <c r="C52" s="10" t="s">
        <v>3904</v>
      </c>
      <c r="D52" s="10" t="s">
        <v>4793</v>
      </c>
      <c r="E52" s="10" t="s">
        <v>4797</v>
      </c>
      <c r="F52" s="10" t="s">
        <v>4655</v>
      </c>
    </row>
    <row r="53" customFormat="false" ht="15" hidden="false" customHeight="false" outlineLevel="0" collapsed="false">
      <c r="A53" s="12" t="s">
        <v>4798</v>
      </c>
      <c r="B53" s="12" t="s">
        <v>4799</v>
      </c>
      <c r="C53" s="12" t="s">
        <v>3904</v>
      </c>
      <c r="D53" s="12" t="s">
        <v>4793</v>
      </c>
      <c r="E53" s="12" t="s">
        <v>4800</v>
      </c>
      <c r="F53" s="12" t="s">
        <v>4655</v>
      </c>
    </row>
    <row r="54" customFormat="false" ht="15" hidden="false" customHeight="false" outlineLevel="0" collapsed="false">
      <c r="A54" s="10" t="s">
        <v>4801</v>
      </c>
      <c r="B54" s="10" t="s">
        <v>4802</v>
      </c>
      <c r="C54" s="10" t="s">
        <v>3904</v>
      </c>
      <c r="D54" s="10" t="s">
        <v>4793</v>
      </c>
      <c r="E54" s="10" t="s">
        <v>4803</v>
      </c>
      <c r="F54" s="10" t="s">
        <v>4804</v>
      </c>
    </row>
    <row r="55" customFormat="false" ht="15" hidden="false" customHeight="false" outlineLevel="0" collapsed="false">
      <c r="A55" s="12" t="s">
        <v>4805</v>
      </c>
      <c r="B55" s="12" t="s">
        <v>4806</v>
      </c>
      <c r="C55" s="12" t="s">
        <v>3922</v>
      </c>
      <c r="D55" s="12" t="s">
        <v>4793</v>
      </c>
      <c r="E55" s="12" t="s">
        <v>54</v>
      </c>
      <c r="F55" s="12" t="s">
        <v>4648</v>
      </c>
    </row>
    <row r="56" customFormat="false" ht="15" hidden="false" customHeight="false" outlineLevel="0" collapsed="false">
      <c r="A56" s="10" t="s">
        <v>4807</v>
      </c>
      <c r="B56" s="10" t="s">
        <v>4808</v>
      </c>
      <c r="C56" s="10" t="s">
        <v>3922</v>
      </c>
      <c r="D56" s="10" t="s">
        <v>4793</v>
      </c>
      <c r="E56" s="10" t="s">
        <v>4686</v>
      </c>
      <c r="F56" s="10" t="s">
        <v>4648</v>
      </c>
    </row>
    <row r="57" customFormat="false" ht="15" hidden="false" customHeight="false" outlineLevel="0" collapsed="false">
      <c r="A57" s="12" t="s">
        <v>4809</v>
      </c>
      <c r="B57" s="12" t="s">
        <v>4810</v>
      </c>
      <c r="C57" s="12" t="s">
        <v>3922</v>
      </c>
      <c r="D57" s="12" t="s">
        <v>4793</v>
      </c>
      <c r="E57" s="12" t="s">
        <v>4811</v>
      </c>
      <c r="F57" s="12" t="s">
        <v>4655</v>
      </c>
    </row>
    <row r="58" customFormat="false" ht="15" hidden="false" customHeight="false" outlineLevel="0" collapsed="false">
      <c r="A58" s="10" t="s">
        <v>3892</v>
      </c>
      <c r="B58" s="10" t="s">
        <v>4812</v>
      </c>
      <c r="C58" s="10" t="s">
        <v>3922</v>
      </c>
      <c r="D58" s="10" t="s">
        <v>4793</v>
      </c>
      <c r="E58" s="10" t="s">
        <v>4692</v>
      </c>
      <c r="F58" s="10" t="s">
        <v>4655</v>
      </c>
    </row>
    <row r="59" customFormat="false" ht="15" hidden="false" customHeight="false" outlineLevel="0" collapsed="false">
      <c r="A59" s="12" t="s">
        <v>4813</v>
      </c>
      <c r="B59" s="12" t="s">
        <v>4814</v>
      </c>
      <c r="C59" s="12" t="s">
        <v>3922</v>
      </c>
      <c r="D59" s="12" t="s">
        <v>4793</v>
      </c>
      <c r="E59" s="12" t="s">
        <v>4359</v>
      </c>
      <c r="F59" s="12" t="s">
        <v>4663</v>
      </c>
    </row>
    <row r="60" customFormat="false" ht="15" hidden="false" customHeight="false" outlineLevel="0" collapsed="false">
      <c r="A60" s="10" t="s">
        <v>4815</v>
      </c>
      <c r="B60" s="10" t="s">
        <v>4816</v>
      </c>
      <c r="C60" s="10" t="s">
        <v>3922</v>
      </c>
      <c r="D60" s="10" t="s">
        <v>4793</v>
      </c>
      <c r="E60" s="10" t="s">
        <v>4817</v>
      </c>
      <c r="F60" s="10" t="s">
        <v>4655</v>
      </c>
    </row>
    <row r="61" customFormat="false" ht="15" hidden="false" customHeight="false" outlineLevel="0" collapsed="false">
      <c r="A61" s="12" t="s">
        <v>4818</v>
      </c>
      <c r="B61" s="12" t="s">
        <v>4677</v>
      </c>
      <c r="C61" s="12" t="s">
        <v>4819</v>
      </c>
      <c r="D61" s="12" t="s">
        <v>4793</v>
      </c>
      <c r="E61" s="12" t="s">
        <v>4679</v>
      </c>
      <c r="F61" s="12" t="s">
        <v>4663</v>
      </c>
    </row>
    <row r="62" customFormat="false" ht="15" hidden="false" customHeight="false" outlineLevel="0" collapsed="false">
      <c r="A62" s="10" t="s">
        <v>4820</v>
      </c>
      <c r="B62" s="10" t="s">
        <v>4821</v>
      </c>
      <c r="C62" s="10" t="s">
        <v>4819</v>
      </c>
      <c r="D62" s="10" t="s">
        <v>4793</v>
      </c>
      <c r="E62" s="10" t="s">
        <v>4683</v>
      </c>
      <c r="F62" s="10" t="s">
        <v>4655</v>
      </c>
    </row>
    <row r="63" customFormat="false" ht="15" hidden="false" customHeight="false" outlineLevel="0" collapsed="false">
      <c r="A63" s="12" t="s">
        <v>4822</v>
      </c>
      <c r="B63" s="12" t="s">
        <v>4823</v>
      </c>
      <c r="C63" s="12" t="s">
        <v>4819</v>
      </c>
      <c r="D63" s="12" t="s">
        <v>4793</v>
      </c>
      <c r="E63" s="12" t="s">
        <v>4824</v>
      </c>
      <c r="F63" s="12" t="s">
        <v>4655</v>
      </c>
    </row>
    <row r="64" customFormat="false" ht="15" hidden="false" customHeight="false" outlineLevel="0" collapsed="false">
      <c r="A64" s="10" t="s">
        <v>4825</v>
      </c>
      <c r="B64" s="10" t="s">
        <v>4826</v>
      </c>
      <c r="C64" s="10" t="s">
        <v>3939</v>
      </c>
      <c r="D64" s="10" t="s">
        <v>4793</v>
      </c>
      <c r="E64" s="10" t="s">
        <v>4827</v>
      </c>
      <c r="F64" s="10" t="s">
        <v>4648</v>
      </c>
    </row>
    <row r="65" customFormat="false" ht="15" hidden="false" customHeight="false" outlineLevel="0" collapsed="false">
      <c r="A65" s="12" t="s">
        <v>4828</v>
      </c>
      <c r="B65" s="12" t="s">
        <v>4829</v>
      </c>
      <c r="C65" s="12" t="s">
        <v>3939</v>
      </c>
      <c r="D65" s="12" t="s">
        <v>4793</v>
      </c>
      <c r="E65" s="12" t="s">
        <v>4830</v>
      </c>
      <c r="F65" s="12" t="s">
        <v>4831</v>
      </c>
    </row>
    <row r="66" customFormat="false" ht="15" hidden="false" customHeight="false" outlineLevel="0" collapsed="false">
      <c r="A66" s="10" t="s">
        <v>4832</v>
      </c>
      <c r="B66" s="10" t="s">
        <v>4833</v>
      </c>
      <c r="C66" s="10" t="s">
        <v>3939</v>
      </c>
      <c r="D66" s="10" t="s">
        <v>4793</v>
      </c>
      <c r="E66" s="10" t="s">
        <v>4705</v>
      </c>
      <c r="F66" s="10" t="s">
        <v>4648</v>
      </c>
    </row>
    <row r="67" customFormat="false" ht="15" hidden="false" customHeight="false" outlineLevel="0" collapsed="false">
      <c r="A67" s="12" t="s">
        <v>3845</v>
      </c>
      <c r="B67" s="12" t="s">
        <v>4834</v>
      </c>
      <c r="C67" s="12" t="s">
        <v>3939</v>
      </c>
      <c r="D67" s="12" t="s">
        <v>4793</v>
      </c>
      <c r="E67" s="12" t="s">
        <v>4835</v>
      </c>
      <c r="F67" s="12" t="s">
        <v>4836</v>
      </c>
    </row>
    <row r="68" customFormat="false" ht="15" hidden="false" customHeight="false" outlineLevel="0" collapsed="false">
      <c r="A68" s="10" t="s">
        <v>4837</v>
      </c>
      <c r="B68" s="10" t="s">
        <v>4838</v>
      </c>
      <c r="C68" s="10" t="s">
        <v>3939</v>
      </c>
      <c r="D68" s="10" t="s">
        <v>4793</v>
      </c>
      <c r="E68" s="10" t="s">
        <v>4380</v>
      </c>
      <c r="F68" s="10" t="s">
        <v>4839</v>
      </c>
    </row>
    <row r="69" customFormat="false" ht="15" hidden="false" customHeight="false" outlineLevel="0" collapsed="false">
      <c r="A69" s="12" t="s">
        <v>4840</v>
      </c>
      <c r="B69" s="12" t="s">
        <v>4841</v>
      </c>
      <c r="C69" s="12" t="s">
        <v>3939</v>
      </c>
      <c r="D69" s="12" t="s">
        <v>4793</v>
      </c>
      <c r="E69" s="12" t="s">
        <v>78</v>
      </c>
      <c r="F69" s="12" t="s">
        <v>4648</v>
      </c>
    </row>
    <row r="70" customFormat="false" ht="15" hidden="false" customHeight="false" outlineLevel="0" collapsed="false">
      <c r="A70" s="10" t="s">
        <v>4842</v>
      </c>
      <c r="B70" s="10" t="s">
        <v>4843</v>
      </c>
      <c r="C70" s="10" t="s">
        <v>3939</v>
      </c>
      <c r="D70" s="10" t="s">
        <v>4793</v>
      </c>
      <c r="E70" s="10" t="s">
        <v>4396</v>
      </c>
      <c r="F70" s="10" t="s">
        <v>4655</v>
      </c>
    </row>
    <row r="71" customFormat="false" ht="15" hidden="false" customHeight="false" outlineLevel="0" collapsed="false">
      <c r="A71" s="12" t="s">
        <v>3850</v>
      </c>
      <c r="B71" s="12" t="s">
        <v>4844</v>
      </c>
      <c r="C71" s="12" t="s">
        <v>4371</v>
      </c>
      <c r="D71" s="12" t="s">
        <v>4793</v>
      </c>
      <c r="E71" s="12" t="s">
        <v>4697</v>
      </c>
      <c r="F71" s="12" t="s">
        <v>4648</v>
      </c>
    </row>
    <row r="72" customFormat="false" ht="15" hidden="false" customHeight="false" outlineLevel="0" collapsed="false">
      <c r="A72" s="10" t="s">
        <v>4845</v>
      </c>
      <c r="B72" s="10" t="s">
        <v>4846</v>
      </c>
      <c r="C72" s="10" t="s">
        <v>4371</v>
      </c>
      <c r="D72" s="10" t="s">
        <v>4793</v>
      </c>
      <c r="E72" s="10" t="s">
        <v>4847</v>
      </c>
      <c r="F72" s="10" t="s">
        <v>4663</v>
      </c>
    </row>
    <row r="73" customFormat="false" ht="15" hidden="false" customHeight="false" outlineLevel="0" collapsed="false">
      <c r="A73" s="12" t="s">
        <v>3856</v>
      </c>
      <c r="B73" s="12" t="s">
        <v>4848</v>
      </c>
      <c r="C73" s="12" t="s">
        <v>3966</v>
      </c>
      <c r="D73" s="12" t="s">
        <v>4793</v>
      </c>
      <c r="E73" s="12" t="s">
        <v>4401</v>
      </c>
      <c r="F73" s="12" t="s">
        <v>4648</v>
      </c>
    </row>
    <row r="74" customFormat="false" ht="15" hidden="false" customHeight="false" outlineLevel="0" collapsed="false">
      <c r="A74" s="10" t="s">
        <v>4849</v>
      </c>
      <c r="B74" s="10" t="s">
        <v>4715</v>
      </c>
      <c r="C74" s="10" t="s">
        <v>4426</v>
      </c>
      <c r="D74" s="10" t="s">
        <v>4793</v>
      </c>
      <c r="E74" s="10" t="s">
        <v>4716</v>
      </c>
      <c r="F74" s="10" t="s">
        <v>4648</v>
      </c>
    </row>
    <row r="75" customFormat="false" ht="15" hidden="false" customHeight="false" outlineLevel="0" collapsed="false">
      <c r="A75" s="12" t="s">
        <v>4850</v>
      </c>
      <c r="B75" s="12" t="s">
        <v>4718</v>
      </c>
      <c r="C75" s="12" t="s">
        <v>4426</v>
      </c>
      <c r="D75" s="12" t="s">
        <v>4793</v>
      </c>
      <c r="E75" s="12" t="s">
        <v>4851</v>
      </c>
      <c r="F75" s="12" t="s">
        <v>4655</v>
      </c>
    </row>
    <row r="76" customFormat="false" ht="15" hidden="false" customHeight="false" outlineLevel="0" collapsed="false">
      <c r="A76" s="10" t="s">
        <v>3861</v>
      </c>
      <c r="B76" s="10" t="s">
        <v>4736</v>
      </c>
      <c r="C76" s="10" t="s">
        <v>3971</v>
      </c>
      <c r="D76" s="10" t="s">
        <v>4793</v>
      </c>
      <c r="E76" s="10" t="s">
        <v>4852</v>
      </c>
      <c r="F76" s="10" t="s">
        <v>4648</v>
      </c>
    </row>
    <row r="77" customFormat="false" ht="15" hidden="false" customHeight="false" outlineLevel="0" collapsed="false">
      <c r="A77" s="12" t="s">
        <v>4853</v>
      </c>
      <c r="B77" s="12" t="s">
        <v>4854</v>
      </c>
      <c r="C77" s="12" t="s">
        <v>3971</v>
      </c>
      <c r="D77" s="12" t="s">
        <v>4793</v>
      </c>
      <c r="E77" s="12" t="s">
        <v>4855</v>
      </c>
      <c r="F77" s="12" t="s">
        <v>4648</v>
      </c>
    </row>
    <row r="78" customFormat="false" ht="15" hidden="false" customHeight="false" outlineLevel="0" collapsed="false">
      <c r="A78" s="10" t="s">
        <v>4856</v>
      </c>
      <c r="B78" s="10" t="s">
        <v>4857</v>
      </c>
      <c r="C78" s="10" t="s">
        <v>3971</v>
      </c>
      <c r="D78" s="10" t="s">
        <v>4793</v>
      </c>
      <c r="E78" s="10" t="s">
        <v>4740</v>
      </c>
      <c r="F78" s="10" t="s">
        <v>4648</v>
      </c>
    </row>
    <row r="79" customFormat="false" ht="15" hidden="false" customHeight="false" outlineLevel="0" collapsed="false">
      <c r="A79" s="12" t="s">
        <v>3881</v>
      </c>
      <c r="B79" s="12" t="s">
        <v>4858</v>
      </c>
      <c r="C79" s="12" t="s">
        <v>3975</v>
      </c>
      <c r="D79" s="12" t="s">
        <v>4793</v>
      </c>
      <c r="E79" s="12" t="s">
        <v>4734</v>
      </c>
      <c r="F79" s="12" t="s">
        <v>4655</v>
      </c>
    </row>
    <row r="80" customFormat="false" ht="15" hidden="false" customHeight="false" outlineLevel="0" collapsed="false">
      <c r="A80" s="10" t="s">
        <v>3873</v>
      </c>
      <c r="B80" s="10" t="s">
        <v>4859</v>
      </c>
      <c r="C80" s="10" t="s">
        <v>3975</v>
      </c>
      <c r="D80" s="10" t="s">
        <v>4793</v>
      </c>
      <c r="E80" s="10" t="s">
        <v>127</v>
      </c>
      <c r="F80" s="10" t="s">
        <v>4648</v>
      </c>
    </row>
    <row r="81" customFormat="false" ht="15" hidden="false" customHeight="false" outlineLevel="0" collapsed="false">
      <c r="A81" s="12" t="s">
        <v>4860</v>
      </c>
      <c r="B81" s="12" t="s">
        <v>4861</v>
      </c>
      <c r="C81" s="12" t="s">
        <v>3980</v>
      </c>
      <c r="D81" s="12" t="s">
        <v>4793</v>
      </c>
      <c r="E81" s="12" t="s">
        <v>4862</v>
      </c>
      <c r="F81" s="12" t="s">
        <v>4663</v>
      </c>
    </row>
    <row r="82" customFormat="false" ht="15" hidden="false" customHeight="false" outlineLevel="0" collapsed="false">
      <c r="A82" s="10" t="s">
        <v>4863</v>
      </c>
      <c r="B82" s="10" t="s">
        <v>4864</v>
      </c>
      <c r="C82" s="10" t="s">
        <v>3980</v>
      </c>
      <c r="D82" s="10" t="s">
        <v>4793</v>
      </c>
      <c r="E82" s="10" t="s">
        <v>4421</v>
      </c>
      <c r="F82" s="10" t="s">
        <v>4663</v>
      </c>
    </row>
    <row r="83" customFormat="false" ht="15" hidden="false" customHeight="false" outlineLevel="0" collapsed="false">
      <c r="A83" s="12" t="s">
        <v>4865</v>
      </c>
      <c r="B83" s="12" t="s">
        <v>4866</v>
      </c>
      <c r="C83" s="12" t="s">
        <v>3998</v>
      </c>
      <c r="D83" s="12" t="s">
        <v>4793</v>
      </c>
      <c r="E83" s="12" t="s">
        <v>167</v>
      </c>
      <c r="F83" s="12" t="s">
        <v>4648</v>
      </c>
    </row>
    <row r="84" customFormat="false" ht="15" hidden="false" customHeight="false" outlineLevel="0" collapsed="false">
      <c r="A84" s="10" t="s">
        <v>3886</v>
      </c>
      <c r="B84" s="10" t="s">
        <v>4742</v>
      </c>
      <c r="C84" s="10" t="s">
        <v>3998</v>
      </c>
      <c r="D84" s="10" t="s">
        <v>4793</v>
      </c>
      <c r="E84" s="10" t="s">
        <v>4867</v>
      </c>
      <c r="F84" s="10" t="s">
        <v>4663</v>
      </c>
    </row>
    <row r="85" customFormat="false" ht="15" hidden="false" customHeight="false" outlineLevel="0" collapsed="false">
      <c r="A85" s="12" t="s">
        <v>4868</v>
      </c>
      <c r="B85" s="12" t="s">
        <v>4869</v>
      </c>
      <c r="C85" s="12" t="s">
        <v>4870</v>
      </c>
      <c r="D85" s="12" t="s">
        <v>4793</v>
      </c>
      <c r="E85" s="12" t="s">
        <v>4871</v>
      </c>
      <c r="F85" s="12" t="s">
        <v>4663</v>
      </c>
    </row>
    <row r="86" customFormat="false" ht="15" hidden="false" customHeight="false" outlineLevel="0" collapsed="false">
      <c r="A86" s="10" t="s">
        <v>4872</v>
      </c>
      <c r="B86" s="10" t="s">
        <v>4873</v>
      </c>
      <c r="C86" s="10" t="s">
        <v>4870</v>
      </c>
      <c r="D86" s="10" t="s">
        <v>4793</v>
      </c>
      <c r="E86" s="10" t="s">
        <v>4674</v>
      </c>
      <c r="F86" s="10" t="s">
        <v>4675</v>
      </c>
    </row>
    <row r="87" customFormat="false" ht="15" hidden="false" customHeight="false" outlineLevel="0" collapsed="false">
      <c r="A87" s="12" t="s">
        <v>4874</v>
      </c>
      <c r="B87" s="12" t="s">
        <v>4875</v>
      </c>
      <c r="C87" s="12" t="s">
        <v>4876</v>
      </c>
      <c r="D87" s="12" t="s">
        <v>4793</v>
      </c>
      <c r="E87" s="12" t="s">
        <v>137</v>
      </c>
      <c r="F87" s="12" t="s">
        <v>4648</v>
      </c>
    </row>
    <row r="88" customFormat="false" ht="15" hidden="false" customHeight="false" outlineLevel="0" collapsed="false">
      <c r="A88" s="10" t="s">
        <v>4877</v>
      </c>
      <c r="B88" s="10" t="s">
        <v>4752</v>
      </c>
      <c r="C88" s="10" t="s">
        <v>4876</v>
      </c>
      <c r="D88" s="10" t="s">
        <v>4793</v>
      </c>
      <c r="E88" s="10" t="s">
        <v>4878</v>
      </c>
      <c r="F88" s="10" t="s">
        <v>4663</v>
      </c>
    </row>
    <row r="89" customFormat="false" ht="15" hidden="false" customHeight="false" outlineLevel="0" collapsed="false">
      <c r="A89" s="12" t="s">
        <v>4879</v>
      </c>
      <c r="B89" s="12" t="s">
        <v>4880</v>
      </c>
      <c r="C89" s="12" t="s">
        <v>4876</v>
      </c>
      <c r="D89" s="12" t="s">
        <v>4793</v>
      </c>
      <c r="E89" s="12" t="s">
        <v>145</v>
      </c>
      <c r="F89" s="12" t="s">
        <v>4648</v>
      </c>
    </row>
    <row r="90" customFormat="false" ht="15" hidden="false" customHeight="false" outlineLevel="0" collapsed="false">
      <c r="A90" s="10" t="s">
        <v>4881</v>
      </c>
      <c r="B90" s="10" t="s">
        <v>4882</v>
      </c>
      <c r="C90" s="10" t="s">
        <v>4883</v>
      </c>
      <c r="D90" s="10" t="s">
        <v>4793</v>
      </c>
      <c r="E90" s="10" t="s">
        <v>149</v>
      </c>
      <c r="F90" s="10" t="s">
        <v>4648</v>
      </c>
    </row>
    <row r="91" customFormat="false" ht="15" hidden="false" customHeight="false" outlineLevel="0" collapsed="false">
      <c r="A91" s="12" t="s">
        <v>4884</v>
      </c>
      <c r="B91" s="12" t="s">
        <v>4885</v>
      </c>
      <c r="C91" s="12" t="s">
        <v>4886</v>
      </c>
      <c r="D91" s="12" t="s">
        <v>4793</v>
      </c>
      <c r="E91" s="12" t="s">
        <v>153</v>
      </c>
      <c r="F91" s="12" t="s">
        <v>4648</v>
      </c>
    </row>
    <row r="92" customFormat="false" ht="15" hidden="false" customHeight="false" outlineLevel="0" collapsed="false">
      <c r="A92" s="10" t="s">
        <v>4887</v>
      </c>
      <c r="B92" s="10" t="s">
        <v>4888</v>
      </c>
      <c r="C92" s="10" t="s">
        <v>3990</v>
      </c>
      <c r="D92" s="10" t="s">
        <v>4793</v>
      </c>
      <c r="E92" s="10" t="s">
        <v>118</v>
      </c>
      <c r="F92" s="10" t="s">
        <v>4648</v>
      </c>
    </row>
    <row r="93" customFormat="false" ht="15" hidden="false" customHeight="false" outlineLevel="0" collapsed="false">
      <c r="A93" s="12" t="s">
        <v>4889</v>
      </c>
      <c r="B93" s="12" t="s">
        <v>4890</v>
      </c>
      <c r="C93" s="12" t="s">
        <v>3990</v>
      </c>
      <c r="D93" s="12" t="s">
        <v>4793</v>
      </c>
      <c r="E93" s="12" t="s">
        <v>4433</v>
      </c>
      <c r="F93" s="12" t="s">
        <v>4655</v>
      </c>
    </row>
    <row r="94" customFormat="false" ht="15" hidden="false" customHeight="false" outlineLevel="0" collapsed="false">
      <c r="A94" s="10" t="s">
        <v>4891</v>
      </c>
      <c r="B94" s="10" t="s">
        <v>4892</v>
      </c>
      <c r="C94" s="10" t="s">
        <v>3985</v>
      </c>
      <c r="D94" s="10" t="s">
        <v>4793</v>
      </c>
      <c r="E94" s="10" t="s">
        <v>4893</v>
      </c>
      <c r="F94" s="10" t="s">
        <v>4655</v>
      </c>
    </row>
    <row r="96" customFormat="false" ht="27.75" hidden="false" customHeight="true" outlineLevel="0" collapsed="false">
      <c r="A96" s="14" t="s">
        <v>4894</v>
      </c>
      <c r="B96" s="14"/>
      <c r="C96" s="14"/>
      <c r="D96" s="14"/>
      <c r="E96" s="14"/>
      <c r="F96" s="14"/>
    </row>
  </sheetData>
  <mergeCells count="1">
    <mergeCell ref="A96:F9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4" min="3" style="0" width="96"/>
    <col collapsed="false" customWidth="true" hidden="false" outlineLevel="0" max="5" min="5" style="0" width="18"/>
  </cols>
  <sheetData>
    <row r="1" customFormat="false" ht="30" hidden="false" customHeight="true" outlineLevel="0" collapsed="false">
      <c r="A1" s="8" t="s">
        <v>268</v>
      </c>
      <c r="B1" s="8" t="s">
        <v>4895</v>
      </c>
      <c r="C1" s="8" t="s">
        <v>4896</v>
      </c>
      <c r="D1" s="8" t="s">
        <v>4897</v>
      </c>
      <c r="E1" s="8" t="s">
        <v>4898</v>
      </c>
    </row>
    <row r="2" customFormat="false" ht="22.35" hidden="false" customHeight="false" outlineLevel="0" collapsed="false">
      <c r="A2" s="10" t="s">
        <v>4899</v>
      </c>
      <c r="B2" s="10" t="s">
        <v>4900</v>
      </c>
      <c r="C2" s="10" t="s">
        <v>4901</v>
      </c>
      <c r="D2" s="10" t="s">
        <v>4902</v>
      </c>
      <c r="E2" s="10" t="s">
        <v>412</v>
      </c>
    </row>
    <row r="3" customFormat="false" ht="22.35" hidden="false" customHeight="false" outlineLevel="0" collapsed="false">
      <c r="A3" s="12" t="s">
        <v>4899</v>
      </c>
      <c r="B3" s="12" t="s">
        <v>4903</v>
      </c>
      <c r="C3" s="12" t="s">
        <v>4904</v>
      </c>
      <c r="D3" s="12" t="s">
        <v>4905</v>
      </c>
      <c r="E3" s="12" t="s">
        <v>1229</v>
      </c>
    </row>
    <row r="4" customFormat="false" ht="22.35" hidden="false" customHeight="false" outlineLevel="0" collapsed="false">
      <c r="A4" s="10" t="s">
        <v>4899</v>
      </c>
      <c r="B4" s="10" t="s">
        <v>4903</v>
      </c>
      <c r="C4" s="10" t="s">
        <v>4906</v>
      </c>
      <c r="D4" s="10" t="s">
        <v>4907</v>
      </c>
      <c r="E4" s="10" t="s">
        <v>3060</v>
      </c>
    </row>
    <row r="5" customFormat="false" ht="22.35" hidden="false" customHeight="false" outlineLevel="0" collapsed="false">
      <c r="A5" s="12" t="s">
        <v>4899</v>
      </c>
      <c r="B5" s="12" t="s">
        <v>4787</v>
      </c>
      <c r="C5" s="12" t="s">
        <v>4908</v>
      </c>
      <c r="D5" s="12" t="s">
        <v>4909</v>
      </c>
      <c r="E5" s="12" t="s">
        <v>4910</v>
      </c>
    </row>
    <row r="6" customFormat="false" ht="22.35" hidden="false" customHeight="false" outlineLevel="0" collapsed="false">
      <c r="A6" s="10" t="s">
        <v>4911</v>
      </c>
      <c r="B6" s="10" t="s">
        <v>4912</v>
      </c>
      <c r="C6" s="10" t="s">
        <v>4913</v>
      </c>
      <c r="D6" s="10" t="s">
        <v>4914</v>
      </c>
      <c r="E6" s="10" t="s">
        <v>3060</v>
      </c>
    </row>
    <row r="7" customFormat="false" ht="22.35" hidden="false" customHeight="false" outlineLevel="0" collapsed="false">
      <c r="A7" s="12" t="s">
        <v>4911</v>
      </c>
      <c r="B7" s="12" t="s">
        <v>4659</v>
      </c>
      <c r="C7" s="12" t="s">
        <v>4915</v>
      </c>
      <c r="D7" s="12" t="s">
        <v>4916</v>
      </c>
      <c r="E7" s="12" t="s">
        <v>4917</v>
      </c>
    </row>
    <row r="8" customFormat="false" ht="22.35" hidden="false" customHeight="false" outlineLevel="0" collapsed="false">
      <c r="A8" s="10" t="s">
        <v>4911</v>
      </c>
      <c r="B8" s="10" t="s">
        <v>4803</v>
      </c>
      <c r="C8" s="10" t="s">
        <v>4918</v>
      </c>
      <c r="D8" s="10" t="s">
        <v>4919</v>
      </c>
      <c r="E8" s="10" t="s">
        <v>4920</v>
      </c>
    </row>
    <row r="9" customFormat="false" ht="22.35" hidden="false" customHeight="false" outlineLevel="0" collapsed="false">
      <c r="A9" s="12" t="s">
        <v>4911</v>
      </c>
      <c r="B9" s="12" t="s">
        <v>4921</v>
      </c>
      <c r="C9" s="12" t="s">
        <v>4922</v>
      </c>
      <c r="D9" s="12" t="s">
        <v>4923</v>
      </c>
      <c r="E9" s="12" t="s">
        <v>3111</v>
      </c>
    </row>
    <row r="10" customFormat="false" ht="15" hidden="false" customHeight="false" outlineLevel="0" collapsed="false">
      <c r="A10" s="10" t="s">
        <v>4911</v>
      </c>
      <c r="B10" s="10" t="s">
        <v>4924</v>
      </c>
      <c r="C10" s="10" t="s">
        <v>4925</v>
      </c>
      <c r="D10" s="10" t="s">
        <v>4926</v>
      </c>
      <c r="E10" s="10" t="s">
        <v>4927</v>
      </c>
    </row>
    <row r="11" customFormat="false" ht="15" hidden="false" customHeight="false" outlineLevel="0" collapsed="false">
      <c r="A11" s="12" t="s">
        <v>4911</v>
      </c>
      <c r="B11" s="12" t="s">
        <v>4351</v>
      </c>
      <c r="C11" s="12" t="s">
        <v>4928</v>
      </c>
      <c r="D11" s="12" t="s">
        <v>4929</v>
      </c>
      <c r="E11" s="12" t="s">
        <v>3176</v>
      </c>
    </row>
    <row r="12" customFormat="false" ht="22.35" hidden="false" customHeight="false" outlineLevel="0" collapsed="false">
      <c r="A12" s="10" t="s">
        <v>4911</v>
      </c>
      <c r="B12" s="10" t="s">
        <v>4930</v>
      </c>
      <c r="C12" s="10" t="s">
        <v>4931</v>
      </c>
      <c r="D12" s="10" t="s">
        <v>4932</v>
      </c>
      <c r="E12" s="10" t="s">
        <v>4933</v>
      </c>
    </row>
    <row r="13" customFormat="false" ht="15" hidden="false" customHeight="false" outlineLevel="0" collapsed="false">
      <c r="A13" s="12" t="s">
        <v>4911</v>
      </c>
      <c r="B13" s="12" t="s">
        <v>2454</v>
      </c>
      <c r="C13" s="12" t="s">
        <v>4934</v>
      </c>
      <c r="D13" s="12" t="s">
        <v>4935</v>
      </c>
      <c r="E13" s="12" t="s">
        <v>1396</v>
      </c>
    </row>
    <row r="14" customFormat="false" ht="15" hidden="false" customHeight="false" outlineLevel="0" collapsed="false">
      <c r="A14" s="10" t="s">
        <v>4911</v>
      </c>
      <c r="B14" s="10" t="s">
        <v>525</v>
      </c>
      <c r="C14" s="10" t="s">
        <v>4936</v>
      </c>
      <c r="D14" s="10" t="s">
        <v>4937</v>
      </c>
      <c r="E14" s="10" t="s">
        <v>2493</v>
      </c>
    </row>
    <row r="15" customFormat="false" ht="22.35" hidden="false" customHeight="false" outlineLevel="0" collapsed="false">
      <c r="A15" s="12" t="s">
        <v>4911</v>
      </c>
      <c r="B15" s="12" t="s">
        <v>4938</v>
      </c>
      <c r="C15" s="12" t="s">
        <v>4939</v>
      </c>
      <c r="D15" s="12" t="s">
        <v>4940</v>
      </c>
      <c r="E15" s="12" t="s">
        <v>4941</v>
      </c>
    </row>
    <row r="16" customFormat="false" ht="22.35" hidden="false" customHeight="false" outlineLevel="0" collapsed="false">
      <c r="A16" s="10" t="s">
        <v>4911</v>
      </c>
      <c r="B16" s="10" t="s">
        <v>4942</v>
      </c>
      <c r="C16" s="10" t="s">
        <v>4943</v>
      </c>
      <c r="D16" s="10" t="s">
        <v>4944</v>
      </c>
      <c r="E16" s="10" t="s">
        <v>4945</v>
      </c>
    </row>
    <row r="17" customFormat="false" ht="15" hidden="false" customHeight="false" outlineLevel="0" collapsed="false">
      <c r="A17" s="12" t="s">
        <v>4911</v>
      </c>
      <c r="B17" s="12" t="s">
        <v>4946</v>
      </c>
      <c r="C17" s="12" t="s">
        <v>4947</v>
      </c>
      <c r="D17" s="12" t="s">
        <v>4948</v>
      </c>
      <c r="E17" s="12"/>
    </row>
    <row r="18" customFormat="false" ht="15" hidden="false" customHeight="false" outlineLevel="0" collapsed="false">
      <c r="A18" s="10" t="s">
        <v>2952</v>
      </c>
      <c r="B18" s="10" t="s">
        <v>4949</v>
      </c>
      <c r="C18" s="10" t="s">
        <v>4950</v>
      </c>
      <c r="D18" s="10" t="s">
        <v>4951</v>
      </c>
      <c r="E18" s="10"/>
    </row>
    <row r="20" customFormat="false" ht="27.75" hidden="false" customHeight="true" outlineLevel="0" collapsed="false">
      <c r="A20" s="14" t="s">
        <v>4952</v>
      </c>
      <c r="B20" s="14"/>
      <c r="C20" s="14"/>
      <c r="D20" s="14"/>
      <c r="E20" s="14"/>
    </row>
  </sheetData>
  <mergeCells count="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2026-09-11T14:02:28Z</dcterms:created>
  <dc:creator>openpyxl</dc:creator>
  <dc:description/>
  <dc:language>en-US</dc:language>
  <cp:lastModifiedBy/>
  <dcterms:modified xsi:type="dcterms:W3CDTF">2026-09-15T02:08:22Z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