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Read_Me" sheetId="1" r:id="rId5"/>
    <sheet state="visible" name="01_Sheet_Index" sheetId="2" r:id="rId6"/>
    <sheet state="visible" name="02_Process_Architecture" sheetId="3" r:id="rId7"/>
    <sheet state="visible" name="03_Process_Inventory" sheetId="4" r:id="rId8"/>
    <sheet state="visible" name="04_Process_Steps" sheetId="5" r:id="rId9"/>
    <sheet state="visible" name="05_Swimlane_Maps" sheetId="6" r:id="rId10"/>
    <sheet state="visible" name="06_Data_Dictionary" sheetId="7" r:id="rId11"/>
    <sheet state="visible" name="07_Screens" sheetId="8" r:id="rId12"/>
    <sheet state="visible" name="08_Form_Fields" sheetId="9" r:id="rId13"/>
    <sheet state="visible" name="09_Business_Rules" sheetId="10" r:id="rId14"/>
    <sheet state="visible" name="10_Config_Tables" sheetId="11" r:id="rId15"/>
    <sheet state="visible" name="11_State_Machines" sheetId="12" r:id="rId16"/>
    <sheet state="visible" name="12_Events" sheetId="13" r:id="rId17"/>
    <sheet state="visible" name="13_API_and_Tools" sheetId="14" r:id="rId18"/>
    <sheet state="visible" name="14_Agents" sheetId="15" r:id="rId19"/>
    <sheet state="visible" name="15_Integration_Flows" sheetId="16" r:id="rId20"/>
    <sheet state="visible" name="16_Reuse_Register" sheetId="17" r:id="rId21"/>
    <sheet state="visible" name="17_Traceability" sheetId="18" r:id="rId22"/>
    <sheet state="visible" name="19_Test_Cases" sheetId="19" r:id="rId23"/>
    <sheet state="visible" name="18_Build_Backlog" sheetId="20" r:id="rId24"/>
    <sheet state="visible" name="20_NFR_and_DoD" sheetId="21" r:id="rId25"/>
    <sheet state="visible" name="21_Roles_and_RACI" sheetId="22" r:id="rId26"/>
    <sheet state="visible" name="22_Open_Decisions" sheetId="23" r:id="rId27"/>
  </sheets>
  <definedNames>
    <definedName hidden="1" localSheetId="0" name="_xlnm._FilterDatabase">'00_Read_Me'!$A$4:$B$39</definedName>
    <definedName hidden="1" localSheetId="1" name="_xlnm._FilterDatabase">'01_Sheet_Index'!$A$4:$D$27</definedName>
    <definedName hidden="1" localSheetId="2" name="_xlnm._FilterDatabase">'02_Process_Architecture'!$A$4:$E$43</definedName>
    <definedName hidden="1" localSheetId="3" name="_xlnm._FilterDatabase">'03_Process_Inventory'!$A$4:$L$111</definedName>
    <definedName hidden="1" localSheetId="4" name="_xlnm._FilterDatabase">'04_Process_Steps'!$A$4:$P$312</definedName>
    <definedName hidden="1" localSheetId="5" name="_xlnm._FilterDatabase">'05_Swimlane_Maps'!$A$4:$J$101</definedName>
    <definedName hidden="1" localSheetId="6" name="_xlnm._FilterDatabase">'06_Data_Dictionary'!$A$4:$J$111</definedName>
    <definedName hidden="1" localSheetId="7" name="_xlnm._FilterDatabase">'07_Screens'!$A$4:$J$62</definedName>
    <definedName hidden="1" localSheetId="8" name="_xlnm._FilterDatabase">'08_Form_Fields'!$A$4:$J$92</definedName>
    <definedName hidden="1" localSheetId="9" name="_xlnm._FilterDatabase">'09_Business_Rules'!$A$4:$G$257</definedName>
    <definedName hidden="1" localSheetId="10" name="_xlnm._FilterDatabase">'10_Config_Tables'!$A$4:$F$22</definedName>
    <definedName hidden="1" localSheetId="11" name="_xlnm._FilterDatabase">'11_State_Machines'!$A$4:$H$64</definedName>
    <definedName hidden="1" localSheetId="12" name="_xlnm._FilterDatabase">'12_Events'!$A$4:$F$46</definedName>
    <definedName hidden="1" localSheetId="13" name="_xlnm._FilterDatabase">'13_API_and_Tools'!$A$4:$I$34</definedName>
    <definedName hidden="1" localSheetId="14" name="_xlnm._FilterDatabase">'14_Agents'!$A$4:$H$14</definedName>
    <definedName hidden="1" localSheetId="15" name="_xlnm._FilterDatabase">'15_Integration_Flows'!$A$4:$H$16</definedName>
    <definedName hidden="1" localSheetId="16" name="_xlnm._FilterDatabase">'16_Reuse_Register'!$A$4:$G$16</definedName>
    <definedName hidden="1" localSheetId="17" name="_xlnm._FilterDatabase">'17_Traceability'!$A$4:$I$30</definedName>
    <definedName hidden="1" localSheetId="18" name="_xlnm._FilterDatabase">'19_Test_Cases'!$A$4:$G$62</definedName>
    <definedName hidden="1" localSheetId="19" name="_xlnm._FilterDatabase">'18_Build_Backlog'!$A$4:$I$88</definedName>
    <definedName hidden="1" localSheetId="20" name="_xlnm._FilterDatabase">'20_NFR_and_DoD'!$A$4:$E$22</definedName>
    <definedName hidden="1" localSheetId="21" name="_xlnm._FilterDatabase">'21_Roles_and_RACI'!$A$4:$F$16</definedName>
    <definedName hidden="1" localSheetId="22" name="_xlnm._FilterDatabase">'22_Open_Decisions'!$A$4:$G$18</definedName>
  </definedNames>
  <calcPr/>
</workbook>
</file>

<file path=xl/sharedStrings.xml><?xml version="1.0" encoding="utf-8"?>
<sst xmlns="http://schemas.openxmlformats.org/spreadsheetml/2006/main" count="12190" uniqueCount="5843">
  <si>
    <t>SHEET INDEX</t>
  </si>
  <si>
    <t>NUCLEUS — PROCESS FLOWS &amp; PROCESS MAPS</t>
  </si>
  <si>
    <t>PROCESS ARCHITECTURE — LEVEL 0 AND LEVEL 1</t>
  </si>
  <si>
    <t>What each sheet holds, who it is for, and when to open it.</t>
  </si>
  <si>
    <t>Nucleus HRMS · Process Flows &amp; Process Maps v1.0 · aligned to Blueprint v1.1 and Demo Dataset v1.0 · MKraft Capability Solutions LLP · Confidential</t>
  </si>
  <si>
    <t>The value chain, the fourteen process domains and the seams between them. Domain prefixes here are used by every other sheet.</t>
  </si>
  <si>
    <t>Sheet</t>
  </si>
  <si>
    <t>Topic</t>
  </si>
  <si>
    <t>ID / prefix</t>
  </si>
  <si>
    <t>What it holds</t>
  </si>
  <si>
    <t>Detail</t>
  </si>
  <si>
    <t>Primary audience</t>
  </si>
  <si>
    <t>Open it when</t>
  </si>
  <si>
    <t>Name</t>
  </si>
  <si>
    <t>PURPOSE</t>
  </si>
  <si>
    <t>Scope</t>
  </si>
  <si>
    <t>00_Read_Me</t>
  </si>
  <si>
    <t>Blueprint reference</t>
  </si>
  <si>
    <t>Phase / tier</t>
  </si>
  <si>
    <t>§ LEVEL 0 — THE VALUE CHAIN</t>
  </si>
  <si>
    <t>What this workbook is</t>
  </si>
  <si>
    <t>Purpose, ID conventions, the anti-repeat-work rule, legend</t>
  </si>
  <si>
    <t>Everyone</t>
  </si>
  <si>
    <t>First</t>
  </si>
  <si>
    <t>01_Sheet_Index</t>
  </si>
  <si>
    <t>L0-1</t>
  </si>
  <si>
    <t>The build-side companion to the Nucleus Technical &amp; Functional Blueprint v1.1 and the Nucleus HRMS Demo Dataset v1.0. It converts the blueprint's prose specification into process flows, process maps, field-level data and form definitions, rule registries, state machines and a build sequence that a product manager, a developer or a QA engineer can work from without re-reading either source document.</t>
  </si>
  <si>
    <t>What it is not</t>
  </si>
  <si>
    <t>It does not restate the blueprint's reasoning, market benchmark or architecture rationale. Where a decision is already argued in the blueprint, this workbook cites the section and moves on. Both source documents remain intact and authoritative.</t>
  </si>
  <si>
    <t>This sheet</t>
  </si>
  <si>
    <t>PROCESS INVENTORY</t>
  </si>
  <si>
    <t>HIRE</t>
  </si>
  <si>
    <t>Relationship to the two source files</t>
  </si>
  <si>
    <t>Sanctioned strength to requisition to candidate to offer to accepted</t>
  </si>
  <si>
    <t>Navigation</t>
  </si>
  <si>
    <t>Blueprint v1.1 = the WHAT and WHY. This workbook = the HOW, in sequence, with every field and form named. Demo Dataset v1.0 = the worked example and the expected results. Every process step, rule and field in here carries a pointer back to one or both.</t>
  </si>
  <si>
    <t>TAL, PPL</t>
  </si>
  <si>
    <t>02_Process_Architecture</t>
  </si>
  <si>
    <t>R2</t>
  </si>
  <si>
    <t>Level 0 value chain and Level 1 domain map with domain prefixes and owning modules</t>
  </si>
  <si>
    <t>HOW TO USE IT</t>
  </si>
  <si>
    <t>Product, architecture</t>
  </si>
  <si>
    <t>Orientation, scope arguments</t>
  </si>
  <si>
    <t>Product managers</t>
  </si>
  <si>
    <t>L0-2</t>
  </si>
  <si>
    <t>Every process in the product, with its trigger, actors, criticality, phase, the shared components it reuses and the demo points it proves.</t>
  </si>
  <si>
    <t>03_Process_Inventory</t>
  </si>
  <si>
    <t>Start at 02_Process_Architecture, then 03_Process_Inventory. Use 17_Traceability to prove demo coverage and 18_Build_Backlog to sequence a sprint. Open decisions that block work are on 22_Open_Decisions.</t>
  </si>
  <si>
    <t>Every process: trigger, actors, frequency, criticality, module, phase, reused components, demo points</t>
  </si>
  <si>
    <t>Developers</t>
  </si>
  <si>
    <t>ONBOARD</t>
  </si>
  <si>
    <t>Product, engineering leads</t>
  </si>
  <si>
    <t>Sprint planning, ownership</t>
  </si>
  <si>
    <t>Start at 04_Process_Steps for the process you are building, then 06_Data_Dictionary for the objects it touches, 09_Business_Rules for the rule IDs its steps cite, and 11_State_Machines for the transitions you must guard. Check 16_Reuse_Register BEFORE writing anything that looks like an approval chain, a ledger, an eligibility check, a template render or a recompute.</t>
  </si>
  <si>
    <t>Offer accepted to person, assignment, statutory registration, forms, assets, induction</t>
  </si>
  <si>
    <t>Designers / front end</t>
  </si>
  <si>
    <t>04_Process_Steps</t>
  </si>
  <si>
    <t>LCY, PPL, CMP</t>
  </si>
  <si>
    <t>Process ID</t>
  </si>
  <si>
    <t>07_Screens and 08_Form_Fields carry every screen, every field, its validation and its persona. 21_Roles_and_RACI carries who sees what.</t>
  </si>
  <si>
    <t>Step-level flow for every process: actor, type, action, rules, objects and CRUD, screen, event, exception</t>
  </si>
  <si>
    <t>R1</t>
  </si>
  <si>
    <t>QA</t>
  </si>
  <si>
    <t>Developers, QA</t>
  </si>
  <si>
    <t>L0-3</t>
  </si>
  <si>
    <t>19_Test_Cases is seeded from the demo dataset's expected results. Every golden case names the employee record and the date from the dataset so the expected value is not invented here.</t>
  </si>
  <si>
    <t>Process</t>
  </si>
  <si>
    <t>Building or testing a process</t>
  </si>
  <si>
    <t>WORK</t>
  </si>
  <si>
    <t>Domain</t>
  </si>
  <si>
    <t>05_Swimlane_Maps</t>
  </si>
  <si>
    <t>Roster, punch, attendance day, leave, gate pass, overtime — the daily engine</t>
  </si>
  <si>
    <t>ID CONVENTIONS</t>
  </si>
  <si>
    <t>Column-per-lane maps for the nine flows that cross the most boundaries</t>
  </si>
  <si>
    <t>Trigger</t>
  </si>
  <si>
    <t>TIM, LVE</t>
  </si>
  <si>
    <t>Product, client demo, design</t>
  </si>
  <si>
    <t>Explaining a flow to a human</t>
  </si>
  <si>
    <t>Primary actor</t>
  </si>
  <si>
    <t>DOM-nn, e.g. TIM-02. Domain prefixes are listed on 02_Process_Architecture.</t>
  </si>
  <si>
    <t>06_Data_Dictionary</t>
  </si>
  <si>
    <t>Frequency</t>
  </si>
  <si>
    <t>L0-4</t>
  </si>
  <si>
    <t>Every object and every field: type, required, owner, temporality, PII class, dataset mapping</t>
  </si>
  <si>
    <t>Step ID</t>
  </si>
  <si>
    <t>PAY</t>
  </si>
  <si>
    <t>Criticality</t>
  </si>
  <si>
    <t>DOM-nn.s, e.g. TIM-02.4 is step 4 of process TIM-02.</t>
  </si>
  <si>
    <t>Developers, data</t>
  </si>
  <si>
    <t>Inputs locked, audited, computed, approved, disbursed, posted, reconciled</t>
  </si>
  <si>
    <t>Blueprint module</t>
  </si>
  <si>
    <t>Rule ID</t>
  </si>
  <si>
    <t>Schema and migration work</t>
  </si>
  <si>
    <t>PAY, FIN</t>
  </si>
  <si>
    <t>RL-nnn on 09_Business_Rules. Cited by process steps and by test cases.</t>
  </si>
  <si>
    <t>Phase</t>
  </si>
  <si>
    <t>07_Screens</t>
  </si>
  <si>
    <t>Reuses</t>
  </si>
  <si>
    <t>Object / field</t>
  </si>
  <si>
    <t>Screen and surface inventory: persona, platform, purpose, key actions, permissions, offline behaviour</t>
  </si>
  <si>
    <t>snake_case, matching the blueprint's object names exactly (person, assignment, attendance_day, leave_ledger...).</t>
  </si>
  <si>
    <t>Demo pts</t>
  </si>
  <si>
    <t>Design, front end</t>
  </si>
  <si>
    <t>L0-5</t>
  </si>
  <si>
    <t>Note</t>
  </si>
  <si>
    <t>Screen ID</t>
  </si>
  <si>
    <t>UI build</t>
  </si>
  <si>
    <t>COMPLY</t>
  </si>
  <si>
    <t>SCR-nnn on 07_Screens. Form field rows on 08_Form_Fields reference the screen ID.</t>
  </si>
  <si>
    <t>Rule packs, obligations, returns, registers, statutory forms, AI and data governance</t>
  </si>
  <si>
    <t>Event</t>
  </si>
  <si>
    <t>08_Form_Fields</t>
  </si>
  <si>
    <t>CMP</t>
  </si>
  <si>
    <t>domain.object.verb, past tense, e.g. time.attendance_day.recomputed.</t>
  </si>
  <si>
    <t>Field-level form specification: label, control, source, mandatory, validation, default, visibility</t>
  </si>
  <si>
    <t>§ PLATFORM &amp; FOUNDATIONS</t>
  </si>
  <si>
    <t>Component ID</t>
  </si>
  <si>
    <t>Design, front end, QA</t>
  </si>
  <si>
    <t>L0-6</t>
  </si>
  <si>
    <t>CMP-nn on 16_Reuse_Register — a shared component built once and consumed by many processes.</t>
  </si>
  <si>
    <t>Building or testing a form</t>
  </si>
  <si>
    <t>GROW</t>
  </si>
  <si>
    <t>Demo point</t>
  </si>
  <si>
    <t>Goals, reviews, skills, learning, capability index, recognition</t>
  </si>
  <si>
    <t>09_Business_Rules</t>
  </si>
  <si>
    <t>1-26, the client's own requirement numbering, carried unchanged from Annexure A of the blueprint and from the dataset.</t>
  </si>
  <si>
    <t>TAL, EXP</t>
  </si>
  <si>
    <t>Every rule with its parameters, default values, scope, consuming steps and test case</t>
  </si>
  <si>
    <t>R2/R3</t>
  </si>
  <si>
    <t>Developers, implementation consultants</t>
  </si>
  <si>
    <t>Any behaviour question</t>
  </si>
  <si>
    <t>THE ANTI-REPEAT-WORK RULE</t>
  </si>
  <si>
    <t>L0-7</t>
  </si>
  <si>
    <t>10_Config_Tables</t>
  </si>
  <si>
    <t>EXIT</t>
  </si>
  <si>
    <t>Read this before estimating anything</t>
  </si>
  <si>
    <t>Configuration table schemas with the client's actual values carried from the demo dataset</t>
  </si>
  <si>
    <t>Resignation, notice, clearance, F&amp;F on the last working day, alumni record</t>
  </si>
  <si>
    <t>Implementation, developers</t>
  </si>
  <si>
    <t>LCY, PAY</t>
  </si>
  <si>
    <t>Eleven capabilities in this product look like eleven features and are one component each: the approval chain, the ledger, the eligibility service, the recompute worker, the template renderer, the rule pack evaluator, the blocking-item lock, the scope resolver, the outbox, the effective-dated write and the tool surface. 16_Reuse_Register lists each with every process that consumes it. A story that re-implements one of these is a defect at design time, not a delivery. If a process step says 'reuses CMP-nn', the story is a configuration of that component, not a build.</t>
  </si>
  <si>
    <t>Seeding a tenant, writing config UI</t>
  </si>
  <si>
    <t>PLT-01</t>
  </si>
  <si>
    <t>Second-order effect</t>
  </si>
  <si>
    <t>11_State_Machines</t>
  </si>
  <si>
    <t>L0-8</t>
  </si>
  <si>
    <t>Estimates on 18_Build_Backlog assume the component exists. A backlog item whose component has not shipped yet carries the component as a dependency, not as hidden scope.</t>
  </si>
  <si>
    <t>States, guards, transitions and reversibility for every stateful object</t>
  </si>
  <si>
    <t>GOVERN</t>
  </si>
  <si>
    <t>Tenant provisioning</t>
  </si>
  <si>
    <t>Tenancy, identity, scope, workflow, audit, action ledger, analytics</t>
  </si>
  <si>
    <t>Workflow and status code</t>
  </si>
  <si>
    <t>LEGEND</t>
  </si>
  <si>
    <t>PLT, INT</t>
  </si>
  <si>
    <t>PLT</t>
  </si>
  <si>
    <t>12_Events</t>
  </si>
  <si>
    <t>Teal banded row</t>
  </si>
  <si>
    <t>Signed order / demo request</t>
  </si>
  <si>
    <t>Event catalogue: emitter, payload, consumers, idempotency key, retention</t>
  </si>
  <si>
    <t>Section header inside a sheet. Not data.</t>
  </si>
  <si>
    <t>Implementation consultant</t>
  </si>
  <si>
    <t>Step type</t>
  </si>
  <si>
    <t>Per client</t>
  </si>
  <si>
    <t>Anything asynchronous</t>
  </si>
  <si>
    <t>TASK (human does it) · SYS (system does it unattended) · DEC (decision / branch) · APPR (approval gate) · INT (integration call) · WAIT (timer or external event) · AGENT (agent-executed, governed).</t>
  </si>
  <si>
    <t>High</t>
  </si>
  <si>
    <t>13_API_and_Tools</t>
  </si>
  <si>
    <t>§ LEVEL 1 — DOMAINS AND THEIR PREFIXES</t>
  </si>
  <si>
    <t>REST surface and the governed agent tool surface, with permission and side-effect class</t>
  </si>
  <si>
    <t>Platform</t>
  </si>
  <si>
    <t>P0 Foundations (wk 1-8) · P1 Core HRMS (wk 9-24) · P2 Pilot &amp; intelligence (wk 25-40) · P3 Depth (wk 41-64) · P4 Scale (wk 65-96). Matches blueprint §13.</t>
  </si>
  <si>
    <t>Developers, integrations</t>
  </si>
  <si>
    <t>P0</t>
  </si>
  <si>
    <t>CRUD</t>
  </si>
  <si>
    <t>API and agent work</t>
  </si>
  <si>
    <t>CMP-09</t>
  </si>
  <si>
    <t>C create · R read · U update · D delete-by-end-dating. Nucleus never hard-deletes a temporal fact (blueprint §7.4).</t>
  </si>
  <si>
    <t>Platform &amp; Foundations</t>
  </si>
  <si>
    <t>14_Agents</t>
  </si>
  <si>
    <t>Blank cell</t>
  </si>
  <si>
    <t>Target: fully provisioned in under 30 minutes, automated (NFR).</t>
  </si>
  <si>
    <t>Agent catalogue, autonomy defaults, tools used, approval thresholds, ledger fields</t>
  </si>
  <si>
    <t>Tenancy, identity, scope resolution, config, workflow engine, events, audit, bi-temporal write</t>
  </si>
  <si>
    <t>Deliberately not applicable. Not an omission.</t>
  </si>
  <si>
    <t>Product, developers</t>
  </si>
  <si>
    <t>Platform (blueprint §7, §8)</t>
  </si>
  <si>
    <t>Intelligence layer</t>
  </si>
  <si>
    <t>PLT-02</t>
  </si>
  <si>
    <t>VERSION</t>
  </si>
  <si>
    <t>15_Integration_Flows</t>
  </si>
  <si>
    <t>PPL</t>
  </si>
  <si>
    <t>ERP inbound master, GL outbound, banks, devices, WhatsApp, e-sign: mechanism, cadence, reconciliation</t>
  </si>
  <si>
    <t>This workbook</t>
  </si>
  <si>
    <t>Integration engineer</t>
  </si>
  <si>
    <t>Identity, role and data-scope grant</t>
  </si>
  <si>
    <t>People Core</t>
  </si>
  <si>
    <t>Connector build</t>
  </si>
  <si>
    <t>Nucleus — Process Flows &amp; Process Maps v1.0, September 2026. Aligned to Blueprint v1.1 and Demo Dataset v1.0.</t>
  </si>
  <si>
    <t>Person, position, assignment, employment, org unit, worker class, documents, position control</t>
  </si>
  <si>
    <t>16_Reuse_Register</t>
  </si>
  <si>
    <t>User created or moved</t>
  </si>
  <si>
    <t>Revision rule</t>
  </si>
  <si>
    <t>The eleven shared components, what each owns and every process that consumes it</t>
  </si>
  <si>
    <t>Module 1</t>
  </si>
  <si>
    <t>Tenant admin</t>
  </si>
  <si>
    <t>Revise at each phase exit, alongside the blueprint, with what the build actually taught us (blueprint §16).</t>
  </si>
  <si>
    <t>Continuous</t>
  </si>
  <si>
    <t>P0/P1</t>
  </si>
  <si>
    <t>BEFORE estimating or building anything</t>
  </si>
  <si>
    <t>Critical</t>
  </si>
  <si>
    <t>TIM</t>
  </si>
  <si>
    <t>17_Traceability</t>
  </si>
  <si>
    <t>Platform §8</t>
  </si>
  <si>
    <t>Time &amp; Attendance</t>
  </si>
  <si>
    <t>26 demo points to process, module, screen, rule, dataset sheet, test case and phase</t>
  </si>
  <si>
    <t>Ingestion, day derivation, shift inference, disposition, gate pass, overtime, regularisation, recompute</t>
  </si>
  <si>
    <t>Product, client-facing</t>
  </si>
  <si>
    <t>CMP-08</t>
  </si>
  <si>
    <t>Module 2</t>
  </si>
  <si>
    <t>Proving coverage</t>
  </si>
  <si>
    <t>8</t>
  </si>
  <si>
    <t>P1</t>
  </si>
  <si>
    <t>18_Build_Backlog</t>
  </si>
  <si>
    <t>Entity + reporting line + LOCATION. Location scope is the v1.1 gap; retrofitting a permission model is unsafe.</t>
  </si>
  <si>
    <t>LVE</t>
  </si>
  <si>
    <t>Epic and story backlog with phase, effort, dependencies and definition of done</t>
  </si>
  <si>
    <t>Leave</t>
  </si>
  <si>
    <t>Delivery lead</t>
  </si>
  <si>
    <t>PLT-03</t>
  </si>
  <si>
    <t>Sequencing and tracking</t>
  </si>
  <si>
    <t>Accrual, proration, ledger, application, validation, approval, early return, comp-off, year end</t>
  </si>
  <si>
    <t>Configuration authoring and effective dating</t>
  </si>
  <si>
    <t>19_Test_Cases</t>
  </si>
  <si>
    <t>Policy change or implementation</t>
  </si>
  <si>
    <t>Golden cases from the demo dataset plus property tests and negative cases</t>
  </si>
  <si>
    <t>QA, payroll engineer</t>
  </si>
  <si>
    <t>Payroll</t>
  </si>
  <si>
    <t>Run types, snapshot, pre-audit, gross-to-net DAG, statutory, recovery, disbursement, payslip, rollback</t>
  </si>
  <si>
    <t>CMP-09, CMP-10</t>
  </si>
  <si>
    <t>Module 3</t>
  </si>
  <si>
    <t>2,3,4,7,12</t>
  </si>
  <si>
    <t>If a client rule needs a developer, it is a product gap (blueprint §15).</t>
  </si>
  <si>
    <t>PLT-04</t>
  </si>
  <si>
    <t>Workflow definition and versioning</t>
  </si>
  <si>
    <t>Test library</t>
  </si>
  <si>
    <t>Compliance</t>
  </si>
  <si>
    <t>New or changed process</t>
  </si>
  <si>
    <t>20_NFR_and_DoD</t>
  </si>
  <si>
    <t>Rule packs, obligation calendar, statutory forms and registers, Labour Codes simulation, AI and DPDP governance</t>
  </si>
  <si>
    <t>Non-functional targets with measurement method, and the definition of done per layer</t>
  </si>
  <si>
    <t>Occasional</t>
  </si>
  <si>
    <t>Module 6</t>
  </si>
  <si>
    <t>Engineering, QA</t>
  </si>
  <si>
    <t>Release gates</t>
  </si>
  <si>
    <t>P1/P2</t>
  </si>
  <si>
    <t>Module 5</t>
  </si>
  <si>
    <t>21_Roles_and_RACI</t>
  </si>
  <si>
    <t>LCY</t>
  </si>
  <si>
    <t>Personas, permission scope, and RACI across process domains</t>
  </si>
  <si>
    <t>CMP-01</t>
  </si>
  <si>
    <t>Lifecycle</t>
  </si>
  <si>
    <t>Product, security</t>
  </si>
  <si>
    <t>5,16</t>
  </si>
  <si>
    <t>Permission model and ownership</t>
  </si>
  <si>
    <t>Pre-boarding, joining, confirmation, promotion, transfer, resignation, clearance, F&amp;F, assets</t>
  </si>
  <si>
    <t>In-flight instances finish on the version they started under.</t>
  </si>
  <si>
    <t>22_Open_Decisions</t>
  </si>
  <si>
    <t>Decisions that gate work, with the phase they must close in and what they block</t>
  </si>
  <si>
    <t>PLT-05</t>
  </si>
  <si>
    <t>Deb, product lead</t>
  </si>
  <si>
    <t>Approval chain execution</t>
  </si>
  <si>
    <t>Weekly review</t>
  </si>
  <si>
    <t>SSV</t>
  </si>
  <si>
    <t>Any approvable request</t>
  </si>
  <si>
    <t>Self-service &amp; Helpdesk</t>
  </si>
  <si>
    <t>Approvers</t>
  </si>
  <si>
    <t>Employee and manager surfaces, WhatsApp channel, tickets, grounded policy assistant</t>
  </si>
  <si>
    <t>Modules 4, 7</t>
  </si>
  <si>
    <t>5,9,16,24</t>
  </si>
  <si>
    <t>CMB</t>
  </si>
  <si>
    <t>ONE engine. Leave, gate pass, loan, requisition, OT, regularisation, letters all consume it.</t>
  </si>
  <si>
    <t>Compensation, Loans &amp; Benefits</t>
  </si>
  <si>
    <t>PLT-06</t>
  </si>
  <si>
    <t>Audit and action ledger write</t>
  </si>
  <si>
    <t>Structures, revision cycle, loan eligibility, guarantors, sanction, recovery, EWA</t>
  </si>
  <si>
    <t>Any write or sensitive read</t>
  </si>
  <si>
    <t>Module 12</t>
  </si>
  <si>
    <t>System</t>
  </si>
  <si>
    <t>P1 (loans) / P3</t>
  </si>
  <si>
    <t>Platform §6.2, §8</t>
  </si>
  <si>
    <t>TAL</t>
  </si>
  <si>
    <t>CMP-06</t>
  </si>
  <si>
    <t>Talent</t>
  </si>
  <si>
    <t>Append-only. Agent identity is a dimension, not a separate log.</t>
  </si>
  <si>
    <t>Requisition and position control, candidate pipeline, referrals, goals and reviews, skills and learning</t>
  </si>
  <si>
    <t>PLT-07</t>
  </si>
  <si>
    <t>Modules 8, 9, 10</t>
  </si>
  <si>
    <t>Event publish and outbox relay</t>
  </si>
  <si>
    <t>P2/P3</t>
  </si>
  <si>
    <t>Any domain write</t>
  </si>
  <si>
    <t>CTG</t>
  </si>
  <si>
    <t>Contingent Workforce</t>
  </si>
  <si>
    <t>Platform §7.5</t>
  </si>
  <si>
    <t>Contractor engagement, sub-populations by worker class, gate attendance, invoice reconciliation</t>
  </si>
  <si>
    <t>CMP-07</t>
  </si>
  <si>
    <t>Module 13</t>
  </si>
  <si>
    <t>Transactional outbox. Transport is swappable without touching producers.</t>
  </si>
  <si>
    <t>PLT-08</t>
  </si>
  <si>
    <t>EXP</t>
  </si>
  <si>
    <t>Bi-temporal write and as-at read</t>
  </si>
  <si>
    <t>Experience</t>
  </si>
  <si>
    <t>Any temporal fact change</t>
  </si>
  <si>
    <t>Recognition, referral awards, announcements, letters and the issue register</t>
  </si>
  <si>
    <t>Module 15</t>
  </si>
  <si>
    <t>Platform §7.4</t>
  </si>
  <si>
    <t>P2</t>
  </si>
  <si>
    <t>CMP-10</t>
  </si>
  <si>
    <t>FIN</t>
  </si>
  <si>
    <t>5,7,12</t>
  </si>
  <si>
    <t>valid_from/to + recorded_from/to. Payroll and attendance recompute both depend on as-at reads.</t>
  </si>
  <si>
    <t>Finance &amp; ERP</t>
  </si>
  <si>
    <t>§ PEOPLE CORE</t>
  </si>
  <si>
    <t>Employee master inbound, GL mapping, salary journal, posting, reconciliation, bank file</t>
  </si>
  <si>
    <t>Blueprint §9</t>
  </si>
  <si>
    <t>INT</t>
  </si>
  <si>
    <t>Intelligence &amp; Agents</t>
  </si>
  <si>
    <t>Policy gate, tool surface, action ledger, analytics projections, predictive models</t>
  </si>
  <si>
    <t>PPL-01</t>
  </si>
  <si>
    <t>Blueprint §6</t>
  </si>
  <si>
    <t>Create person, position and assignment</t>
  </si>
  <si>
    <t>Offer accepted or data load</t>
  </si>
  <si>
    <t>HR ops</t>
  </si>
  <si>
    <t>Daily</t>
  </si>
  <si>
    <t>CMP-10, CMP-08</t>
  </si>
  <si>
    <t>§ LEVEL 1 — WHERE THE DOMAINS TOUCH (the seams that cause defects)</t>
  </si>
  <si>
    <t>22</t>
  </si>
  <si>
    <t>person survives rehire and entity transfer; assignment is what everything else references.</t>
  </si>
  <si>
    <t>PPL-02</t>
  </si>
  <si>
    <t>S-01</t>
  </si>
  <si>
    <t>Assignment change (effective-dated, retro-capable)</t>
  </si>
  <si>
    <t>TIM → PAY</t>
  </si>
  <si>
    <t>Grade, manager, location, cost centre, class change</t>
  </si>
  <si>
    <t>attendance_day totals and disposition are payroll inputs. A late recompute after INPUTS_LOCKED must raise an exception, never silently change a locked run.</t>
  </si>
  <si>
    <t>TIM-09, PAY-02</t>
  </si>
  <si>
    <t>Weekly</t>
  </si>
  <si>
    <t>S-02</t>
  </si>
  <si>
    <t>LVE → TIM</t>
  </si>
  <si>
    <t>CMP-10, CMP-01</t>
  </si>
  <si>
    <t>An approved leave day and a biometric punch on the same date is a conflict, resolved by RL-063 before disposition.</t>
  </si>
  <si>
    <t>LVE-04, TIM-05</t>
  </si>
  <si>
    <t>Retro changes after a closed payroll produce arrears, never a rewrite.</t>
  </si>
  <si>
    <t>PPL-03</t>
  </si>
  <si>
    <t>S-03</t>
  </si>
  <si>
    <t>Worker class and policy attribute resolution</t>
  </si>
  <si>
    <t>LVE → PAY</t>
  </si>
  <si>
    <t>Loss of pay, encashment and re-credit all move money. The ledger is the only source.</t>
  </si>
  <si>
    <t>Any time or pay computation</t>
  </si>
  <si>
    <t>LVE-08, PAY-04</t>
  </si>
  <si>
    <t>S-04</t>
  </si>
  <si>
    <t>PPL → TIM</t>
  </si>
  <si>
    <t>worker_class and its assignment-level overrides supply rest days, wage type and OT eligibility as at the attendance date, read bi-temporally.</t>
  </si>
  <si>
    <t>2,3,4</t>
  </si>
  <si>
    <t>PPL-03, TIM-04</t>
  </si>
  <si>
    <t>Class supplies the default; the assignment may override with a reason and a date.</t>
  </si>
  <si>
    <t>PPL-04</t>
  </si>
  <si>
    <t>S-05</t>
  </si>
  <si>
    <t>Position control and sanctioned strength</t>
  </si>
  <si>
    <t>CMB → PAY</t>
  </si>
  <si>
    <t>Loan eligibility and outstanding balance are owned by CMB; payroll only recovers and reports back.</t>
  </si>
  <si>
    <t>Budget approval or vacancy</t>
  </si>
  <si>
    <t>CMB-01, PAY-08</t>
  </si>
  <si>
    <t>HR / Finance</t>
  </si>
  <si>
    <t>Monthly</t>
  </si>
  <si>
    <t>S-06</t>
  </si>
  <si>
    <t>PAY → FIN</t>
  </si>
  <si>
    <t>P3</t>
  </si>
  <si>
    <t>One balanced, dimensioned journal per run per entity. Run type is a journal dimension.</t>
  </si>
  <si>
    <t>PAY-09, FIN-03</t>
  </si>
  <si>
    <t>24,25</t>
  </si>
  <si>
    <t>Actual, open and sanctioned are three readings of one structure.</t>
  </si>
  <si>
    <t>S-07</t>
  </si>
  <si>
    <t>PPL-05</t>
  </si>
  <si>
    <t>FIN → PPL</t>
  </si>
  <si>
    <t>Org unit change and reorganisation</t>
  </si>
  <si>
    <t>ERP-owned master fields are read-only in Nucleus. The ownership map is the referee.</t>
  </si>
  <si>
    <t>FIN-01, PPL-02</t>
  </si>
  <si>
    <t>Restructure</t>
  </si>
  <si>
    <t>S-08</t>
  </si>
  <si>
    <t>Medium</t>
  </si>
  <si>
    <t>LCY → PAY</t>
  </si>
  <si>
    <t>Clearance blocking items gate the F&amp;F run using the same lock semantics as the payroll input lock.</t>
  </si>
  <si>
    <t>LCY-06, PAY-12</t>
  </si>
  <si>
    <t>Effective-dated, so history survives the reorganisation.</t>
  </si>
  <si>
    <t>S-09</t>
  </si>
  <si>
    <t>TAL → PPL</t>
  </si>
  <si>
    <t>PPL-06</t>
  </si>
  <si>
    <t>A requisition consumes sanctioned strength unless it names a vacated position code.</t>
  </si>
  <si>
    <t>Document capture, classification and expiry</t>
  </si>
  <si>
    <t>TAL-01, PPL-04</t>
  </si>
  <si>
    <t>Upload</t>
  </si>
  <si>
    <t>Employee / HR</t>
  </si>
  <si>
    <t>S-10</t>
  </si>
  <si>
    <t>EXP → PAY</t>
  </si>
  <si>
    <t>Recognition and referral awards raise a payroll input in a named run, never a side payment.</t>
  </si>
  <si>
    <t>EXP-01, PAY-01</t>
  </si>
  <si>
    <t>26</t>
  </si>
  <si>
    <t>S-11</t>
  </si>
  <si>
    <t>Expiry tracking drives compliance nudges; storage is encrypted and tokenised.</t>
  </si>
  <si>
    <t>INT → all</t>
  </si>
  <si>
    <t>PPL-07</t>
  </si>
  <si>
    <t>Every agent action passes the same permission model, approval workflow and audit trail as a human action, plus an agent identity dimension.</t>
  </si>
  <si>
    <t>Rehire, entity transfer and class change</t>
  </si>
  <si>
    <t>INT-01, PLT-06</t>
  </si>
  <si>
    <t>Rejoin or transfer</t>
  </si>
  <si>
    <t>S-12</t>
  </si>
  <si>
    <t>PLT → all</t>
  </si>
  <si>
    <t>Location scope sits alongside entity and reporting line. Plant users see time, not rate.</t>
  </si>
  <si>
    <t>3</t>
  </si>
  <si>
    <t>Tenure and gratuity continuity decided by rule, not by hand.</t>
  </si>
  <si>
    <t>PPL-08</t>
  </si>
  <si>
    <t>Duplicate person detection</t>
  </si>
  <si>
    <t>Onboarding or ERP sync</t>
  </si>
  <si>
    <t>System / HR</t>
  </si>
  <si>
    <t>Per hire</t>
  </si>
  <si>
    <t>CMP-11</t>
  </si>
  <si>
    <t>14</t>
  </si>
  <si>
    <t>Two people, same name and DOB, same site is routine in manufacturing.</t>
  </si>
  <si>
    <t>§ TIME &amp; ATTENDANCE</t>
  </si>
  <si>
    <t>TIM-01</t>
  </si>
  <si>
    <t>Punch ingestion from all sources</t>
  </si>
  <si>
    <t>Punch at device, app, WhatsApp, kiosk, web, gate</t>
  </si>
  <si>
    <t>Worker</t>
  </si>
  <si>
    <t>Continuous (500/s peak)</t>
  </si>
  <si>
    <t>1</t>
  </si>
  <si>
    <t>Raw events immutable. Offline buffering and catch-up are the normal case, not the exception.</t>
  </si>
  <si>
    <t>TIM-02</t>
  </si>
  <si>
    <t>Attendance day derivation</t>
  </si>
  <si>
    <t>Punch landed, or recompute demand</t>
  </si>
  <si>
    <t>Nightly + on demand</t>
  </si>
  <si>
    <t>CMP-04, CMP-10</t>
  </si>
  <si>
    <t>Keyed on the date the SHIFT started. Pairing, segments, breaks, gross/net/OT.</t>
  </si>
  <si>
    <t>TIM-03</t>
  </si>
  <si>
    <t>Shift inference from in-punch</t>
  </si>
  <si>
    <t>First in-punch of a day</t>
  </si>
  <si>
    <t>Per day</t>
  </si>
  <si>
    <t>CMP-04</t>
  </si>
  <si>
    <t>13</t>
  </si>
  <si>
    <t>Adopt the shift actually punched into; record assigned vs inferred; never silent.</t>
  </si>
  <si>
    <t>TIM-04</t>
  </si>
  <si>
    <t>Day type resolution</t>
  </si>
  <si>
    <t>Before disposition</t>
  </si>
  <si>
    <t>2,3</t>
  </si>
  <si>
    <t>Rest day and holiday resolve FIRST, from worker class and location calendar.</t>
  </si>
  <si>
    <t>TIM-05</t>
  </si>
  <si>
    <t>Disposition — grace, lates, half-day, absent, relief</t>
  </si>
  <si>
    <t>After totals computed</t>
  </si>
  <si>
    <t>12</t>
  </si>
  <si>
    <t>Thresholds by shift length are configuration rows, not code.</t>
  </si>
  <si>
    <t>TIM-06</t>
  </si>
  <si>
    <t>Gate pass request, approval and credit</t>
  </si>
  <si>
    <t>Employee request</t>
  </si>
  <si>
    <t>Employee</t>
  </si>
  <si>
    <t>CMP-01, CMP-02</t>
  </si>
  <si>
    <t>11</t>
  </si>
  <si>
    <t>Ceiling enforced in the service, not the form, because WhatsApp uses the same rule.</t>
  </si>
  <si>
    <t>TIM-07</t>
  </si>
  <si>
    <t>Overtime computation and approval</t>
  </si>
  <si>
    <t>Attendance day computed</t>
  </si>
  <si>
    <t>Manager</t>
  </si>
  <si>
    <t>CMP-01, CMP-04</t>
  </si>
  <si>
    <t>1,4,10</t>
  </si>
  <si>
    <t>Eligibility by class; basis (gross vs net) is tenant configuration.</t>
  </si>
  <si>
    <t>TIM-08</t>
  </si>
  <si>
    <t>Exception queue and regularisation</t>
  </si>
  <si>
    <t>Unpaired punch, device failure, dispute</t>
  </si>
  <si>
    <t>Manager / HR</t>
  </si>
  <si>
    <t>First agent surface with real volume (Attendance Steward).</t>
  </si>
  <si>
    <t>TIM-09</t>
  </si>
  <si>
    <t>Attendance recompute</t>
  </si>
  <si>
    <t>Late punch, approved regularisation, rule change, roster republish</t>
  </si>
  <si>
    <t>Isolated worker. A month for 5,000 people in under 10 minutes.</t>
  </si>
  <si>
    <t>TIM-10</t>
  </si>
  <si>
    <t>Team history and operational time reports</t>
  </si>
  <si>
    <t>Manager query</t>
  </si>
  <si>
    <t>Module 4 / 11</t>
  </si>
  <si>
    <t>A scoped view over attendance_day, not a report builder. Must work on a phone.</t>
  </si>
  <si>
    <t>§ LEAVE</t>
  </si>
  <si>
    <t>PROCESS FLOWS — STEP LEVEL</t>
  </si>
  <si>
    <t>LVE-01</t>
  </si>
  <si>
    <t>Leave accrual run</t>
  </si>
  <si>
    <t>Nightly job / 1 January / completion date</t>
  </si>
  <si>
    <t>Nightly</t>
  </si>
  <si>
    <t>One row per step. Lane = who acts. Type: TASK human · SYS system · DEC decision · APPR approval gate · INT integration · AGENT governed agent. 'Reuses' names the shared component from 16_Reuse_Register — those steps are configuration of an existing component, not a new build.</t>
  </si>
  <si>
    <t>CMP-02, CMP-10</t>
  </si>
  <si>
    <t>7</t>
  </si>
  <si>
    <t>Idempotent per person/type/period/transaction. Double-credit must be impossible, not unlikely.</t>
  </si>
  <si>
    <t>LVE-02</t>
  </si>
  <si>
    <t>Joining-month proration</t>
  </si>
  <si>
    <t>New joiner</t>
  </si>
  <si>
    <t>Step</t>
  </si>
  <si>
    <t>Lane / actor</t>
  </si>
  <si>
    <t>Type</t>
  </si>
  <si>
    <t>Proration table is data (16_Leave_Proration in the dataset).</t>
  </si>
  <si>
    <t>Action or decision</t>
  </si>
  <si>
    <t>LVE-03</t>
  </si>
  <si>
    <t>Rule ID(s)</t>
  </si>
  <si>
    <t>Leave request validation</t>
  </si>
  <si>
    <t>Objects touched (CRUD)</t>
  </si>
  <si>
    <t>Key fields</t>
  </si>
  <si>
    <t>Employee applies</t>
  </si>
  <si>
    <t>Screen</t>
  </si>
  <si>
    <t>Event emitted</t>
  </si>
  <si>
    <t>Exception / note</t>
  </si>
  <si>
    <t>CMP-02</t>
  </si>
  <si>
    <t>Combination and cap rules run BEFORE the approval chain, with a message naming the rule.</t>
  </si>
  <si>
    <t>LVE-04</t>
  </si>
  <si>
    <t>Leave approval chain</t>
  </si>
  <si>
    <t>Validated request</t>
  </si>
  <si>
    <t>Supervisor, HOD, HR Head</t>
  </si>
  <si>
    <t>§ PLT-02 · Identity, role and data-scope grant</t>
  </si>
  <si>
    <t>5</t>
  </si>
  <si>
    <t>Sequential, SLA per step, HR edit right logged with actor and reason.</t>
  </si>
  <si>
    <t>LVE-05</t>
  </si>
  <si>
    <t>Early return and re-credit</t>
  </si>
  <si>
    <t>Employee returns early</t>
  </si>
  <si>
    <t>HR</t>
  </si>
  <si>
    <t>CMP-02, CMP-04</t>
  </si>
  <si>
    <t>Reversal row + attendance recompute in ONE transaction, or the payslip disagrees with the ledger.</t>
  </si>
  <si>
    <t>LVE-06</t>
  </si>
  <si>
    <t>Comp-off credit and expiry</t>
  </si>
  <si>
    <t>Rest-day or holiday working</t>
  </si>
  <si>
    <t>PLT-02.1</t>
  </si>
  <si>
    <t>TASK</t>
  </si>
  <si>
    <t>Create the principal (user or agent) and attach a role template.</t>
  </si>
  <si>
    <t>6</t>
  </si>
  <si>
    <t>RL-001</t>
  </si>
  <si>
    <t>Per-credit 60-day clock. A single balance-level expiry is wrong.</t>
  </si>
  <si>
    <t>principal C; role R</t>
  </si>
  <si>
    <t>LVE-07</t>
  </si>
  <si>
    <t>principal_id, display_name, principal_type(user|agent|service), owner_principal_id</t>
  </si>
  <si>
    <t>Year-end encashment, lapse and birthday leave</t>
  </si>
  <si>
    <t>SCR-005</t>
  </si>
  <si>
    <t>platform.principal.created</t>
  </si>
  <si>
    <t>31 December / birthday</t>
  </si>
  <si>
    <t>Agent principals require a named human owner or creation fails.</t>
  </si>
  <si>
    <t>Annual</t>
  </si>
  <si>
    <t>EL encashes, CL and SL lapse. Encashment is a payroll input.</t>
  </si>
  <si>
    <t>LVE-08</t>
  </si>
  <si>
    <t>Balance projection from the ledger</t>
  </si>
  <si>
    <t>Any balance read</t>
  </si>
  <si>
    <t>PLT-02.2</t>
  </si>
  <si>
    <t>Grant entity scope: one or more legal_entity codes.</t>
  </si>
  <si>
    <t>RL-002</t>
  </si>
  <si>
    <t>entity_grant C</t>
  </si>
  <si>
    <t>5,6,7</t>
  </si>
  <si>
    <t>principal_id, legal_entity_id, granted_by, effective_from</t>
  </si>
  <si>
    <t>Balance is a projection, never a stored column.</t>
  </si>
  <si>
    <t>platform.scope.granted</t>
  </si>
  <si>
    <t>§ PAYROLL</t>
  </si>
  <si>
    <t>PLT-02.3</t>
  </si>
  <si>
    <t>PAY-01</t>
  </si>
  <si>
    <t>Grant location scope: one or more location codes (v1.1 addition).</t>
  </si>
  <si>
    <t>RL-003</t>
  </si>
  <si>
    <t>Period setup and run creation</t>
  </si>
  <si>
    <t>location_grant C</t>
  </si>
  <si>
    <t>principal_id, location_id, can_edit_time(Y/N), granted_by, effective_from</t>
  </si>
  <si>
    <t>Cycle start or off-cycle need</t>
  </si>
  <si>
    <t>Payroll manager</t>
  </si>
  <si>
    <t>Monthly+</t>
  </si>
  <si>
    <t>A principal with no location grant defaults to entity-wide time visibility only if explicitly flagged.</t>
  </si>
  <si>
    <t>10</t>
  </si>
  <si>
    <t>run_type is set here. A period carries several runs.</t>
  </si>
  <si>
    <t>PLT-02.4</t>
  </si>
  <si>
    <t>PAY-02</t>
  </si>
  <si>
    <t>Input lock and immutable snapshot</t>
  </si>
  <si>
    <t>SYS</t>
  </si>
  <si>
    <t>Resolve the effective data scope on every request: tenant ∩ entity ∩ location ∩ reporting line ∩ payroll group.</t>
  </si>
  <si>
    <t>Cut-off reached</t>
  </si>
  <si>
    <t>RL-004</t>
  </si>
  <si>
    <t>scope_resolution R</t>
  </si>
  <si>
    <t>Per run</t>
  </si>
  <si>
    <t>tenant_id, entity set, location set, reporting subtree, payroll_group set</t>
  </si>
  <si>
    <t>—</t>
  </si>
  <si>
    <t>Scope resolution failure returns empty set, never a full set.</t>
  </si>
  <si>
    <t>CMP-05, CMP-10</t>
  </si>
  <si>
    <t>Hashed snapshot of inputs, rule pack versions and config. Reproducibility depends on it.</t>
  </si>
  <si>
    <t>PAY-03</t>
  </si>
  <si>
    <t>Pre-payroll audit</t>
  </si>
  <si>
    <t>Snapshot taken</t>
  </si>
  <si>
    <t>PLT-02.5</t>
  </si>
  <si>
    <t>SWIMLANE MAPS</t>
  </si>
  <si>
    <t>Payroll manager + agent</t>
  </si>
  <si>
    <t>DEC</t>
  </si>
  <si>
    <t>Is the requested field a compensation field and is the reader outside the payroll group?</t>
  </si>
  <si>
    <t>RL-005</t>
  </si>
  <si>
    <t>salary_structure R</t>
  </si>
  <si>
    <t>basic, da, hra, daily_rate, gross, ctc</t>
  </si>
  <si>
    <t>CMP-05</t>
  </si>
  <si>
    <t>15</t>
  </si>
  <si>
    <t>Nine flows that cross the most boundaries, drawn lane by lane. Read left to right for who acts, top to bottom for sequence.</t>
  </si>
  <si>
    <t>Rule checks first, statistical second. CRITICAL flags block approval.</t>
  </si>
  <si>
    <t>Yes → return null for those fields, attendance fields still populated. Assert in CI on every build.</t>
  </si>
  <si>
    <t>PAY-04</t>
  </si>
  <si>
    <t>Gross-to-net DAG execution</t>
  </si>
  <si>
    <t>Audit cleared</t>
  </si>
  <si>
    <t>§ PLT-05 · Approval chain execution</t>
  </si>
  <si>
    <t>Map</t>
  </si>
  <si>
    <t>Flow</t>
  </si>
  <si>
    <t>CMP-03</t>
  </si>
  <si>
    <t>Employee / worker</t>
  </si>
  <si>
    <t>Topological, once per employee, every intermediate stored. Integer money.</t>
  </si>
  <si>
    <t>PAY-05</t>
  </si>
  <si>
    <t>Wage base and 50% floor add-back</t>
  </si>
  <si>
    <t>HR / admin</t>
  </si>
  <si>
    <t>System (Nucleus)</t>
  </si>
  <si>
    <t>Inside the DAG</t>
  </si>
  <si>
    <t>Agent</t>
  </si>
  <si>
    <t>PLT-05.1</t>
  </si>
  <si>
    <t>External</t>
  </si>
  <si>
    <t>Requester</t>
  </si>
  <si>
    <t>Modules 3, 6</t>
  </si>
  <si>
    <t>Submit any approvable request; the engine reads the chain definition for (tenant, request type, worker class, location).</t>
  </si>
  <si>
    <t>RL-010</t>
  </si>
  <si>
    <t>approval_chain R; approval_instance C</t>
  </si>
  <si>
    <t>One node, versioned, testable in isolation, simulatable.</t>
  </si>
  <si>
    <t>§ SM-1 · ATTENDANCE DAY — punch to disposition to payroll input (demo points 1, 12, 13)</t>
  </si>
  <si>
    <t>chain_id, request_type, request_id, step_count</t>
  </si>
  <si>
    <t>PAY-06</t>
  </si>
  <si>
    <t>varies</t>
  </si>
  <si>
    <t>Daily-wage earnings computation</t>
  </si>
  <si>
    <t>platform.approval.started</t>
  </si>
  <si>
    <t>No chain configured → route to tenant default chain and raise a config warning.</t>
  </si>
  <si>
    <t>Inside the DAG for daily classes</t>
  </si>
  <si>
    <t>2</t>
  </si>
  <si>
    <t>SM-1</t>
  </si>
  <si>
    <t>PLT-05.2</t>
  </si>
  <si>
    <t>A separate node, not a proration parameter. Visible as such on the payslip.</t>
  </si>
  <si>
    <t>Attendance day</t>
  </si>
  <si>
    <t>PAY-07</t>
  </si>
  <si>
    <t>Materialise step 1 with approver resolution (role, position, or named person) and SLA clock.</t>
  </si>
  <si>
    <t>Statutory computation (PF, ESI, PT, LWF, TDS)</t>
  </si>
  <si>
    <t>RL-011</t>
  </si>
  <si>
    <t>approval_step C</t>
  </si>
  <si>
    <t>Punches IN at the gate 07:55</t>
  </si>
  <si>
    <t>step_no, approver_principal_id, resolution_mode, sla_hours, due_at</t>
  </si>
  <si>
    <t>platform.approval.step_opened</t>
  </si>
  <si>
    <t>Approver is inactive or has left → reroute by RL-012, never leave the item orphaned.</t>
  </si>
  <si>
    <t>Biometric terminal captures and buffers</t>
  </si>
  <si>
    <t>CMP-03, CMP-09</t>
  </si>
  <si>
    <t>17</t>
  </si>
  <si>
    <t>Central pack + state pack. PT differs by state on one run.</t>
  </si>
  <si>
    <t>PAY-08</t>
  </si>
  <si>
    <t>Loan, advance and EWA recovery</t>
  </si>
  <si>
    <t>PLT-05.3</t>
  </si>
  <si>
    <t>Approver</t>
  </si>
  <si>
    <t>APPR</t>
  </si>
  <si>
    <t>Approve, reject or return with a reason; decision captured with actor, timestamp, channel.</t>
  </si>
  <si>
    <t>RL-013</t>
  </si>
  <si>
    <t>approval_step U</t>
  </si>
  <si>
    <t>Modules 3, 12</t>
  </si>
  <si>
    <t>Ingests, de-duplicates, stores the raw event immutably</t>
  </si>
  <si>
    <t>decision, decided_by, decided_at, reason, channel(app|web|whatsapp)</t>
  </si>
  <si>
    <t>SCR-040</t>
  </si>
  <si>
    <t>Device agent pushes the buffer</t>
  </si>
  <si>
    <t>platform.approval.step_decided</t>
  </si>
  <si>
    <t>9</t>
  </si>
  <si>
    <t>Clock drift corrected; raw value retained</t>
  </si>
  <si>
    <t>Rejection ends the instance and notifies the requester with the reason text.</t>
  </si>
  <si>
    <t>Respect the net-pay floor; stop on closure; report balance back to CMB.</t>
  </si>
  <si>
    <t>PAY-09</t>
  </si>
  <si>
    <t>Review, approval and disbursement</t>
  </si>
  <si>
    <t>Punches OUT 20:30, IN 21:15, OUT 03:20 next morning</t>
  </si>
  <si>
    <t>Calculation complete</t>
  </si>
  <si>
    <t>Payroll manager, Finance</t>
  </si>
  <si>
    <t>PLT-05.4</t>
  </si>
  <si>
    <t>More mandatory steps remaining?</t>
  </si>
  <si>
    <t>CMP-01, CMP-05</t>
  </si>
  <si>
    <t>approval_instance R</t>
  </si>
  <si>
    <t>4</t>
  </si>
  <si>
    <t>current_step, total_steps</t>
  </si>
  <si>
    <t>Dual control, out-of-band verification of bank totals.</t>
  </si>
  <si>
    <t>PAY-10</t>
  </si>
  <si>
    <t>Assigns all four events to ONE attendance day dated the shift start</t>
  </si>
  <si>
    <t>Yes → open next step sequentially. No → close instance.</t>
  </si>
  <si>
    <t>Off-cycle overtime run</t>
  </si>
  <si>
    <t>The single most common error in this domain</t>
  </si>
  <si>
    <t>OT approved for the period</t>
  </si>
  <si>
    <t>PLT-05.5</t>
  </si>
  <si>
    <t>Pairs into two segments; writes the 45-minute dinner gap as its own break row</t>
  </si>
  <si>
    <t>Close instance, emit the domain-specific approved event, hand control back to the calling process.</t>
  </si>
  <si>
    <t>Own approval path, own bank file, own journal. Screens need a run selector.</t>
  </si>
  <si>
    <t>RL-014</t>
  </si>
  <si>
    <t>PAY-11</t>
  </si>
  <si>
    <t>approval_instance U</t>
  </si>
  <si>
    <t>Break report exists because breaks are rows</t>
  </si>
  <si>
    <t>Arrears and retro processing</t>
  </si>
  <si>
    <t>final_state, closed_at</t>
  </si>
  <si>
    <t>Retro change on a closed period</t>
  </si>
  <si>
    <t>platform.approval.completed</t>
  </si>
  <si>
    <t>SLA breach escalates per step configuration and is counted, not silently extended.</t>
  </si>
  <si>
    <t>Gross 19:20; break 0:45 recorded not deducted; OT 7:20 against the 12h shift</t>
  </si>
  <si>
    <t>CMP-03, CMP-10</t>
  </si>
  <si>
    <t>Gate-to-gate for this client — configuration</t>
  </si>
  <si>
    <t>Recompute as-at the old rule version, difference posted as arrears.</t>
  </si>
  <si>
    <t>PLT-05.6</t>
  </si>
  <si>
    <t>PAY-12</t>
  </si>
  <si>
    <t>Full-and-final run</t>
  </si>
  <si>
    <t>HR override / edit at any stage, recorded with actor and reason.</t>
  </si>
  <si>
    <t>RL-015</t>
  </si>
  <si>
    <t>Clearance complete</t>
  </si>
  <si>
    <t>approval_step U; audit_entry C</t>
  </si>
  <si>
    <t>Resolves day type, then grace, lates, thresholds, long-night relief</t>
  </si>
  <si>
    <t>Per exit</t>
  </si>
  <si>
    <t>override_by, override_reason, previous_state</t>
  </si>
  <si>
    <t>Modules 3, 5</t>
  </si>
  <si>
    <t>Day type FIRST, always</t>
  </si>
  <si>
    <t>platform.approval.overridden</t>
  </si>
  <si>
    <t>Override without a reason is rejected by the service.</t>
  </si>
  <si>
    <t>CMP-03, CMP-05</t>
  </si>
  <si>
    <t>16</t>
  </si>
  <si>
    <t>Blocked while any blocking clearance item is open — same lock as PAY-02.</t>
  </si>
  <si>
    <t>PAY-13</t>
  </si>
  <si>
    <t>§ PLT-08 · Bi-temporal write and as-at read</t>
  </si>
  <si>
    <t>Stamps computed_at and ruleset version, emits the computed event</t>
  </si>
  <si>
    <t>Payslip publication and retrieval</t>
  </si>
  <si>
    <t>Run disbursed</t>
  </si>
  <si>
    <t>Modules 3, 4</t>
  </si>
  <si>
    <t>Sees the day in team history and approves the overtime</t>
  </si>
  <si>
    <t>Run selector everywhere. Offline view on mobile.</t>
  </si>
  <si>
    <t>PAY-14</t>
  </si>
  <si>
    <t>Rollback and reversal</t>
  </si>
  <si>
    <t>PLT-08.1</t>
  </si>
  <si>
    <t>Defect found pre-disbursement</t>
  </si>
  <si>
    <t>Any temporal fact write opens a new version rather than updating in place.</t>
  </si>
  <si>
    <t>Rare</t>
  </si>
  <si>
    <t>RL-020</t>
  </si>
  <si>
    <t>Tags the OT record to the off-cycle run and hands the day to payroll inputs</t>
  </si>
  <si>
    <t>&lt;temporal table&gt; C</t>
  </si>
  <si>
    <t>valid_from, valid_to, recorded_from, recorded_to, changed_by, change_reason</t>
  </si>
  <si>
    <t>platform.record.versioned</t>
  </si>
  <si>
    <t>Permitted up to DISBURSEMENT_PREPARED. Beyond that, arrears only.</t>
  </si>
  <si>
    <t>§ COMPLIANCE</t>
  </si>
  <si>
    <t>PLT-08.2</t>
  </si>
  <si>
    <t>§ SM-2 · EXCEPTION AND REGULARISATION (demo point 1, agent pattern)</t>
  </si>
  <si>
    <t>End-date the superseded version by setting recorded_to; never delete the row.</t>
  </si>
  <si>
    <t>&lt;temporal table&gt; U</t>
  </si>
  <si>
    <t>CMP-01p</t>
  </si>
  <si>
    <t>recorded_to</t>
  </si>
  <si>
    <t>Rule pack authoring, test and deployment</t>
  </si>
  <si>
    <t>SM-2</t>
  </si>
  <si>
    <t>Statutory notification</t>
  </si>
  <si>
    <t>Regularisation</t>
  </si>
  <si>
    <t>Payroll &amp; compliance engineer</t>
  </si>
  <si>
    <t>Per notification</t>
  </si>
  <si>
    <t>Leaves without punching out</t>
  </si>
  <si>
    <t>PLT-08.3</t>
  </si>
  <si>
    <t>Green suite + named reviewer or it does not deploy.</t>
  </si>
  <si>
    <t>CMP-02p</t>
  </si>
  <si>
    <t>As-at read: caller supplies valid_at and recorded_at; default recorded_at = now.</t>
  </si>
  <si>
    <t>Obligation calendar and filing</t>
  </si>
  <si>
    <t>RL-021</t>
  </si>
  <si>
    <t>&lt;temporal table&gt; R</t>
  </si>
  <si>
    <t>Calendar due date</t>
  </si>
  <si>
    <t>valid_at, recorded_at</t>
  </si>
  <si>
    <t>Pairing fails; raises an unpaired-punch exception</t>
  </si>
  <si>
    <t>HR / Finance owner</t>
  </si>
  <si>
    <t>Never silently discarded</t>
  </si>
  <si>
    <t>Payroll and attendance recompute MUST pass the run/recompute snapshot timestamp, not now.</t>
  </si>
  <si>
    <t>§ PPL-01 · Create person, position and assignment</t>
  </si>
  <si>
    <t>Attendance Steward triages, proposes a regularisation from roster and device evidence with a dry-run diff</t>
  </si>
  <si>
    <t>Approves, amends or rejects the proposal</t>
  </si>
  <si>
    <t>The screen the HR head opens every morning.</t>
  </si>
  <si>
    <t>Auto-resolve only under the tenant threshold</t>
  </si>
  <si>
    <t>CMP-03p</t>
  </si>
  <si>
    <t>PPL-01.1</t>
  </si>
  <si>
    <t>Statutory form and register generation</t>
  </si>
  <si>
    <t>Joining, period end, or filing demand</t>
  </si>
  <si>
    <t>Search for an existing person by identity attributes before creating one.</t>
  </si>
  <si>
    <t>Can edit at any stage, logged with reason</t>
  </si>
  <si>
    <t>RL-030</t>
  </si>
  <si>
    <t>Per event</t>
  </si>
  <si>
    <t>person R</t>
  </si>
  <si>
    <t>full_name, date_of_birth, aadhaar_token, pan_token, mobile</t>
  </si>
  <si>
    <t>SCR-010</t>
  </si>
  <si>
    <t>DATA DICTIONARY</t>
  </si>
  <si>
    <t>CMP-03r, CMP-09</t>
  </si>
  <si>
    <t>Match found → route to rehire (PPL-07) instead of create.</t>
  </si>
  <si>
    <t>17,26</t>
  </si>
  <si>
    <t>Declarative query bound to a template, state-scoped to the plant's registration.</t>
  </si>
  <si>
    <t>CMP-04p</t>
  </si>
  <si>
    <t>Recomputes the day, closes the exception, writes the delta</t>
  </si>
  <si>
    <t>Labour Codes wage-base simulation</t>
  </si>
  <si>
    <t>Structure change proposal</t>
  </si>
  <si>
    <t>PPL-01.2</t>
  </si>
  <si>
    <t>Every object and its fields. Temporal = carries valid_from/to and recorded_from/to. Sensitivity drives tokenisation, logging and LLM-prompt exclusion. Dataset ref names the demo dataset sheet that populates it.</t>
  </si>
  <si>
    <t>HR / Comp</t>
  </si>
  <si>
    <t>Duplicate candidate above the confidence threshold?</t>
  </si>
  <si>
    <t>Modules 6, 12</t>
  </si>
  <si>
    <t>RL-031</t>
  </si>
  <si>
    <t>match_score, matched_person_id</t>
  </si>
  <si>
    <t>Sees the corrected day and the reason</t>
  </si>
  <si>
    <t>Sell the simulator; it opens doors (blueprint Module 3).</t>
  </si>
  <si>
    <t>people.person.duplicate_suspected</t>
  </si>
  <si>
    <t>Object</t>
  </si>
  <si>
    <t>CMP-05p</t>
  </si>
  <si>
    <t>Two people with the same name, DOB and site is routine — present both records, let HR decide, log the decision.</t>
  </si>
  <si>
    <t>AI governance logging and disclosure</t>
  </si>
  <si>
    <t>Any inference</t>
  </si>
  <si>
    <t>Fields</t>
  </si>
  <si>
    <t>PPL-01.3</t>
  </si>
  <si>
    <t>Required</t>
  </si>
  <si>
    <t>§ SM-3 · LEAVE — apply, validate, approve, early return (demo points 5, 7)</t>
  </si>
  <si>
    <t>Disclosure, labelling, inference log, no AI-only adverse decision.</t>
  </si>
  <si>
    <t>Create person with identity and contact facts.</t>
  </si>
  <si>
    <t>Owner / source</t>
  </si>
  <si>
    <t>RL-032</t>
  </si>
  <si>
    <t>CMP-06p</t>
  </si>
  <si>
    <t>person C</t>
  </si>
  <si>
    <t>Temporal</t>
  </si>
  <si>
    <t>DPDP consent, retention and erasure</t>
  </si>
  <si>
    <t>person_id, full_name, gender, date_of_birth, nationality, mobile, personal_email, aadhaar_token, pan_token, uan</t>
  </si>
  <si>
    <t>Sensitivity</t>
  </si>
  <si>
    <t>Consent event or erasure request</t>
  </si>
  <si>
    <t>people.person.created</t>
  </si>
  <si>
    <t>SM-3</t>
  </si>
  <si>
    <t>System / DPO</t>
  </si>
  <si>
    <t>Aadhaar/PAN mismatch does NOT block joining; it raises a payroll-blocking flag (RL-033).</t>
  </si>
  <si>
    <t>Notes</t>
  </si>
  <si>
    <t>Dataset ref</t>
  </si>
  <si>
    <t>Applies for 10 days EL</t>
  </si>
  <si>
    <t>48-hour pre-erasure intimation; processor obligations flowed down.</t>
  </si>
  <si>
    <t>PPL-01.4</t>
  </si>
  <si>
    <t>§ PLATFORM</t>
  </si>
  <si>
    <t>§ LIFECYCLE</t>
  </si>
  <si>
    <t>Select or create the position; confirm it is vacant and budgeted.</t>
  </si>
  <si>
    <t>RL-034</t>
  </si>
  <si>
    <t>position R/U</t>
  </si>
  <si>
    <t>position_code, org_unit, location, grade, cost_centre, status</t>
  </si>
  <si>
    <t>SCR-012</t>
  </si>
  <si>
    <t>Projects balance from the ledger; runs combination and cap rules BEFORE the chain</t>
  </si>
  <si>
    <t>people.position.filled</t>
  </si>
  <si>
    <t>Position already filled → block; frozen or abolished → block with reason.</t>
  </si>
  <si>
    <t>CL+EL blocked here, with the rule named</t>
  </si>
  <si>
    <t>LCY-01</t>
  </si>
  <si>
    <t>Pre-boarding</t>
  </si>
  <si>
    <t>Offer accepted</t>
  </si>
  <si>
    <t>Supervisor approves</t>
  </si>
  <si>
    <t>Candidate, HR</t>
  </si>
  <si>
    <t>PPL-01.5</t>
  </si>
  <si>
    <t>tenant</t>
  </si>
  <si>
    <t>Create employment against the legal entity.</t>
  </si>
  <si>
    <t>RL-035</t>
  </si>
  <si>
    <t>employment C</t>
  </si>
  <si>
    <t>23</t>
  </si>
  <si>
    <t>employment_id, person_id, legal_entity_id, employment_start, probation_months, notice_days</t>
  </si>
  <si>
    <t>Document collection, BGV, asset and IT requests run in parallel.</t>
  </si>
  <si>
    <t>HOD approves</t>
  </si>
  <si>
    <t>tenant_id</t>
  </si>
  <si>
    <t>LCY-02</t>
  </si>
  <si>
    <t>people.employment.started</t>
  </si>
  <si>
    <t>Joining chain</t>
  </si>
  <si>
    <t>uuid</t>
  </si>
  <si>
    <t>Sequential, each with an SLA</t>
  </si>
  <si>
    <t>Y</t>
  </si>
  <si>
    <t>Date of joining</t>
  </si>
  <si>
    <t>No</t>
  </si>
  <si>
    <t>PPL-01.6</t>
  </si>
  <si>
    <t>HR Head approves</t>
  </si>
  <si>
    <t>CMP-01, CMP-03r</t>
  </si>
  <si>
    <t>On every tenant-scoped table without exception; RLS forced.</t>
  </si>
  <si>
    <t>23,26</t>
  </si>
  <si>
    <t>Create assignment: position, worker class, designation, band, manager, shift group, payroll group, location.</t>
  </si>
  <si>
    <t>Statutory joining forms including Form F are produced INSIDE the chain.</t>
  </si>
  <si>
    <t>RL-036</t>
  </si>
  <si>
    <t>assignment C</t>
  </si>
  <si>
    <t>LCY-03</t>
  </si>
  <si>
    <t>Probation and confirmation</t>
  </si>
  <si>
    <t>assignment_id, employment_id, position_code, worker_class, designation_code, band, manager_assignment_id, shift_group, default_shift, payroll_group, location_id, cost_centre, effective_from</t>
  </si>
  <si>
    <t>SCR-011</t>
  </si>
  <si>
    <t>Probation end approaching</t>
  </si>
  <si>
    <t>Debits the ledger against named credits; updates the calendar; raises the payroll input</t>
  </si>
  <si>
    <t>people.assignment.started</t>
  </si>
  <si>
    <t>Manager, HR</t>
  </si>
  <si>
    <t>Payroll group and location are independent — do not default one from the other (demo point 8).</t>
  </si>
  <si>
    <t>name, region, data_residency</t>
  </si>
  <si>
    <t>text</t>
  </si>
  <si>
    <t>Returns after 6 days</t>
  </si>
  <si>
    <t>21</t>
  </si>
  <si>
    <t>Config</t>
  </si>
  <si>
    <t>Confirmation letter and any referral balance both trigger here.</t>
  </si>
  <si>
    <t>PPL-01.7</t>
  </si>
  <si>
    <t>LCY-04</t>
  </si>
  <si>
    <t>Promotion and transfer</t>
  </si>
  <si>
    <t>Indian tenant data resides in India, enforced at the infrastructure layer.</t>
  </si>
  <si>
    <t>Resolve and stamp policy attributes from worker class, allowing assignment-level overrides.</t>
  </si>
  <si>
    <t>Approved change</t>
  </si>
  <si>
    <t>RL-037</t>
  </si>
  <si>
    <t>Records the early return and closes the request</t>
  </si>
  <si>
    <t>assignment U</t>
  </si>
  <si>
    <t>has_rest_days, rest_day_pattern, wage_type, ot_eligibility, grace_exempt, leave_policy_ref, statutory_applicability</t>
  </si>
  <si>
    <t>legal_entity</t>
  </si>
  <si>
    <t>HR edit right, logged with actor and reason</t>
  </si>
  <si>
    <t>people.assignment.policy_resolved</t>
  </si>
  <si>
    <t>CMP-01, CMP-10</t>
  </si>
  <si>
    <t>Override requires reason + effective date; both are temporal.</t>
  </si>
  <si>
    <t>entity_code, registered_name, cin_llpin, pan, gstin, registered_office, pf_code, financial_year, status</t>
  </si>
  <si>
    <t>Transfer re-resolves PT, LWF, holiday calendar, rest-day pattern and location scope.</t>
  </si>
  <si>
    <t>LCY-05</t>
  </si>
  <si>
    <t>Resignation and notice</t>
  </si>
  <si>
    <t>Yes</t>
  </si>
  <si>
    <t>ONE transaction: reversal row referencing the original debit + attendance recompute</t>
  </si>
  <si>
    <t>Confidential</t>
  </si>
  <si>
    <t>Employee resigns</t>
  </si>
  <si>
    <t>Multi-entity is the norm; retrofitting entity scope into payroll and GL is one of the worst refactors available.</t>
  </si>
  <si>
    <t>Employee, HR</t>
  </si>
  <si>
    <t>Split them and the payslip disagrees with the ledger</t>
  </si>
  <si>
    <t>02_Legal_Entities</t>
  </si>
  <si>
    <t>PPL-01.8</t>
  </si>
  <si>
    <t>location</t>
  </si>
  <si>
    <t>Trigger the joining chain (LCY-02) and emit the hire event.</t>
  </si>
  <si>
    <t>RL-038</t>
  </si>
  <si>
    <t>location_code, name, entity_code, city, state, state_code, establishment_type, pin, factory_licence, pt_slab_set, lwf_set, payroll_group_default, factory_act_applies</t>
  </si>
  <si>
    <t>Sees the re-credited balance and Present days</t>
  </si>
  <si>
    <t>workflow_instance C</t>
  </si>
  <si>
    <t>chain_id, person_id, assignment_id</t>
  </si>
  <si>
    <t>Notice computation feeds F&amp;F recovery.</t>
  </si>
  <si>
    <t>LCY-06</t>
  </si>
  <si>
    <t>people.worker.hired</t>
  </si>
  <si>
    <t>Clearance / no-dues</t>
  </si>
  <si>
    <t>Resignation accepted</t>
  </si>
  <si>
    <t>Department owners</t>
  </si>
  <si>
    <t>Payroll group and location are INDEPENDENT. Do not derive one from the other.</t>
  </si>
  <si>
    <t>§ PPL-02 · Assignment change (effective-dated, retro-capable)</t>
  </si>
  <si>
    <t>03_Locations</t>
  </si>
  <si>
    <t>principal</t>
  </si>
  <si>
    <t>§ SM-4 · GATE PASS (demo point 11)</t>
  </si>
  <si>
    <t>Parallel with notice, not after it. Blocking items gate F&amp;F.</t>
  </si>
  <si>
    <t>principal_id, display_name, principal_type(user|agent|service), owner_principal_id, status</t>
  </si>
  <si>
    <t>LCY-07</t>
  </si>
  <si>
    <t>F&amp;F settlement on the last working day</t>
  </si>
  <si>
    <t>Admin</t>
  </si>
  <si>
    <t>All blocking items cleared</t>
  </si>
  <si>
    <t>SM-4</t>
  </si>
  <si>
    <t>Gate pass</t>
  </si>
  <si>
    <t>PPL-02.1</t>
  </si>
  <si>
    <t>Agent principals must name a human owner.</t>
  </si>
  <si>
    <t>Requests 2 hours personal, over WhatsApp</t>
  </si>
  <si>
    <t>HR ops / ERP</t>
  </si>
  <si>
    <t>Raise a change request naming the attribute, new value and effective date.</t>
  </si>
  <si>
    <t>entity_grant</t>
  </si>
  <si>
    <t>Gratuity, encashment, notice recovery, negative net handling.</t>
  </si>
  <si>
    <t>WhatsApp Business API</t>
  </si>
  <si>
    <t>RL-040</t>
  </si>
  <si>
    <t>LCY-08</t>
  </si>
  <si>
    <t>assignment_change_request C</t>
  </si>
  <si>
    <t>principal_id, legal_entity_id, granted_by, effective_from, effective_to</t>
  </si>
  <si>
    <t>field, old_value, new_value, effective_from, reason</t>
  </si>
  <si>
    <t>Asset allocation and return</t>
  </si>
  <si>
    <t>ref</t>
  </si>
  <si>
    <t>Joining / exit</t>
  </si>
  <si>
    <t>Effective date in a closed payroll period → flag as retro (RL-041).</t>
  </si>
  <si>
    <t>Admin, IT</t>
  </si>
  <si>
    <t>Checks the monthly ceiling in the SERVICE: 240 minutes, 2 instances</t>
  </si>
  <si>
    <t>Per hire and exit</t>
  </si>
  <si>
    <t>Same rule whichever channel it arrives on</t>
  </si>
  <si>
    <t>location_grant</t>
  </si>
  <si>
    <t>PPL-02.2</t>
  </si>
  <si>
    <t>A register, not a checkbox. Same assets appear as blocking clearance items.</t>
  </si>
  <si>
    <t>Approves</t>
  </si>
  <si>
    <t>§ SELF-SERVICE &amp; HELPDESK</t>
  </si>
  <si>
    <t>principal_id, location_id, can_edit_time, granted_by, effective_from, effective_to</t>
  </si>
  <si>
    <t>Approve per the change type's chain.</t>
  </si>
  <si>
    <t>approval_instance C</t>
  </si>
  <si>
    <t>chain_id, decision</t>
  </si>
  <si>
    <t>Deducts the gap as a break, credits the approved minutes back before thresholds</t>
  </si>
  <si>
    <t>v1.1 addition. This is what lets a plant user record time without seeing rate.</t>
  </si>
  <si>
    <t>SSV-01</t>
  </si>
  <si>
    <t>Employee self-service action</t>
  </si>
  <si>
    <t>Net hours unchanged by an approved pass</t>
  </si>
  <si>
    <t>role</t>
  </si>
  <si>
    <t>Employee intent</t>
  </si>
  <si>
    <t>PPL-02.3</t>
  </si>
  <si>
    <t>role_code, name, permission_set[], scope_dimensions[]</t>
  </si>
  <si>
    <t>Third request in the month</t>
  </si>
  <si>
    <t>text/json</t>
  </si>
  <si>
    <t>Module 4</t>
  </si>
  <si>
    <t>Write a new assignment version with valid_from = effective date.</t>
  </si>
  <si>
    <t>1,11</t>
  </si>
  <si>
    <t>assignment C/U</t>
  </si>
  <si>
    <t>Three taps or fewer. Offline for attendance and payslip.</t>
  </si>
  <si>
    <t>all policy-carrying fields, valid_from, recorded_from</t>
  </si>
  <si>
    <t>SSV-02</t>
  </si>
  <si>
    <t>RBAC for shape, ABAC for data scope, evaluated at query time.</t>
  </si>
  <si>
    <t>people.assignment.changed</t>
  </si>
  <si>
    <t>Manager unified approval inbox</t>
  </si>
  <si>
    <t>approval_chain</t>
  </si>
  <si>
    <t>Any pending item</t>
  </si>
  <si>
    <t>Rejected at validation, reason names the ceiling already used</t>
  </si>
  <si>
    <t>chain_id, request_type, applies_to(worker_class, location, amount band), steps[]</t>
  </si>
  <si>
    <t>json</t>
  </si>
  <si>
    <t>CMP-01, CMP-08</t>
  </si>
  <si>
    <t>One queue across every module, not one inbox per module.</t>
  </si>
  <si>
    <t>SSV-03</t>
  </si>
  <si>
    <t>WhatsApp channel transaction</t>
  </si>
  <si>
    <t>§ SM-5 · PAYROLL CYCLE INCLUDING THE OFF-CYCLE OT RUN (demo points 10, 15)</t>
  </si>
  <si>
    <t>One engine for every approvable object in the product.</t>
  </si>
  <si>
    <t>Message received</t>
  </si>
  <si>
    <t>approval_step</t>
  </si>
  <si>
    <t>step_no, approver_principal_id, resolution_mode(role|position|named), mandatory, sla_hours, decision, decided_by, decided_at, reason, channel</t>
  </si>
  <si>
    <t>CMP-02, CMP-08</t>
  </si>
  <si>
    <t>SM-5</t>
  </si>
  <si>
    <t>mixed</t>
  </si>
  <si>
    <t>20</t>
  </si>
  <si>
    <t>Parallel first-class channel: apply, approve, check in, payslip.</t>
  </si>
  <si>
    <t>SSV-04</t>
  </si>
  <si>
    <t>Helpdesk ticket</t>
  </si>
  <si>
    <t>Creates run PR-…-01, run_type regular</t>
  </si>
  <si>
    <t>Question or issue</t>
  </si>
  <si>
    <t>Decision channel matters: WhatsApp approvals are first class.</t>
  </si>
  <si>
    <t>workflow_definition</t>
  </si>
  <si>
    <t>Module 7</t>
  </si>
  <si>
    <t>Locks inputs at cut-off</t>
  </si>
  <si>
    <t>workflow_id, name, version, steps[], branches[], sla[]</t>
  </si>
  <si>
    <t>Routing, SLA, escalation, deflection measurement.</t>
  </si>
  <si>
    <t>Late punches now raise exceptions, not changes</t>
  </si>
  <si>
    <t>PPL-02.4</t>
  </si>
  <si>
    <t>SSV-05</t>
  </si>
  <si>
    <t>Grounded policy answer</t>
  </si>
  <si>
    <t>Does the change affect time policy (class, rest days, shift group, grace exemption, location)?</t>
  </si>
  <si>
    <t>RL-042</t>
  </si>
  <si>
    <t>Employee question</t>
  </si>
  <si>
    <t>attendance_day R</t>
  </si>
  <si>
    <t>Policy Assistant agent</t>
  </si>
  <si>
    <t>Writes the hashed snapshot: inputs, rule pack versions, config</t>
  </si>
  <si>
    <t>affected_date_range</t>
  </si>
  <si>
    <t>time.recompute.requested</t>
  </si>
  <si>
    <t>audit_entry</t>
  </si>
  <si>
    <t>Yes → queue attendance recompute for the affected range (TIM-09).</t>
  </si>
  <si>
    <t>CMP-11, CMP-06</t>
  </si>
  <si>
    <t>entry_id, actor_principal_id, agent_id, action, object_type, object_id, before, after, ip, reason, occurred_at</t>
  </si>
  <si>
    <t>Runs the pre-audit rule checks, then statistical checks</t>
  </si>
  <si>
    <t>Restricted</t>
  </si>
  <si>
    <t>PPL-02.5</t>
  </si>
  <si>
    <t>Append-only. Covers every write and every read of a sensitive field.</t>
  </si>
  <si>
    <t>Does the change affect pay for a closed period?</t>
  </si>
  <si>
    <t>RL-041</t>
  </si>
  <si>
    <t>action_ledger</t>
  </si>
  <si>
    <t>payroll_run R</t>
  </si>
  <si>
    <t>Payroll Preparer classifies each flag and drafts resolutions</t>
  </si>
  <si>
    <t>period, run_state</t>
  </si>
  <si>
    <t>Propose only. Always.</t>
  </si>
  <si>
    <t>action_id, agent_id, human_principal_id, tool, inputs, plan, simulation_result, approval_ref, outcome, reversal_handle, occurred_at</t>
  </si>
  <si>
    <t>payroll.arrears.requested</t>
  </si>
  <si>
    <t>Yes → queue arrears in the next open run (PAY-11). Never rewrite a closed run.</t>
  </si>
  <si>
    <t>Resolves or waives each flag; CRITICAL flags block</t>
  </si>
  <si>
    <t>§ PPL-03 · Worker class and policy attribute resolution</t>
  </si>
  <si>
    <t>The ledger is the product. Reversal rate is the number a prospect will ask for.</t>
  </si>
  <si>
    <t>No answer without a retrieved source; unknown creates a ticket and says so.</t>
  </si>
  <si>
    <t>§ COMPENSATION, LOANS &amp; BENEFITS</t>
  </si>
  <si>
    <t>outbox</t>
  </si>
  <si>
    <t>Runs the gross-to-net DAG; wage base with the 50% add-back; daily-wage node where the class says so</t>
  </si>
  <si>
    <t>outbox_id, aggregate, event_type, payload, created_at, relayed_at</t>
  </si>
  <si>
    <t>CMB-01</t>
  </si>
  <si>
    <t>PPL-03.1</t>
  </si>
  <si>
    <t>Loan eligibility evaluation</t>
  </si>
  <si>
    <t>Recovers loan instalments, respecting the net-pay floor</t>
  </si>
  <si>
    <t>Written in the same transaction as the domain write.</t>
  </si>
  <si>
    <t>Read worker_class defaults as at the reference date.</t>
  </si>
  <si>
    <t>Any eligibility question</t>
  </si>
  <si>
    <t>RL-050</t>
  </si>
  <si>
    <t>worker_class R</t>
  </si>
  <si>
    <t>has_rest_days, rest_day_pattern, wage_type, ot_eligibility, leave_eligible, statutory_set, obligation_party</t>
  </si>
  <si>
    <t>Approves the run</t>
  </si>
  <si>
    <t>ONE service method read by the screen, the guarantor lock, payroll and the agent tool.</t>
  </si>
  <si>
    <t>Blocked if any component lacks a GL mapping</t>
  </si>
  <si>
    <t>CMB-02</t>
  </si>
  <si>
    <t>Loan application and guarantor acceptance</t>
  </si>
  <si>
    <t>person</t>
  </si>
  <si>
    <t>PPL-03.2</t>
  </si>
  <si>
    <t>person_id</t>
  </si>
  <si>
    <t>Employee, guarantors</t>
  </si>
  <si>
    <t>Generates the bank file with a checksum</t>
  </si>
  <si>
    <t>Overlay assignment-level overrides valid at the reference date.</t>
  </si>
  <si>
    <t>Bank</t>
  </si>
  <si>
    <t>RL-051</t>
  </si>
  <si>
    <t>Total verified out of band, dual control</t>
  </si>
  <si>
    <t>Nucleus or ERP</t>
  </si>
  <si>
    <t>assignment R</t>
  </si>
  <si>
    <t>override fields + override_reason</t>
  </si>
  <si>
    <t>Two mandatory guarantors, third optional above a threshold.</t>
  </si>
  <si>
    <t>Survives rehire, contract-to-permanent conversion and entity transfer.</t>
  </si>
  <si>
    <t>An override with no reason fails validation at write time, not read time.</t>
  </si>
  <si>
    <t>CMB-03</t>
  </si>
  <si>
    <t>12_Employees</t>
  </si>
  <si>
    <t>Emits the dimensioned journal</t>
  </si>
  <si>
    <t>Loan sanction and director override</t>
  </si>
  <si>
    <t>ERP / GL</t>
  </si>
  <si>
    <t>Application approved</t>
  </si>
  <si>
    <t>Split at employee level before aggregation</t>
  </si>
  <si>
    <t>Finance / Director</t>
  </si>
  <si>
    <t>full_name, gender, date_of_birth, blood_group, marital_status</t>
  </si>
  <si>
    <t>text/date</t>
  </si>
  <si>
    <t>PPL-03.3</t>
  </si>
  <si>
    <t>ERP (co-owned)</t>
  </si>
  <si>
    <t>Creates run PR-…-02, run_type off_cycle_ot, pay date 07 Oct</t>
  </si>
  <si>
    <t>Overlay designation-band attributes (grace exemption, leave band, OT default).</t>
  </si>
  <si>
    <t>Override records approver, reason and the rules waived.</t>
  </si>
  <si>
    <t>RL-052</t>
  </si>
  <si>
    <t>CMB-04</t>
  </si>
  <si>
    <t>designation R</t>
  </si>
  <si>
    <t>Its own approval, bank file and journal</t>
  </si>
  <si>
    <t>Repayment, closure and guarantor release</t>
  </si>
  <si>
    <t>band, grace_exempt, leave_band, ot_default, notice_days</t>
  </si>
  <si>
    <t>Personal</t>
  </si>
  <si>
    <t>Name and DOB are the duplicate-detection keys.</t>
  </si>
  <si>
    <t>Opens the payslip and picks the run</t>
  </si>
  <si>
    <t>Payroll recovery / final instalment</t>
  </si>
  <si>
    <t>Run selector everywhere</t>
  </si>
  <si>
    <t>mobile, personal_email, permanent_address, present_address, emergency_contact</t>
  </si>
  <si>
    <t>PPL-03.4</t>
  </si>
  <si>
    <t>Release is an explicit event. Without it a guarantor is blocked forever.</t>
  </si>
  <si>
    <t>Return the resolved policy vector to the caller (time, leave, payroll, compliance all use this one resolver).</t>
  </si>
  <si>
    <t>RL-053</t>
  </si>
  <si>
    <t>CMB-05</t>
  </si>
  <si>
    <t>Salary advance and earned wage access</t>
  </si>
  <si>
    <t>resolved policy vector</t>
  </si>
  <si>
    <t>§ SM-6 · LOAN — eligibility, guarantors, sanction, recovery, release (demo point 9)</t>
  </si>
  <si>
    <t>Resolution for a date before the assignment start returns 'not employed', not defaults.</t>
  </si>
  <si>
    <t>aadhaar_token, pan_token, passport_token, uan, esi_ip</t>
  </si>
  <si>
    <t>token</t>
  </si>
  <si>
    <t>N</t>
  </si>
  <si>
    <t>§ PPL-04 · Position control and sanctioned strength</t>
  </si>
  <si>
    <t>CMP-02, CMP-03</t>
  </si>
  <si>
    <t>SM-6</t>
  </si>
  <si>
    <t>Cap at 50% of accrued net; design in the ledger now even if it ships later.</t>
  </si>
  <si>
    <t>Loan</t>
  </si>
  <si>
    <t>Tokenised. Raw values live in a separate vault table with its own access policy. Never in logs, events or an LLM prompt.</t>
  </si>
  <si>
    <t>CMB-06</t>
  </si>
  <si>
    <t>Applies for a loan</t>
  </si>
  <si>
    <t>Compensation revision cycle</t>
  </si>
  <si>
    <t>Annual cycle</t>
  </si>
  <si>
    <t>photo_ref, nominee[]</t>
  </si>
  <si>
    <t>HR, Finance</t>
  </si>
  <si>
    <t>ref/json</t>
  </si>
  <si>
    <t>PPL-04.1</t>
  </si>
  <si>
    <t>Finance / HR</t>
  </si>
  <si>
    <t>GET /loans/eligibility: active loan? guarantor lock? ceiling 4x or 6x basic?</t>
  </si>
  <si>
    <t>Budget cascade, manager proposal, simulation, letter generation.</t>
  </si>
  <si>
    <t>employment</t>
  </si>
  <si>
    <t>Record sanctioned strength by org unit, designation and location with an effective date and approver.</t>
  </si>
  <si>
    <t>§ TALENT</t>
  </si>
  <si>
    <t>One service method, four consumers</t>
  </si>
  <si>
    <t>RL-055</t>
  </si>
  <si>
    <t>employment_id, person_id, legal_entity_id, employment_start, employment_end, probation_months, confirmation_date, notice_days, tenure_continuity_ref</t>
  </si>
  <si>
    <t>sanctioned_position C</t>
  </si>
  <si>
    <t>Nucleus</t>
  </si>
  <si>
    <t>org_unit, designation_code, location_id, sanctioned_count, effective_from, approved_by</t>
  </si>
  <si>
    <t>Tenure and gratuity continuity on rehire or transfer is decided by rule here.</t>
  </si>
  <si>
    <t>SCR-013</t>
  </si>
  <si>
    <t>Rejects with reasons, or proceeds</t>
  </si>
  <si>
    <t>people.sanction.set</t>
  </si>
  <si>
    <t>TAL-01</t>
  </si>
  <si>
    <t>position</t>
  </si>
  <si>
    <t>Requisition raise and position control check</t>
  </si>
  <si>
    <t>E1041 rejected: he guarantees an active loan</t>
  </si>
  <si>
    <t>position_code, title, org_unit, location_id, grade, cost_centre, status(filled|vacant|frozen|abolished), current_incumbent_id, last_incumbent_id, vacated_on, sanctioned_ref</t>
  </si>
  <si>
    <t>Vacancy or growth</t>
  </si>
  <si>
    <t>Hiring manager</t>
  </si>
  <si>
    <t>Nominates two guarantors</t>
  </si>
  <si>
    <t>PPL-04.2</t>
  </si>
  <si>
    <t>Modules 1, 9</t>
  </si>
  <si>
    <t>A budgeted seat that exists with or without a person in it.</t>
  </si>
  <si>
    <t>11_Positions</t>
  </si>
  <si>
    <t>Derive filled count from active assignments and open count from open requisitions.</t>
  </si>
  <si>
    <t>assignment</t>
  </si>
  <si>
    <t>RL-056</t>
  </si>
  <si>
    <t>Replacement names a vacated position; addition consumes sanction or is blocked.</t>
  </si>
  <si>
    <t>assignment R; requisition R</t>
  </si>
  <si>
    <t>TAL-02</t>
  </si>
  <si>
    <t>assignment_id, employment_id, person_id, position_code, org_unit, designation_code, band, worker_class, manager_assignment_id, shift_group, default_shift, payroll_group, location_id, cost_centre, project_ref, vendor_id, effective_from, effective_to</t>
  </si>
  <si>
    <t>filled_count, open_req_count</t>
  </si>
  <si>
    <t>Candidate pipeline to offer</t>
  </si>
  <si>
    <t>Guarantors accept explicitly</t>
  </si>
  <si>
    <t>Requisition open</t>
  </si>
  <si>
    <t>Three readings of one structure — never store filled_count as a column.</t>
  </si>
  <si>
    <t>Recruiter</t>
  </si>
  <si>
    <t>The unit everything else references.</t>
  </si>
  <si>
    <t>Module 9</t>
  </si>
  <si>
    <t>No auto-reject. Ranking assists; humans decide; reasons recorded.</t>
  </si>
  <si>
    <t>PPL-04.3</t>
  </si>
  <si>
    <t>override_has_rest_days, override_rest_day_pattern, override_wage_type, override_ot_eligibility, override_grace_exempt, override_leave_policy_ref, override_reason</t>
  </si>
  <si>
    <t>Locks the guarantors — now ineligible themselves</t>
  </si>
  <si>
    <t>TAL-03</t>
  </si>
  <si>
    <t>Referral tracking and award payout</t>
  </si>
  <si>
    <t>Expose headroom = sanctioned − filled − open, consumed by TAL-01.</t>
  </si>
  <si>
    <t>RL-057</t>
  </si>
  <si>
    <t>Referral submitted</t>
  </si>
  <si>
    <t>headroom</t>
  </si>
  <si>
    <t>Class supplies the default; the individual may differ. Override without a reason fails validation.</t>
  </si>
  <si>
    <t>Modules 9, 15</t>
  </si>
  <si>
    <t>Negative headroom is legal only with a recorded override.</t>
  </si>
  <si>
    <t>06_Worker_Classes</t>
  </si>
  <si>
    <t>Sanction chain approves; director may override with rules waived recorded</t>
  </si>
  <si>
    <t>org_unit</t>
  </si>
  <si>
    <t>19</t>
  </si>
  <si>
    <t>Part on joining, balance on confirmation, paid through payroll.</t>
  </si>
  <si>
    <t>org_unit_code, name, parent, level, type, primary_location, cost_centre</t>
  </si>
  <si>
    <t>TAL-04</t>
  </si>
  <si>
    <t>Goal, check-in and review cycle</t>
  </si>
  <si>
    <t>PPL-04.4</t>
  </si>
  <si>
    <t>Cycle opened</t>
  </si>
  <si>
    <t>Manager, employee</t>
  </si>
  <si>
    <t>Registers the deduction node; payroll recovers monthly above the net floor</t>
  </si>
  <si>
    <t>Effective-dated so reorganisations are history, not destruction.</t>
  </si>
  <si>
    <t>Quarterly</t>
  </si>
  <si>
    <t>04_Org_Units</t>
  </si>
  <si>
    <t>Module 8</t>
  </si>
  <si>
    <t>designation</t>
  </si>
  <si>
    <t>CMP-01, CMP-11</t>
  </si>
  <si>
    <t>designation_code, title, band, grace_exempt, leave_band, ot_default, notice_days</t>
  </si>
  <si>
    <t>AI drafts, human decides and signs; the system records that.</t>
  </si>
  <si>
    <t>On separation, set position status vacant with last_incumbent and vacated_on.</t>
  </si>
  <si>
    <t>TAL-05</t>
  </si>
  <si>
    <t>RL-058</t>
  </si>
  <si>
    <t>Outstanding hits zero → closes the loan → WRITES the guarantor release rows</t>
  </si>
  <si>
    <t>Skills inference and learning assignment</t>
  </si>
  <si>
    <t>position U</t>
  </si>
  <si>
    <t>status, last_incumbent_id, vacated_on</t>
  </si>
  <si>
    <t>Without the release row they are blocked forever</t>
  </si>
  <si>
    <t>Work signal or completion</t>
  </si>
  <si>
    <t>Grace exemption lives on the band, never as a hardcoded grade string.</t>
  </si>
  <si>
    <t>05_Designations</t>
  </si>
  <si>
    <t>people.position.vacated</t>
  </si>
  <si>
    <t>worker_class</t>
  </si>
  <si>
    <t>This row is what a replacement requisition points at (demo point 24).</t>
  </si>
  <si>
    <t>Module 10</t>
  </si>
  <si>
    <t>class_code, label, has_rest_days, rest_day_pattern, wage_type, ot_eligibility, leave_eligible, leave_policy_ref, statutory_set, obligation_party</t>
  </si>
  <si>
    <t>CMP-07, CMP-11</t>
  </si>
  <si>
    <t>§ PPL-06 · Document capture, classification and expiry</t>
  </si>
  <si>
    <t>§ SM-7 · EXIT — clearance in parallel with notice, F&amp;F on the last working day (demo point 16)</t>
  </si>
  <si>
    <t>Induction paths assigned by the joining chain use the same mechanism.</t>
  </si>
  <si>
    <t>§ CONTINGENT WORKFORCE</t>
  </si>
  <si>
    <t>Nine classes in the demo tenant. Every attribute overridable per assignment.</t>
  </si>
  <si>
    <t>sanctioned_position</t>
  </si>
  <si>
    <t>SM-7</t>
  </si>
  <si>
    <t>record_id, org_unit, designation_code, location_id, sanctioned_count, effective_from, approved_by</t>
  </si>
  <si>
    <t>Exit</t>
  </si>
  <si>
    <t>Finance/HR</t>
  </si>
  <si>
    <t>Resigns</t>
  </si>
  <si>
    <t>CTG-01</t>
  </si>
  <si>
    <t>Contractor engagement and worker registration</t>
  </si>
  <si>
    <t>PPL-06.1</t>
  </si>
  <si>
    <t>Filled and open counts are derived, never stored.</t>
  </si>
  <si>
    <t>10_Sanctioned_Manpower</t>
  </si>
  <si>
    <t>Contract signed</t>
  </si>
  <si>
    <t>HR / Purchase</t>
  </si>
  <si>
    <t>document</t>
  </si>
  <si>
    <t>Upload a document and select or accept the inferred class.</t>
  </si>
  <si>
    <t>Per contract</t>
  </si>
  <si>
    <t>RL-060</t>
  </si>
  <si>
    <t>document_id, person_id, assignment_id, class, file_ref, issued_on, expires_on, verified_by, extracted_fields, confidence</t>
  </si>
  <si>
    <t>document C</t>
  </si>
  <si>
    <t>Accepts; notice computed</t>
  </si>
  <si>
    <t>document_id, person_id, class, file_ref, issued_on, expires_on, verified_by</t>
  </si>
  <si>
    <t>SCR-014</t>
  </si>
  <si>
    <t>Employee/HR</t>
  </si>
  <si>
    <t>people.document.uploaded</t>
  </si>
  <si>
    <t>One engagement, several worker classes. Class is the unit of policy, not the contract.</t>
  </si>
  <si>
    <t>Encrypted at rest, expiry-tracked.</t>
  </si>
  <si>
    <t>CTG-02</t>
  </si>
  <si>
    <t>Contractor attendance and invoice reconciliation</t>
  </si>
  <si>
    <t>asset</t>
  </si>
  <si>
    <t>Instantiates the clearance checklist for this worker class and location</t>
  </si>
  <si>
    <t>Vendor invoice</t>
  </si>
  <si>
    <t>asset_code, type, description, serial, status, condition</t>
  </si>
  <si>
    <t>PPL-06.2</t>
  </si>
  <si>
    <t>Finance</t>
  </si>
  <si>
    <t>Plant and head office templates differ</t>
  </si>
  <si>
    <t>Classify and extract fields; store extraction confidence; never overwrite a verified value silently.</t>
  </si>
  <si>
    <t>RL-061</t>
  </si>
  <si>
    <t>document U</t>
  </si>
  <si>
    <t>extracted_fields, confidence</t>
  </si>
  <si>
    <t>33_Assets</t>
  </si>
  <si>
    <t>Nine items across departments run IN PARALLEL with notice, four blocking</t>
  </si>
  <si>
    <t>asset_allocation</t>
  </si>
  <si>
    <t>Bill against attendance the system already holds; variance visible before payment.</t>
  </si>
  <si>
    <t>people.document.classified</t>
  </si>
  <si>
    <t>Low confidence routes to HR verification queue.</t>
  </si>
  <si>
    <t>CTG-03</t>
  </si>
  <si>
    <t>allocation_id, asset_code, person_id, issued_on, returned_on, condition, clearance_item_ref</t>
  </si>
  <si>
    <t>Principal employer compliance verification</t>
  </si>
  <si>
    <t>Monthly filing cycle</t>
  </si>
  <si>
    <t>Compliance owner</t>
  </si>
  <si>
    <t>Asset register drives the blocking items; unreturned asset becomes a recovery line</t>
  </si>
  <si>
    <t>Allocation at joining; return is a blocking clearance item at exit.</t>
  </si>
  <si>
    <t>PPL-06.3</t>
  </si>
  <si>
    <t>Modules 6, 13</t>
  </si>
  <si>
    <t>§ TIME</t>
  </si>
  <si>
    <t>Schedule expiry reminders at configured intervals.</t>
  </si>
  <si>
    <t>Contractor's own PF and ESI filings held as evidence.</t>
  </si>
  <si>
    <t>RL-062</t>
  </si>
  <si>
    <t>notification C</t>
  </si>
  <si>
    <t>§ EXPERIENCE</t>
  </si>
  <si>
    <t>expires_on, remind_at[]</t>
  </si>
  <si>
    <t>Exit Coordinator chases owners on SLA and assembles the F&amp;F pack</t>
  </si>
  <si>
    <t>people.document.expiring</t>
  </si>
  <si>
    <t>attendance_event</t>
  </si>
  <si>
    <t>Prepare; a human releases</t>
  </si>
  <si>
    <t>event_id, person_id, punch_ts, direction, source, device_id, geo_lat, geo_lng, selfie_ref, received_at, is_duplicate, drift_correction_ms</t>
  </si>
  <si>
    <t>§ TIM-01 · Punch ingestion from all sources</t>
  </si>
  <si>
    <t>EXP-01</t>
  </si>
  <si>
    <t>Device</t>
  </si>
  <si>
    <t>Recognition nomination, award and payout</t>
  </si>
  <si>
    <t>All blocking items closed → F&amp;F run unblocks (same lock as the payroll input lock)</t>
  </si>
  <si>
    <t>Programme cycle</t>
  </si>
  <si>
    <t>IMMUTABLE. Never edited, never deleted.</t>
  </si>
  <si>
    <t>20_Punch_Events</t>
  </si>
  <si>
    <t>attendance_segment</t>
  </si>
  <si>
    <t>segment_id, attendance_day_id, segment_no, in_event_id, out_event_id, start_ts, end_ts, minutes</t>
  </si>
  <si>
    <t>CMP-01, CMP-03</t>
  </si>
  <si>
    <t>Approves and settles on the last working day</t>
  </si>
  <si>
    <t>18</t>
  </si>
  <si>
    <t>Monetary component raises a payroll input in a named run.</t>
  </si>
  <si>
    <t>TIM-01.1</t>
  </si>
  <si>
    <t>EXP-02</t>
  </si>
  <si>
    <t>Announcement generation and publish</t>
  </si>
  <si>
    <t>One row per paired in/out.</t>
  </si>
  <si>
    <t>Punch at a biometric terminal, kiosk, mobile app (geofenced), WhatsApp, web or integrated gate system.</t>
  </si>
  <si>
    <t>Event or manual</t>
  </si>
  <si>
    <t>RL-070</t>
  </si>
  <si>
    <t>Receives settlement, relieving letter and the alumni record</t>
  </si>
  <si>
    <t>attendance_event C</t>
  </si>
  <si>
    <t>attendance_break</t>
  </si>
  <si>
    <t>event_id, person_id, punch_ts, direction(IN|OUT|AUTO), source, device_id, geo_lat, geo_lng, selfie_ref</t>
  </si>
  <si>
    <t>Low</t>
  </si>
  <si>
    <t>SCR-020</t>
  </si>
  <si>
    <t>break_id, attendance_day_id, break_no, start_ts, end_ts, minutes, break_type(meal|gate_pass|other), is_paid, is_deducted</t>
  </si>
  <si>
    <t>time.punch.received</t>
  </si>
  <si>
    <t>CMP-03r, CMP-07</t>
  </si>
  <si>
    <t>Offline → queue locally with a signed timestamp and replay on reconnect.</t>
  </si>
  <si>
    <t>Audience rule + channel list, with an editorial override before publish.</t>
  </si>
  <si>
    <t>EXP-03</t>
  </si>
  <si>
    <t>First-class rows are why the break report exists without a special query.</t>
  </si>
  <si>
    <t>Letter generation and issue register</t>
  </si>
  <si>
    <t>21_Expected_Attendance</t>
  </si>
  <si>
    <t>Lifecycle event</t>
  </si>
  <si>
    <t>TIM-01.2</t>
  </si>
  <si>
    <t>§ SM-8 · ERP EMPLOYEE MASTER INBOUND (demo point 14)</t>
  </si>
  <si>
    <t>attendance_day</t>
  </si>
  <si>
    <t>Device / agent</t>
  </si>
  <si>
    <t>attendance_day_id, person_id, attendance_date, shift_id_assigned, shift_id_applied, inference_reason, shift_minutes, day_type</t>
  </si>
  <si>
    <t>Push to the ingestion endpoint, or the site agent polls the device buffer and pushes.</t>
  </si>
  <si>
    <t>RL-071</t>
  </si>
  <si>
    <t>device_batch_id, received_at</t>
  </si>
  <si>
    <t>CMP-03r, CMP-01</t>
  </si>
  <si>
    <t>SM-8</t>
  </si>
  <si>
    <t>time.punch.ingested</t>
  </si>
  <si>
    <t>ERP sync</t>
  </si>
  <si>
    <t>Issued letter retains the template version that produced it.</t>
  </si>
  <si>
    <t>Device clock drift corrected by RL-072 using the device's last sync offset; correction recorded, raw value retained.</t>
  </si>
  <si>
    <t>DERIVED and recomputable. Keyed on the date the shift started.</t>
  </si>
  <si>
    <t>§ FINANCE &amp; ERP</t>
  </si>
  <si>
    <t>ERP pushes batch ERP-SYNC-…</t>
  </si>
  <si>
    <t>first_in, last_out, gross_minutes, break_minutes_recorded, break_minutes_deducted, gate_pass_minutes_deducted, gate_pass_minutes_credited, net_minutes</t>
  </si>
  <si>
    <t>TIM-01.3</t>
  </si>
  <si>
    <t>De-duplicate on (person, punch_ts, device) within the dedupe window; store raw event immutably.</t>
  </si>
  <si>
    <t>FIN-01</t>
  </si>
  <si>
    <t>RL-073</t>
  </si>
  <si>
    <t>ERP employee master inbound sync</t>
  </si>
  <si>
    <t>Demo client: breaks recorded not deducted (gate-to-gate).</t>
  </si>
  <si>
    <t>dedupe_key, is_duplicate</t>
  </si>
  <si>
    <t>integration-svc receives; domain modules never call the ERP directly</t>
  </si>
  <si>
    <t>Scheduled batch or webhook</t>
  </si>
  <si>
    <t>Duplicate punches inside 60s are marked, not discarded — the count is a device health signal.</t>
  </si>
  <si>
    <t>ot_basis(gross|net), ot_minutes_raw, ot_minutes_payable, ot_eligibility_applied</t>
  </si>
  <si>
    <t>Blueprint §9.2</t>
  </si>
  <si>
    <t>CMP-07, CMP-10</t>
  </si>
  <si>
    <t>Three ownership modes; co-owned is the common answer. Never implicit last-write-wins.</t>
  </si>
  <si>
    <t>Basis is tenant configuration and must be stated, never assumed.</t>
  </si>
  <si>
    <t>TIM-01.4</t>
  </si>
  <si>
    <t>FIN-02</t>
  </si>
  <si>
    <t>GL mapping maintenance and validation</t>
  </si>
  <si>
    <t>Hash check: already applied → duplicate rejected</t>
  </si>
  <si>
    <t>Queue the affected attendance day for derivation.</t>
  </si>
  <si>
    <t>New component or account</t>
  </si>
  <si>
    <t>late_by_minutes, late_instance_no, late_beyond_allowance, grace_exempt_applied, long_night_relief</t>
  </si>
  <si>
    <t>RL-074</t>
  </si>
  <si>
    <t>Implementation / Finance</t>
  </si>
  <si>
    <t>Idempotent on the external employee code</t>
  </si>
  <si>
    <t>recompute_queue C</t>
  </si>
  <si>
    <t>person_id, attendance_date, reason(new_punch)</t>
  </si>
  <si>
    <t>Blueprint §9.1</t>
  </si>
  <si>
    <t>A punch arriving after the payroll input lock raises an exception (RL-075) instead of silently changing a locked day.</t>
  </si>
  <si>
    <t>Ownership map decides each field: ERP-owned applies, Nucleus-owned holds</t>
  </si>
  <si>
    <t>Unmapped component blocks the run reaching APPROVED.</t>
  </si>
  <si>
    <t>FIN-03</t>
  </si>
  <si>
    <t>§ TIM-02 · Attendance day derivation</t>
  </si>
  <si>
    <t>Never implicit last-write-wins</t>
  </si>
  <si>
    <t>Salary journal generation and posting</t>
  </si>
  <si>
    <t>status(Present|Half Day|Absent|Weekly Off|Holiday|Leave|…), applied_rule_ids[], computed_at, computed_by_ruleset_version, input_hash</t>
  </si>
  <si>
    <t>Run approved</t>
  </si>
  <si>
    <t>Reviews the held conflict and decides</t>
  </si>
  <si>
    <t>Provenance is what makes a March recomputation explainable in September.</t>
  </si>
  <si>
    <t>attendance_day_delta</t>
  </si>
  <si>
    <t>Dimensioned at employee level BEFORE aggregation. One journal per run per entity.</t>
  </si>
  <si>
    <t>delta_id, attendance_day_id, field, old_value, new_value, reason, recomputed_at</t>
  </si>
  <si>
    <t>FIN-04</t>
  </si>
  <si>
    <t>TIM-02.1</t>
  </si>
  <si>
    <t>Reconciliation reporting</t>
  </si>
  <si>
    <t>Unmatched external code parked for resolution, never auto-created</t>
  </si>
  <si>
    <t>Post-posting</t>
  </si>
  <si>
    <t>Determine the attendance_date: the date the SHIFT started, not the calendar date of the punch.</t>
  </si>
  <si>
    <t>RL-080</t>
  </si>
  <si>
    <t>Audit delta, never a silent overwrite.</t>
  </si>
  <si>
    <t>attendance_day C</t>
  </si>
  <si>
    <t>person_id, attendance_date</t>
  </si>
  <si>
    <t>Blueprint §9.4</t>
  </si>
  <si>
    <t>shift</t>
  </si>
  <si>
    <t>Splitting a cross-midnight shift across two calendar dates corrupts OT, disposition and pay in one move.</t>
  </si>
  <si>
    <t>shift_code, name, shift_group, start_time, end_time, duration_min, break_recorded_min, break_deducted_min, crosses_midnight</t>
  </si>
  <si>
    <t>ERP-owned fields render read-only in the UI</t>
  </si>
  <si>
    <t>A product screen, not a support script.</t>
  </si>
  <si>
    <t>FIN-05</t>
  </si>
  <si>
    <t>Bank file generation and dual control</t>
  </si>
  <si>
    <t>TIM-02.2</t>
  </si>
  <si>
    <t>07_Shifts</t>
  </si>
  <si>
    <t>shift_window</t>
  </si>
  <si>
    <t>Collect all events for the person inside the day's window and order by timestamp.</t>
  </si>
  <si>
    <t>shift_code, earliest_in, latest_in</t>
  </si>
  <si>
    <t>RL-081</t>
  </si>
  <si>
    <t>§ SM-9 · JOINING CHAIN (demo points 23, 26)</t>
  </si>
  <si>
    <t>time</t>
  </si>
  <si>
    <t>attendance_event R</t>
  </si>
  <si>
    <t>punch_ts, direction</t>
  </si>
  <si>
    <t>Out-of-band total verification; alert on bank-detail change inside a payroll window.</t>
  </si>
  <si>
    <t>§ INTELLIGENCE &amp; AGENTS</t>
  </si>
  <si>
    <t>Must not overlap inside a shift group; overlap fails validation at save.</t>
  </si>
  <si>
    <t>SM-9</t>
  </si>
  <si>
    <t>roster</t>
  </si>
  <si>
    <t>Joining</t>
  </si>
  <si>
    <t>roster_id, person_id, date, shift_code, published_at, published_by</t>
  </si>
  <si>
    <t>Accepts the offer</t>
  </si>
  <si>
    <t>TIM-02.3</t>
  </si>
  <si>
    <t>Supervisor</t>
  </si>
  <si>
    <t>INT-01</t>
  </si>
  <si>
    <t>Pair IN to the next OUT and write one attendance_segment per pair.</t>
  </si>
  <si>
    <t>Agent invocation through the policy gate</t>
  </si>
  <si>
    <t>RL-082</t>
  </si>
  <si>
    <t>Republishing a roster queues recompute.</t>
  </si>
  <si>
    <t>attendance_segment C</t>
  </si>
  <si>
    <t>segment_no, in_event_id, out_event_id, start_ts, end_ts, minutes</t>
  </si>
  <si>
    <t>Schedule or user ask</t>
  </si>
  <si>
    <t>work_calendar</t>
  </si>
  <si>
    <t>Unpaired event raises an exception to TIM-08; it is never silently discarded.</t>
  </si>
  <si>
    <t>calendar_id, location_id, date, day_type(working|weekly_off|holiday|festival)</t>
  </si>
  <si>
    <t>Pre-boarding portal opens; document collection and BGV start in parallel</t>
  </si>
  <si>
    <t>Blueprint §6.2</t>
  </si>
  <si>
    <t>BGV vendor</t>
  </si>
  <si>
    <t>Identity, scoped role, per-tool permission, blast-radius cap, dry-run requirement.</t>
  </si>
  <si>
    <t>Multi-plant operations do not share one holiday list.</t>
  </si>
  <si>
    <t>TIM-02.4</t>
  </si>
  <si>
    <t>INT-02</t>
  </si>
  <si>
    <t>09_Holiday_Calendar</t>
  </si>
  <si>
    <t>Action ledger write and reversal</t>
  </si>
  <si>
    <t>holiday_calendar</t>
  </si>
  <si>
    <t>Write every gap between consecutive segments as an attendance_break with type and paid flag.</t>
  </si>
  <si>
    <t>Agent action executed</t>
  </si>
  <si>
    <t>Creates person, employment and assignment on the date of joining</t>
  </si>
  <si>
    <t>RL-083</t>
  </si>
  <si>
    <t>date, holiday_name, applicable_locations[], type(National|Statutory|Festival)</t>
  </si>
  <si>
    <t>attendance_break C</t>
  </si>
  <si>
    <t>break_no, start_ts, end_ts, minutes, break_type(meal|gate_pass|other), is_paid</t>
  </si>
  <si>
    <t>Breaks are first-class rows precisely so the break report exists without a special query (demo point 1).</t>
  </si>
  <si>
    <t>Simulation result, approval, outcome, reversal handle. Watch the reversal rate.</t>
  </si>
  <si>
    <t>INT-03</t>
  </si>
  <si>
    <t>Statutory registrations: UAN, ESI IP, PT enrolment</t>
  </si>
  <si>
    <t>attendance_rule_set</t>
  </si>
  <si>
    <t>Analytics projection and operational reports</t>
  </si>
  <si>
    <t>EPFO / ESIC</t>
  </si>
  <si>
    <t>TIM-02.5</t>
  </si>
  <si>
    <t>Event or schedule</t>
  </si>
  <si>
    <t>ruleset_id, version, shift_hours, half_day_below_min, absent_below_min, grace_in_min, grace_out_min, late_allowance_per_month, long_night_after, next_day_relief_until, effective_from</t>
  </si>
  <si>
    <t>Compute gross_minutes = last_out − first_in.</t>
  </si>
  <si>
    <t>RL-084</t>
  </si>
  <si>
    <t>Module 11</t>
  </si>
  <si>
    <t>attendance_day U</t>
  </si>
  <si>
    <t>first_in, last_out, gross_minutes</t>
  </si>
  <si>
    <t>CMP-07, CMP-08</t>
  </si>
  <si>
    <t>Generates Form F and the state's factory joining forms INSIDE the chain</t>
  </si>
  <si>
    <t>Not chased in an audit week</t>
  </si>
  <si>
    <t>Shipped configured: break, OT register, late summary, gate-pass utilisation, team history.</t>
  </si>
  <si>
    <t>The whole disposition rule is four data rows. A new shift length is a row, not a release.</t>
  </si>
  <si>
    <t>08_Attendance_Rules</t>
  </si>
  <si>
    <t>INT-04</t>
  </si>
  <si>
    <t>Predictive scoring with explanation</t>
  </si>
  <si>
    <t>gate_pass</t>
  </si>
  <si>
    <t>Acknowledges policies on the phone</t>
  </si>
  <si>
    <t>Monthly scoring</t>
  </si>
  <si>
    <t>TIM-02.6</t>
  </si>
  <si>
    <t>gate_pass_id, person_id, date, from_ts, to_ts, minutes, pass_type(personal|official), reason, status, approver, minutes_used_this_month, instances_this_month</t>
  </si>
  <si>
    <t>Compute break_minutes and net_minutes per the tenant's break treatment. Demo client: meal break recorded, NOT deducted (gate-to-gate).</t>
  </si>
  <si>
    <t>RL-085</t>
  </si>
  <si>
    <t>Ceiling enforced in the service so WhatsApp obeys the same rule.</t>
  </si>
  <si>
    <t>break_minutes_recorded, break_minutes_deducted, net_minutes</t>
  </si>
  <si>
    <t>22_Gate_Pass</t>
  </si>
  <si>
    <t>Assigns the induction path and the 30/60/90 plan</t>
  </si>
  <si>
    <t>overtime_record</t>
  </si>
  <si>
    <t>HR-only by default; manager exposure is a tenant opt-in with guidance.</t>
  </si>
  <si>
    <t>Getting this wrong turns a 19h20m day into 18h35m and the OT figure with it. Config, not code.</t>
  </si>
  <si>
    <t>ot_record_id, person_id, date, day_type, ot_minutes, rate_multiplier, eligibility_basis, approved_by, approved_on, pay_in_run_id</t>
  </si>
  <si>
    <t>TIM-02.7</t>
  </si>
  <si>
    <t>Allocates assets; each allocation becomes a future blocking clearance item</t>
  </si>
  <si>
    <t>Apply approved gate-pass credit before disposition (deduct the gap as a break, credit approved minutes back).</t>
  </si>
  <si>
    <t>Every minute must reconcile to the attendance day.</t>
  </si>
  <si>
    <t>RL-086</t>
  </si>
  <si>
    <t>gate_pass R; attendance_day U</t>
  </si>
  <si>
    <t>23_Overtime_Register</t>
  </si>
  <si>
    <t>gate_pass_minutes_deducted, gate_pass_minutes_credited</t>
  </si>
  <si>
    <t>regularisation</t>
  </si>
  <si>
    <t>Unapproved pass minutes stay deducted.</t>
  </si>
  <si>
    <t>regularisation_id, person_id, date, requested_change, reason, evidence_ref, approver, decided_at</t>
  </si>
  <si>
    <t>Publishes the new-joiner announcement to the audience rule</t>
  </si>
  <si>
    <t>App / WhatsApp</t>
  </si>
  <si>
    <t>Employee/Mgr</t>
  </si>
  <si>
    <t>TIM-02.8</t>
  </si>
  <si>
    <t>Compute ot_minutes = max(0, basis_minutes − shift_minutes), where basis is gross or net per tenant configuration.</t>
  </si>
  <si>
    <t>Regularisation rate per 100 employees is a product health metric.</t>
  </si>
  <si>
    <t>RL-087</t>
  </si>
  <si>
    <t>shift_minutes, ot_basis, ot_minutes_raw</t>
  </si>
  <si>
    <t>attendance_exception</t>
  </si>
  <si>
    <t>Demo client computes OT against the GROSS span. Both are legitimate; only one is right per client.</t>
  </si>
  <si>
    <t>exception_id, type, person_id, date, severity, evidence_ref, state, resolved_by</t>
  </si>
  <si>
    <t>TIM-02.9</t>
  </si>
  <si>
    <t>Stamp provenance: computed_at, computed_by_ruleset_version, source_event_count.</t>
  </si>
  <si>
    <t>The Attendance Steward's queue.</t>
  </si>
  <si>
    <t>RL-088</t>
  </si>
  <si>
    <t>computed_at, computed_by_ruleset_version, input_hash</t>
  </si>
  <si>
    <t>time.attendance_day.computed</t>
  </si>
  <si>
    <t>Without the ruleset version nobody can explain why a March recomputation differs from the original.</t>
  </si>
  <si>
    <t>late_counter</t>
  </si>
  <si>
    <t>person_id, month, instance_count, reset_at</t>
  </si>
  <si>
    <t>TIM-02.10</t>
  </si>
  <si>
    <t>Write an audit delta rather than a silent overwrite when recomputing an existing day.</t>
  </si>
  <si>
    <t>RL-089</t>
  </si>
  <si>
    <t>attendance_day_delta C</t>
  </si>
  <si>
    <t>field, old_value, new_value, reason</t>
  </si>
  <si>
    <t>time.attendance_day.recomputed</t>
  </si>
  <si>
    <t>Visible to the employee — a rule that penalises silently generates tickets.</t>
  </si>
  <si>
    <t>Idempotent: recomputing an unchanged day produces an identical row and no delta.</t>
  </si>
  <si>
    <t>§ TIM-03 · Shift inference from in-punch</t>
  </si>
  <si>
    <t>leave_type</t>
  </si>
  <si>
    <t>leave_type, name, unit, accrual, carry_forward, year_end_action, max_per_month, excluded_with[], expiry_rule, applies_to_bands[]</t>
  </si>
  <si>
    <t>TIM-03.1</t>
  </si>
  <si>
    <t>Read the assigned shift for the date from roster or assignment default.</t>
  </si>
  <si>
    <t>RL-090</t>
  </si>
  <si>
    <t>roster R; assignment R</t>
  </si>
  <si>
    <t>shift_id_assigned</t>
  </si>
  <si>
    <t>14_Leave_Types</t>
  </si>
  <si>
    <t>leave_accrual_policy</t>
  </si>
  <si>
    <t>policy_code, leave_band, leave_type, annual_days, accrual_frequency, days_per_period, eligibility_wait_months, credit_on_completion, credit_date</t>
  </si>
  <si>
    <t>TIM-03.2</t>
  </si>
  <si>
    <t>Does the first in-punch fall inside another shift's inference window within the same shift group?</t>
  </si>
  <si>
    <t>RL-091</t>
  </si>
  <si>
    <t>15_Leave_Accrual_Policy</t>
  </si>
  <si>
    <t>shift_window R</t>
  </si>
  <si>
    <t>earliest_in, latest_in, shift_group</t>
  </si>
  <si>
    <t>leave_proration_rule</t>
  </si>
  <si>
    <t>rule_code, joining_month_from, joining_month_to, cl_days, sl_days</t>
  </si>
  <si>
    <t>Windows must not overlap inside a group; overlapping configuration fails validation at save.</t>
  </si>
  <si>
    <t>16_Leave_Proration</t>
  </si>
  <si>
    <t>TIM-03.3</t>
  </si>
  <si>
    <t>leave_combination_rule</t>
  </si>
  <si>
    <t>Adopt the inferred shift for the day; record both values and the inference reason.</t>
  </si>
  <si>
    <t>rule_id, leave_type, excluded_with[], max_per_month, message</t>
  </si>
  <si>
    <t>RL-092</t>
  </si>
  <si>
    <t>shift_id_assigned, shift_id_applied, inference_reason</t>
  </si>
  <si>
    <t>SCR-022</t>
  </si>
  <si>
    <t>time.shift.inferred</t>
  </si>
  <si>
    <t>Inference is never silent — the roster owner sees that coverage did not match the plan.</t>
  </si>
  <si>
    <t>Evaluated before the approval chain starts; message names the rule.</t>
  </si>
  <si>
    <t>leave_ledger</t>
  </si>
  <si>
    <t>ledger_id, person_id, leave_type, txn_type(Credit|Debit|Lapse|Encash|Reversal), days, effective_date, expires_on, source_ref, narration, idempotency_key, created_at</t>
  </si>
  <si>
    <t>TIM-03.4</t>
  </si>
  <si>
    <t>HR / roster owner</t>
  </si>
  <si>
    <t>Override the inferred shift where the inference is wrong.</t>
  </si>
  <si>
    <t>RL-093</t>
  </si>
  <si>
    <t>REPLACES the v1.0 balance column. Balance is a projection over this table.</t>
  </si>
  <si>
    <t>attendance_day U; audit_entry C</t>
  </si>
  <si>
    <t>17_Leave_Ledger</t>
  </si>
  <si>
    <t>override_by, override_reason</t>
  </si>
  <si>
    <t>leave_request</t>
  </si>
  <si>
    <t>time.shift.overridden</t>
  </si>
  <si>
    <t>request_id, person_id, leave_type, date_from, date_to, days_applied, days_availed, is_half_day_start, is_half_day_end, reason, status, actual_return_date, hr_edit_note</t>
  </si>
  <si>
    <t>TIM-03.5</t>
  </si>
  <si>
    <t>18_Leave_Requests</t>
  </si>
  <si>
    <t>compoff_credit</t>
  </si>
  <si>
    <t>Apply the applied shift's duration to the threshold lookup in TIM-05.</t>
  </si>
  <si>
    <t>RL-094</t>
  </si>
  <si>
    <t>attendance_rule_set R</t>
  </si>
  <si>
    <t>credit_id, person_id, earned_on, reason, days, expires_on, status, consumed_on, days_remaining</t>
  </si>
  <si>
    <t>shift_hours</t>
  </si>
  <si>
    <t>Implemented as leave_ledger rows; this is the reporting view. 60-day clock PER CREDIT.</t>
  </si>
  <si>
    <t>§ TIM-04 · Day type resolution</t>
  </si>
  <si>
    <t>19_CompOff_Ledger</t>
  </si>
  <si>
    <t>payroll_run</t>
  </si>
  <si>
    <t>run_id, legal_entity_id, period, payroll_group, run_type(regular|off_cycle_ot|arrears|fnf|bonus), run_state, employee_count, gross, net, statutory, pay_date, gl_posted_on, external_doc_no</t>
  </si>
  <si>
    <t>TIM-04.1</t>
  </si>
  <si>
    <t>Resolve the work calendar for (location, date) — working, weekly off, holiday, festival.</t>
  </si>
  <si>
    <t>RL-100</t>
  </si>
  <si>
    <t>A period carries several runs. Every screen needs a run selector.</t>
  </si>
  <si>
    <t>work_calendar R; holiday_calendar R</t>
  </si>
  <si>
    <t>26_Payroll_Runs</t>
  </si>
  <si>
    <t>date, location_id, day_type</t>
  </si>
  <si>
    <t>payroll_snapshot</t>
  </si>
  <si>
    <t>snapshot_id, run_id, input_hash, rule_pack_versions[], config_version, snapshot_ts</t>
  </si>
  <si>
    <t>Reproducibility to the paisa eleven months later depends on this row.</t>
  </si>
  <si>
    <t>TIM-04.2</t>
  </si>
  <si>
    <t>pay_component</t>
  </si>
  <si>
    <t>Overlay the worker class rest-day policy (has_rest_days, rest_day_pattern) as at the date.</t>
  </si>
  <si>
    <t>RL-101</t>
  </si>
  <si>
    <t>component_code, name, type(earning|deduction|employer_cost|provision), depends_on[], formula, sequence, taxable, pf_applicable, esi_applicable, display_on_payslip</t>
  </si>
  <si>
    <t>worker_class R; assignment R</t>
  </si>
  <si>
    <t>has_rest_days, rest_day_pattern</t>
  </si>
  <si>
    <t>Contractual daily-wage workers show Sunday as Working, not Weekly Off (demo point 2).</t>
  </si>
  <si>
    <t>Nodes in the gross-to-net DAG.</t>
  </si>
  <si>
    <t>35_GL_Mapping</t>
  </si>
  <si>
    <t>salary_structure</t>
  </si>
  <si>
    <t>person_id, effective_from, basic, da, hra, conveyance, special_allowance, daily_rate, monthly_retainer, gross, wage_base, excluded_components, excluded_pct, floor_addback, statutory_wage_base</t>
  </si>
  <si>
    <t>TIM-04.3</t>
  </si>
  <si>
    <t>money</t>
  </si>
  <si>
    <t>HR/Comp</t>
  </si>
  <si>
    <t>Same vendor, same site, same shift — but different classes?</t>
  </si>
  <si>
    <t>RL-102</t>
  </si>
  <si>
    <t>Columns after gross are DERIVED by the wage-base node, not entered.</t>
  </si>
  <si>
    <t>class_code</t>
  </si>
  <si>
    <t>13_Salary_Structure</t>
  </si>
  <si>
    <t>Third-party employees get rest days; helpers do not. Policy attaches to class, never to the contract (demo point 3).</t>
  </si>
  <si>
    <t>payslip</t>
  </si>
  <si>
    <t>payslip_id, run_id, person_id, payable_days, lop_days, gross, deductions, net, published_at</t>
  </si>
  <si>
    <t>TIM-04.4</t>
  </si>
  <si>
    <t>Write day_type on the attendance day BEFORE thresholds are applied.</t>
  </si>
  <si>
    <t>RL-103</t>
  </si>
  <si>
    <t>payslip_line</t>
  </si>
  <si>
    <t>day_type</t>
  </si>
  <si>
    <t>Resolving after thresholds marks a rest-day volunteer as half-day — the classic defect.</t>
  </si>
  <si>
    <t>line_id, payslip_id, component_code, amount_paise, basis, rule_ref, rule_pack_version</t>
  </si>
  <si>
    <t>§ TIM-05 · Disposition — grace, lates, half-day, absent, relief</t>
  </si>
  <si>
    <t>Integer money in the smallest currency unit. No floating point, ever.</t>
  </si>
  <si>
    <t>payslip_line_trace</t>
  </si>
  <si>
    <t>trace_id, line_id, node, inputs, output, rule_pack_version</t>
  </si>
  <si>
    <t>Every line drills to the rule that produced it and the inputs it consumed.</t>
  </si>
  <si>
    <t>payroll_audit_flag</t>
  </si>
  <si>
    <t>TIM-05.1</t>
  </si>
  <si>
    <t>flag_id, run_id, check_code, severity(CRITICAL|HIGH|INFO), person_id, detail, owner, state, resolution_note</t>
  </si>
  <si>
    <t>Is day_type anything other than Working?</t>
  </si>
  <si>
    <t>RL-110</t>
  </si>
  <si>
    <t>day_type, gross_minutes</t>
  </si>
  <si>
    <t>A CRITICAL flag blocks approval.</t>
  </si>
  <si>
    <t>Yes → status = day_type (or 'day_type — worked'), skip thresholds, go to OT eligibility.</t>
  </si>
  <si>
    <t>payroll_input</t>
  </si>
  <si>
    <t>input_id, run_id, person_id, component_code, amount, source(leave_encashment|recognition|referral|claim|arrears|manual), source_ref, created_by</t>
  </si>
  <si>
    <t>Various</t>
  </si>
  <si>
    <t>TIM-05.2</t>
  </si>
  <si>
    <t>Look up thresholds for the applied shift's duration from attendance_rule_set.</t>
  </si>
  <si>
    <t>RL-111</t>
  </si>
  <si>
    <t>shift_hours, half_day_below_min, absent_below_min, grace_in_min, grace_out_min, late_allowance_per_month</t>
  </si>
  <si>
    <t>Threshold table is data. A different shift length is a new row, not a release.</t>
  </si>
  <si>
    <t>Awards and referral payouts enter payroll HERE, never as side payments.</t>
  </si>
  <si>
    <t>30_Recognition_Referral</t>
  </si>
  <si>
    <t>bank_file</t>
  </si>
  <si>
    <t>file_ref, run_id, total_amount, account_count, checksum, generated_at, released_by, verified_by</t>
  </si>
  <si>
    <t>TIM-05.3</t>
  </si>
  <si>
    <t>Is net (or configured basis) below the absent threshold?</t>
  </si>
  <si>
    <t>RL-112</t>
  </si>
  <si>
    <t>net_minutes</t>
  </si>
  <si>
    <t>Dual control; out-of-band total verification.</t>
  </si>
  <si>
    <t>statutory_output</t>
  </si>
  <si>
    <t>Yes → Absent. 12h shift: below 6:30. 10h: below 6:00. 9h: 5:00. 8h: 4:30.</t>
  </si>
  <si>
    <t>output_id, run_id, type(PF_ECR|ESI|PT|LWF|24Q|Form16), state, period, file_ref, filed_on, ack_ref</t>
  </si>
  <si>
    <t>TIM-05.4</t>
  </si>
  <si>
    <t>Is it below the half-day threshold?</t>
  </si>
  <si>
    <t>RL-113</t>
  </si>
  <si>
    <t>28_Statutory_Calendar</t>
  </si>
  <si>
    <t>Yes → Half Day. 12h: below 11:30. 10h: 9:30. 9h: 8:30. 8h: 7:30.</t>
  </si>
  <si>
    <t>§ COMPENSATION &amp; LOANS</t>
  </si>
  <si>
    <t>TIM-05.5</t>
  </si>
  <si>
    <t>loan</t>
  </si>
  <si>
    <t>Compute lateness against shift start plus grace (15 min in and out).</t>
  </si>
  <si>
    <t>RL-114</t>
  </si>
  <si>
    <t>loan_id, person_id, purpose, principal, rate, tenure_months, instalment, outstanding, status, sanctioned_on, sanctioned_by, special_terms, rules_waived[], eligibility_basis</t>
  </si>
  <si>
    <t>late_by_minutes, grace_in_min</t>
  </si>
  <si>
    <t>Ceiling 4x basic, 6x above five years' service — configuration, not constants.</t>
  </si>
  <si>
    <t>24_Loans</t>
  </si>
  <si>
    <t>loan_guarantor</t>
  </si>
  <si>
    <t>TIM-05.6</t>
  </si>
  <si>
    <t>loan_id, guarantor_person_id, mandatory, accepted_on, released_on, currently_blocked</t>
  </si>
  <si>
    <t>Is the employee's designation band grace-exempt (Assistant Manager and above)?</t>
  </si>
  <si>
    <t>RL-115</t>
  </si>
  <si>
    <t>grace_exempt</t>
  </si>
  <si>
    <t>Release on full repayment is an EXPLICIT event.</t>
  </si>
  <si>
    <t>25_Loan_Guarantors</t>
  </si>
  <si>
    <t>Yes → no late instance recorded, no deduction. Expressed on the band, never a hardcoded grade string.</t>
  </si>
  <si>
    <t>loan_repayment</t>
  </si>
  <si>
    <t>repayment_id, loan_id, run_id, amount, source, outstanding_after, posted_at</t>
  </si>
  <si>
    <t>TIM-05.7</t>
  </si>
  <si>
    <t>Increment the monthly late-instance counter; three instances forgiven per calendar month.</t>
  </si>
  <si>
    <t>salary_advance</t>
  </si>
  <si>
    <t>advance_id, person_id, amount, requested_on, recovery_run_id, status</t>
  </si>
  <si>
    <t>EWA is structurally an advance recovered in the same cycle; cap at 50% of accrued net.</t>
  </si>
  <si>
    <t>RL-116</t>
  </si>
  <si>
    <t>late_counter U</t>
  </si>
  <si>
    <t>person_id, month, instance_count</t>
  </si>
  <si>
    <t>SCR-021</t>
  </si>
  <si>
    <t>time.late.counted</t>
  </si>
  <si>
    <t>Counter resets monthly and its value is visible to the employee — a rule that penalises silently generates tickets.</t>
  </si>
  <si>
    <t>rule_pack</t>
  </si>
  <si>
    <t>pack_id, jurisdiction, state, effective_from, supersedes, rules[], test_count, changelog, reviewed_by, deployed_at</t>
  </si>
  <si>
    <t>TIM-05.8</t>
  </si>
  <si>
    <t>Is this the fourth or later late instance this month?</t>
  </si>
  <si>
    <t>Declarative JSON evaluated by a sandboxed interpreter in v1. Keep the interface stable for compiled packs later.</t>
  </si>
  <si>
    <t>RL-117</t>
  </si>
  <si>
    <t>late_beyond_allowance</t>
  </si>
  <si>
    <t>obligation</t>
  </si>
  <si>
    <t>obligation_id, obligation, authority, entity, state, period, due_date, owner, status, evidence_ref, filed_on, ack_ref</t>
  </si>
  <si>
    <t>Yes → status becomes Half Day even where hours qualify as Present.</t>
  </si>
  <si>
    <t>TIM-05.9</t>
  </si>
  <si>
    <t>statutory_form</t>
  </si>
  <si>
    <t>Did the previous attendance day finish after the long-night hour (default 03:00)?</t>
  </si>
  <si>
    <t>form_code, name, act, state, applicability_rule, frequency, due_rule, template_ref</t>
  </si>
  <si>
    <t>RL-118</t>
  </si>
  <si>
    <t>attendance_day R (prior day)</t>
  </si>
  <si>
    <t>prior_last_out, long_night_after</t>
  </si>
  <si>
    <t>Yes → allow arrival up to the relief window (default 09:30) with a full day credited.</t>
  </si>
  <si>
    <t>The library is the deliverable, not any particular form.</t>
  </si>
  <si>
    <t>29_Statutory_Forms</t>
  </si>
  <si>
    <t>statutory_form_instance</t>
  </si>
  <si>
    <t>instance_id, form_code, entity, location_id, period, generated_at, filed_on, ack_ref, file_ref, trigger</t>
  </si>
  <si>
    <t>TIM-05.10</t>
  </si>
  <si>
    <t>Write expected_status with the rule IDs that produced it.</t>
  </si>
  <si>
    <t>RL-119</t>
  </si>
  <si>
    <t>Form F is generated inside the joining chain.</t>
  </si>
  <si>
    <t>status, applied_rule_ids[]</t>
  </si>
  <si>
    <t>consent_record</t>
  </si>
  <si>
    <t>time.attendance_day.disposed</t>
  </si>
  <si>
    <t>Status without its rule trail is unarguable in a dispute.</t>
  </si>
  <si>
    <t>consent_id, data_principal_id, purpose, granted_at, withdrawn_at, notice_version</t>
  </si>
  <si>
    <t>§ TIM-06 · Gate pass request, approval and credit</t>
  </si>
  <si>
    <t>DPDP: itemised notice, purpose-bound processing, erasure with 48-hour pre-intimation.</t>
  </si>
  <si>
    <t>inference_log</t>
  </si>
  <si>
    <t>inference_id, model, model_version, inputs_ref, output, human_decision, decided_by, occurred_at</t>
  </si>
  <si>
    <t>EU AI Act Annex III: log every inference with the human decision attached.</t>
  </si>
  <si>
    <t>§ LIFECYCLE &amp; EXPERIENCE</t>
  </si>
  <si>
    <t>TIM-06.1</t>
  </si>
  <si>
    <t>Request a gate pass: date, from, to, type (personal | official), reason.</t>
  </si>
  <si>
    <t>RL-120</t>
  </si>
  <si>
    <t>gate_pass C</t>
  </si>
  <si>
    <t>gate_pass_id, person_id, date, from_ts, to_ts, minutes, pass_type, reason</t>
  </si>
  <si>
    <t>SCR-023</t>
  </si>
  <si>
    <t>clearance_checklist_template</t>
  </si>
  <si>
    <t>time.gate_pass.requested</t>
  </si>
  <si>
    <t>Request may arrive over WhatsApp — the ceiling is enforced in the service, not the form.</t>
  </si>
  <si>
    <t>template_id, worker_class, location_id, item, owner_role, blocking, sla_days</t>
  </si>
  <si>
    <t>Templates differ by class and location.</t>
  </si>
  <si>
    <t>TIM-06.2</t>
  </si>
  <si>
    <t>27_Exit_Clearance</t>
  </si>
  <si>
    <t>clearance_item</t>
  </si>
  <si>
    <t>Personal pass: would this breach 240 minutes or 2 instances in the calendar month?</t>
  </si>
  <si>
    <t>RL-121</t>
  </si>
  <si>
    <t>item_id, person_id, template_ref, item, owner, blocking, status, cleared_on, waived_by, waive_reason, recovery_amount</t>
  </si>
  <si>
    <t>gate_pass R</t>
  </si>
  <si>
    <t>minutes_used_this_month, instances_this_month</t>
  </si>
  <si>
    <t>Dept owners</t>
  </si>
  <si>
    <t>Yes → reject at validation with the reason text naming the ceiling (demo point 11).</t>
  </si>
  <si>
    <t>F&amp;F cannot release while any blocking item is open.</t>
  </si>
  <si>
    <t>recognition_programme</t>
  </si>
  <si>
    <t>programme_id, name, cadence, award_amount_default, audience_rule</t>
  </si>
  <si>
    <t>TIM-06.3</t>
  </si>
  <si>
    <t>Approve or reject.</t>
  </si>
  <si>
    <t>gate_pass U</t>
  </si>
  <si>
    <t>status, approver, decided_at</t>
  </si>
  <si>
    <t>recognition_award</t>
  </si>
  <si>
    <t>time.gate_pass.approved</t>
  </si>
  <si>
    <t>award_id, programme_id, person_id, period, cited_by, citation, award_amount, status, pay_in_run_id, announcement_ref</t>
  </si>
  <si>
    <t>TIM-06.4</t>
  </si>
  <si>
    <t>Monetary component raises a payroll input.</t>
  </si>
  <si>
    <t>On approval, credit the approved minutes back into work hours before disposition thresholds.</t>
  </si>
  <si>
    <t>referral</t>
  </si>
  <si>
    <t>RL-122</t>
  </si>
  <si>
    <t>referral_id, referrer_id, candidate_id, requisition_id, stage, award_amount, part_paid_amount, award_status, pay_in_run_id</t>
  </si>
  <si>
    <t>gate_pass_minutes_credited</t>
  </si>
  <si>
    <t>Net hours are unchanged by an approved pass; an unapproved absence stays deducted.</t>
  </si>
  <si>
    <t>announcement</t>
  </si>
  <si>
    <t>TIM-06.5</t>
  </si>
  <si>
    <t>announcement_id, type, title, body, audience_rule, channels[], publish_from, publish_to, source_event, created_by, status</t>
  </si>
  <si>
    <t>Official passes are tracked but do not consume the personal ceiling.</t>
  </si>
  <si>
    <t>HR/System</t>
  </si>
  <si>
    <t>RL-123</t>
  </si>
  <si>
    <t>pass_type</t>
  </si>
  <si>
    <t>A broadcast with an audience rule — distinct from the activity feed, which is a log.</t>
  </si>
  <si>
    <t>31_Announcements</t>
  </si>
  <si>
    <t>letter_template</t>
  </si>
  <si>
    <t>template_id, type, version, effective_from, body, merge_fields[], approval_required</t>
  </si>
  <si>
    <t>§ TIM-07 · Overtime computation and approval</t>
  </si>
  <si>
    <t>32_Letter_Templates</t>
  </si>
  <si>
    <t>letter_issued</t>
  </si>
  <si>
    <t>issue_id, template_id, template_version, person_id, issued_by, issued_at, file_ref</t>
  </si>
  <si>
    <t>TIM-07.1</t>
  </si>
  <si>
    <t>Retaining the template version is what makes a reprint two years later defensible.</t>
  </si>
  <si>
    <t>Read ot_minutes_raw from the attendance day and the resolved ot_eligibility.</t>
  </si>
  <si>
    <t>learning_assignment</t>
  </si>
  <si>
    <t>RL-130</t>
  </si>
  <si>
    <t>attendance_day R; assignment R</t>
  </si>
  <si>
    <t>assignment_id, person_id, item, type, assigned_on, due_on, completed_on, status, trigger</t>
  </si>
  <si>
    <t>ot_minutes_raw, ot_eligibility</t>
  </si>
  <si>
    <t>Same mechanism whether triggered by joining, review, promotion or a policy update.</t>
  </si>
  <si>
    <t>34_Induction_Learning</t>
  </si>
  <si>
    <t>§ TALENT &amp; CONTINGENT</t>
  </si>
  <si>
    <t>TIM-07.2</t>
  </si>
  <si>
    <t>Eligibility = none?</t>
  </si>
  <si>
    <t>RL-131</t>
  </si>
  <si>
    <t>ot_eligibility</t>
  </si>
  <si>
    <t>requisition</t>
  </si>
  <si>
    <t>Yes → ot_payable = 0, retain raw for reporting.</t>
  </si>
  <si>
    <t>requisition_id, requisition_type(replacement|addition), against_position_code, org_unit, designation_code, location_id, raised_on, hiring_manager, status, blocker, override_by, override_reason</t>
  </si>
  <si>
    <t>Hiring mgr</t>
  </si>
  <si>
    <t>TIM-07.3</t>
  </si>
  <si>
    <t>A replacement consumes no fresh sanction; an addition does.</t>
  </si>
  <si>
    <t>37_Requisitions</t>
  </si>
  <si>
    <t>Eligibility = rest_day_and_holiday_only?</t>
  </si>
  <si>
    <t>candidate</t>
  </si>
  <si>
    <t>RL-132</t>
  </si>
  <si>
    <t>candidate_id, name, contact, source_channel, referral_ref, skills[], stage, consent_ref</t>
  </si>
  <si>
    <t>Working day → 0 despite a 12h+ span. Rest day or holiday → the whole span is payable OT (demo point 4).</t>
  </si>
  <si>
    <t>contractor_engagement</t>
  </si>
  <si>
    <t>TIM-07.4</t>
  </si>
  <si>
    <t>engagement_id, vendor_id, contract_ref, start, end, site, rate_card[], compliance_status</t>
  </si>
  <si>
    <t>Write the overtime_record with the eligibility basis and the rate multiplier from the state rule pack.</t>
  </si>
  <si>
    <t>Purchase/HR</t>
  </si>
  <si>
    <t>RL-133</t>
  </si>
  <si>
    <t>overtime_record C</t>
  </si>
  <si>
    <t>ot_record_id, person_id, date, ot_minutes, rate_multiplier, eligibility_basis, day_type</t>
  </si>
  <si>
    <t>The commercial relationship. Policy attaches to worker class, not to the contract.</t>
  </si>
  <si>
    <t>SCR-024</t>
  </si>
  <si>
    <t>time.overtime.computed</t>
  </si>
  <si>
    <t>contractor_invoice</t>
  </si>
  <si>
    <t>Statutory weekly limit exceeded → warn the approver; never silently pay past a limit.</t>
  </si>
  <si>
    <t>invoice_id, engagement_id, period, claimed_days, claimed_amount, system_days, variance_days, variance_amount, decision</t>
  </si>
  <si>
    <t>Vendor/Finance</t>
  </si>
  <si>
    <t>TIM-07.5</t>
  </si>
  <si>
    <t>Variance visible before payment rather than after.</t>
  </si>
  <si>
    <t>§ FINANCE &amp; INTEGRATION</t>
  </si>
  <si>
    <t>Approve overtime before it becomes payable.</t>
  </si>
  <si>
    <t>overtime_record U</t>
  </si>
  <si>
    <t>approved_by, approved_on</t>
  </si>
  <si>
    <t>time.overtime.approved</t>
  </si>
  <si>
    <t>gl_mapping</t>
  </si>
  <si>
    <t>mapping_id, entity, component_code, dr_cr, gl_account_code, gl_account_name, cost_centre_source, dimensioned_by[]</t>
  </si>
  <si>
    <t>TIM-07.6</t>
  </si>
  <si>
    <t>Tag the run in which it will be paid (regular or off-cycle).</t>
  </si>
  <si>
    <t>Validated: every component in a run must be mapped before APPROVED.</t>
  </si>
  <si>
    <t>RL-134</t>
  </si>
  <si>
    <t>pay_in_run_id</t>
  </si>
  <si>
    <t>gl_journal</t>
  </si>
  <si>
    <t>journal_id, run_id, entity, period, run_type, total_dr, total_cr, status, posted_at, external_doc_no</t>
  </si>
  <si>
    <t>Demo client: computed with the cycle, disbursed in the off-cycle run (demo point 10).</t>
  </si>
  <si>
    <t>§ TIM-08 · Exception queue and regularisation</t>
  </si>
  <si>
    <t>One balanced journal per run per entity.</t>
  </si>
  <si>
    <t>gl_journal_line</t>
  </si>
  <si>
    <t>line_id, journal_id, account_code, dr_cr, amount, cost_centre, department, location, project, custom_dims</t>
  </si>
  <si>
    <t>Split at employee level BEFORE aggregation.</t>
  </si>
  <si>
    <t>employee_sync_log</t>
  </si>
  <si>
    <t>TIM-08.1</t>
  </si>
  <si>
    <t>sync_id, batch, external_code, nucleus_code, field, erp_value, nucleus_value, field_owner, payload_hash, received_at, applied_at, status, error</t>
  </si>
  <si>
    <t>Raise exceptions: unpaired punch, no punch on a working day, device offline, inferred shift, missing regularisation, late-threshold crossing.</t>
  </si>
  <si>
    <t>RL-140</t>
  </si>
  <si>
    <t>attendance_exception C</t>
  </si>
  <si>
    <t>exception_id, type, person_id, date, severity, evidence_ref</t>
  </si>
  <si>
    <t>SCR-025</t>
  </si>
  <si>
    <t>Idempotent on the external employee code; conflict policy explicit.</t>
  </si>
  <si>
    <t>time.exception.raised</t>
  </si>
  <si>
    <t>36_ERP_Inbound_Master</t>
  </si>
  <si>
    <t>field_ownership_map</t>
  </si>
  <si>
    <t>field, owner(ERP|Nucleus), mandatory, conflict_policy</t>
  </si>
  <si>
    <t>TIM-08.2</t>
  </si>
  <si>
    <t>Attendance Steward agent</t>
  </si>
  <si>
    <t>AGENT</t>
  </si>
  <si>
    <t>No field owned by both; every mandatory field owned by one.</t>
  </si>
  <si>
    <t>Triage the queue; propose regularisations from device and roster evidence with a dry-run diff.</t>
  </si>
  <si>
    <t>RL-141</t>
  </si>
  <si>
    <t>reconciliation_report</t>
  </si>
  <si>
    <t>attendance_exception U; action_ledger C</t>
  </si>
  <si>
    <t>proposed_change, simulation_result, confidence</t>
  </si>
  <si>
    <t>report_id, run_id, check, expected, actual, variance, status</t>
  </si>
  <si>
    <t>agent.action.proposed</t>
  </si>
  <si>
    <t>Propose-only by default; auto-resolve permitted under the tenant's configured threshold.</t>
  </si>
  <si>
    <t>TIM-08.3</t>
  </si>
  <si>
    <t>Approve, amend or reject the proposed regularisation.</t>
  </si>
  <si>
    <t>regularisation C</t>
  </si>
  <si>
    <t>regularisation_id, date, requested_change, reason, approver</t>
  </si>
  <si>
    <t>time.regularisation.approved</t>
  </si>
  <si>
    <t>TIM-08.4</t>
  </si>
  <si>
    <t>Queue recompute for the affected day and close the exception.</t>
  </si>
  <si>
    <t>RL-142</t>
  </si>
  <si>
    <t>recompute_queue C; attendance_exception U</t>
  </si>
  <si>
    <t>reason(regularisation)</t>
  </si>
  <si>
    <t>§ TIM-09 · Attendance recompute</t>
  </si>
  <si>
    <t>TIM-09.1</t>
  </si>
  <si>
    <t>Consume the recompute queue: (person, date range, reason).</t>
  </si>
  <si>
    <t>RL-150</t>
  </si>
  <si>
    <t>recompute_queue R</t>
  </si>
  <si>
    <t>person_id, date_from, date_to, reason</t>
  </si>
  <si>
    <t>Reasons: late punch, regularisation, rule change, roster republish, policy/class change, gate pass, leave reversal.</t>
  </si>
  <si>
    <t>TIM-09.2</t>
  </si>
  <si>
    <t>Read all inputs AS AT the recompute snapshot: worker class, assignment, shift, rule set, calendar.</t>
  </si>
  <si>
    <t>RL-151</t>
  </si>
  <si>
    <t>&lt;temporal reads&gt;</t>
  </si>
  <si>
    <t>Reading today's policy for a past date is the defect this step exists to prevent.</t>
  </si>
  <si>
    <t>TIM-09.3</t>
  </si>
  <si>
    <t>Re-run TIM-02 → TIM-05 for every affected day in an isolated worker process.</t>
  </si>
  <si>
    <t>SCREEN AND SURFACE INVENTORY</t>
  </si>
  <si>
    <t>RL-152</t>
  </si>
  <si>
    <t>all derived fields</t>
  </si>
  <si>
    <t>Must not contend with the interactive application. 5,000 people × 1 month in under 10 minutes.</t>
  </si>
  <si>
    <t>Every screen with its persona, platform and permission scope. Offline behaviour is a requirement, not a nicety — most users are not at a desk.</t>
  </si>
  <si>
    <t>TIM-09.4</t>
  </si>
  <si>
    <t>Does any affected date fall inside a locked or closed payroll period?</t>
  </si>
  <si>
    <t>RL-153</t>
  </si>
  <si>
    <t>payroll.input.stale</t>
  </si>
  <si>
    <t>Yes → do not alter the locked run; raise an arrears item for the next open run and notify payroll.</t>
  </si>
  <si>
    <t>TIM-09.5</t>
  </si>
  <si>
    <t>Emit the delta set for audit and for the pre-payroll audit check 'days not recomputed since last rule change'.</t>
  </si>
  <si>
    <t>RL-154</t>
  </si>
  <si>
    <t>delta set</t>
  </si>
  <si>
    <t>SCR-026</t>
  </si>
  <si>
    <t>Persona</t>
  </si>
  <si>
    <t>§ TIM-10 · Team history and operational time reports</t>
  </si>
  <si>
    <t>Purpose</t>
  </si>
  <si>
    <t>Key actions</t>
  </si>
  <si>
    <t>Permission scope</t>
  </si>
  <si>
    <t>Offline</t>
  </si>
  <si>
    <t>Process refs</t>
  </si>
  <si>
    <t>§ PEOPLE &amp; ADMIN</t>
  </si>
  <si>
    <t>TIM-10.1</t>
  </si>
  <si>
    <t>From the team calendar choose a date range and one member or the whole team.</t>
  </si>
  <si>
    <t>RL-160</t>
  </si>
  <si>
    <t>date_from, date_to, person_scope</t>
  </si>
  <si>
    <t>SCR-027</t>
  </si>
  <si>
    <t>Scoped by the manager's reporting line, evaluated at query time — not filtered in the UI.</t>
  </si>
  <si>
    <t>Principal, role and scope grant</t>
  </si>
  <si>
    <t>FORM FIELD SPECIFICATION</t>
  </si>
  <si>
    <t>TIM-10.2</t>
  </si>
  <si>
    <t>Web</t>
  </si>
  <si>
    <t>Create users and agents, attach roles, grant entity and location scope</t>
  </si>
  <si>
    <t>Return per-day attendance, leave, OT, gate pass, late status and shift applied.</t>
  </si>
  <si>
    <t>Grant, revoke, impersonate-with-audit</t>
  </si>
  <si>
    <t>RL-161</t>
  </si>
  <si>
    <t>Tenant admin only</t>
  </si>
  <si>
    <t>attendance_day R; leave_request R; overtime_record R; gate_pass R</t>
  </si>
  <si>
    <t>status, net_minutes, ot_minutes, gate_pass_minutes, late_by_minutes, shift_applied</t>
  </si>
  <si>
    <t>Field-level specification for the forms that carry rules. Every mandatory flag, validation and default here is buildable as written.</t>
  </si>
  <si>
    <t>Must work on a phone, on a weak network.</t>
  </si>
  <si>
    <t>Employee record — identity and personal</t>
  </si>
  <si>
    <t>TIM-10.3</t>
  </si>
  <si>
    <t>HR ops, employee (self view)</t>
  </si>
  <si>
    <t>Section</t>
  </si>
  <si>
    <t>Web, mobile</t>
  </si>
  <si>
    <t>Export to CSV or PDF.</t>
  </si>
  <si>
    <t>Field label</t>
  </si>
  <si>
    <t>The person's identity, contact, statutory IDs, bank and nominee</t>
  </si>
  <si>
    <t>RL-162</t>
  </si>
  <si>
    <t>Control</t>
  </si>
  <si>
    <t>report_export C</t>
  </si>
  <si>
    <t>Edit (through approval), upload document</t>
  </si>
  <si>
    <t>format, generated_by, scope</t>
  </si>
  <si>
    <t>Source object.field</t>
  </si>
  <si>
    <t>ERP-owned fields read-only; identifiers masked</t>
  </si>
  <si>
    <t>Read only</t>
  </si>
  <si>
    <t>Mandatory</t>
  </si>
  <si>
    <t>report.exported</t>
  </si>
  <si>
    <t>PPL-01, LCY-02</t>
  </si>
  <si>
    <t>Export is logged; it contains personal data.</t>
  </si>
  <si>
    <t>Validation</t>
  </si>
  <si>
    <t>Default</t>
  </si>
  <si>
    <t>Assignment and policy attributes</t>
  </si>
  <si>
    <t>Visibility</t>
  </si>
  <si>
    <t>§ LVE-01 · Leave accrual run</t>
  </si>
  <si>
    <t>Position, class, designation, manager, shift group, payroll group, location, overrides</t>
  </si>
  <si>
    <t>§ SCR-010 EMPLOYEE RECORD</t>
  </si>
  <si>
    <t>Change with effective date, override with reason</t>
  </si>
  <si>
    <t>HR with entity scope</t>
  </si>
  <si>
    <t>PPL-01, PPL-02, PPL-03</t>
  </si>
  <si>
    <t>Position register</t>
  </si>
  <si>
    <t>Positions with status, incumbent, vacancy history</t>
  </si>
  <si>
    <t>LVE-01.1</t>
  </si>
  <si>
    <t>Create, freeze, abolish, mark vacant</t>
  </si>
  <si>
    <t>Identity</t>
  </si>
  <si>
    <t>Nightly job selects eligible (person, leave_type, period) tuples from the accrual policy bound to the leave band.</t>
  </si>
  <si>
    <t>RL-170</t>
  </si>
  <si>
    <t>Employee code</t>
  </si>
  <si>
    <t>leave_accrual_policy R; assignment R</t>
  </si>
  <si>
    <t>Sanctioned strength board</t>
  </si>
  <si>
    <t>Text (read-only)</t>
  </si>
  <si>
    <t>leave_band, leave_type, accrual_frequency, days_per_period, eligibility_wait_months</t>
  </si>
  <si>
    <t>person.employee_code</t>
  </si>
  <si>
    <t>HR, Finance, hiring manager</t>
  </si>
  <si>
    <t>Unique per tenant; format per tenant ID policy</t>
  </si>
  <si>
    <t>Sanctioned vs filled vs open by org unit, designation and location</t>
  </si>
  <si>
    <t>Auto or ERP-supplied</t>
  </si>
  <si>
    <t>Set sanction, view headroom</t>
  </si>
  <si>
    <t>All</t>
  </si>
  <si>
    <t>Entity + location scope</t>
  </si>
  <si>
    <t>Read-only when ERP owns the field</t>
  </si>
  <si>
    <t>PPL-04, TAL-01</t>
  </si>
  <si>
    <t>LVE-01.2</t>
  </si>
  <si>
    <t>Document vault</t>
  </si>
  <si>
    <t>Has the eligibility wait been served (standard band: no EL for the first six months)?</t>
  </si>
  <si>
    <t>RL-171</t>
  </si>
  <si>
    <t>employment R</t>
  </si>
  <si>
    <t>Full name</t>
  </si>
  <si>
    <t>Upload, classify, verify, track expiry</t>
  </si>
  <si>
    <t>employment_start, months_completed</t>
  </si>
  <si>
    <t>Upload, verify, replace</t>
  </si>
  <si>
    <t>Text</t>
  </si>
  <si>
    <t>Own documents; HR within scope</t>
  </si>
  <si>
    <t>person.full_name</t>
  </si>
  <si>
    <t>Queue upload</t>
  </si>
  <si>
    <t>Not served → no credit. On completion → a single 9-day EL credit, then 1.5 days monthly.</t>
  </si>
  <si>
    <t>2-120 chars</t>
  </si>
  <si>
    <t>Duplicate check on name + DOB + site</t>
  </si>
  <si>
    <t>LVE-01.3</t>
  </si>
  <si>
    <t>Gender</t>
  </si>
  <si>
    <t>Select</t>
  </si>
  <si>
    <t>person.gender</t>
  </si>
  <si>
    <t>Write one credit row per (person, type, period) with a unique idempotency key.</t>
  </si>
  <si>
    <t>Check in / check out</t>
  </si>
  <si>
    <t>RL-172</t>
  </si>
  <si>
    <t>leave_ledger C</t>
  </si>
  <si>
    <t>M / F / Other / Prefer not to say</t>
  </si>
  <si>
    <t>ledger_id, person_id, leave_type, txn_type(Credit), days, effective_date, expires_on, source_ref, idempotency_key</t>
  </si>
  <si>
    <t>Mobile, kiosk, WhatsApp, web</t>
  </si>
  <si>
    <t>Punch with geofence and optional selfie</t>
  </si>
  <si>
    <t>leave.credit.posted</t>
  </si>
  <si>
    <t>Drives gender-conditional leave types only</t>
  </si>
  <si>
    <t>Check in, check out</t>
  </si>
  <si>
    <t>Double-crediting must be impossible, not unlikely. Both accrual and expiry jobs must be safely re-runnable.</t>
  </si>
  <si>
    <t>Self only</t>
  </si>
  <si>
    <t>YES — queue with signed timestamp</t>
  </si>
  <si>
    <t>Date of birth</t>
  </si>
  <si>
    <t>Date</t>
  </si>
  <si>
    <t>person.date_of_birth</t>
  </si>
  <si>
    <t>My attendance</t>
  </si>
  <si>
    <t>Age ≥ statutory minimum for the establishment type</t>
  </si>
  <si>
    <t>LVE-01.4</t>
  </si>
  <si>
    <t>Mobile, web</t>
  </si>
  <si>
    <t>Day-by-day status, net hours, late allowance remaining, OT, gate-pass balance</t>
  </si>
  <si>
    <t>Feeds the birthday announcement and birthday leave</t>
  </si>
  <si>
    <t>AGM and above: 18 EL, 6 CL, 6 SL credited 1 January. All others: 1.5 EL per month, 6 CL, 6 SL.</t>
  </si>
  <si>
    <t>Raise regularisation, view rule that applied</t>
  </si>
  <si>
    <t>RL-173</t>
  </si>
  <si>
    <t>YES — last 60 days cached</t>
  </si>
  <si>
    <t>days, effective_date</t>
  </si>
  <si>
    <t>TIM-05, SSV-01</t>
  </si>
  <si>
    <t>employment.employment_start</t>
  </si>
  <si>
    <t>Bands and values are configuration rows (10_Config_Tables), carried from the client's stated policy.</t>
  </si>
  <si>
    <t>Attendance day detail (HR/supervisor)</t>
  </si>
  <si>
    <t>Not after today + 90 days; backdating allowed with reason</t>
  </si>
  <si>
    <t>Supervisor, HR</t>
  </si>
  <si>
    <t>Backdated joining after a payroll run triggers arrears</t>
  </si>
  <si>
    <t>Segments, breaks, shift assigned vs applied, rules applied, provenance</t>
  </si>
  <si>
    <t>§ LVE-02 · Joining-month proration</t>
  </si>
  <si>
    <t>Override shift, regularise, recompute</t>
  </si>
  <si>
    <t>Location scope; pay fields null outside payroll group</t>
  </si>
  <si>
    <t>Contact</t>
  </si>
  <si>
    <t>Mobile</t>
  </si>
  <si>
    <t>TIM-02, TIM-03</t>
  </si>
  <si>
    <t>Phone</t>
  </si>
  <si>
    <t>person.mobile</t>
  </si>
  <si>
    <t>E.164; unique warning if shared</t>
  </si>
  <si>
    <t>Employee, approver</t>
  </si>
  <si>
    <t>Mobile, WhatsApp, web</t>
  </si>
  <si>
    <t>The WhatsApp channel key</t>
  </si>
  <si>
    <t>Request and approve gate passes; shows minutes and instances used</t>
  </si>
  <si>
    <t>Request, approve, reject</t>
  </si>
  <si>
    <t>Self; approver by reporting line</t>
  </si>
  <si>
    <t>LVE-02.1</t>
  </si>
  <si>
    <t>Personal email</t>
  </si>
  <si>
    <t>Email</t>
  </si>
  <si>
    <t>person.personal_email</t>
  </si>
  <si>
    <t>On joining, look up the proration band for the joining month.</t>
  </si>
  <si>
    <t>RL-180</t>
  </si>
  <si>
    <t>RFC email</t>
  </si>
  <si>
    <t>Overtime register</t>
  </si>
  <si>
    <t>leave_proration_rule R</t>
  </si>
  <si>
    <t>joining_month_from, joining_month_to, cl_days, sl_days</t>
  </si>
  <si>
    <t>Supervisor, payroll</t>
  </si>
  <si>
    <t>Used for pre-boarding and alumni</t>
  </si>
  <si>
    <t>Jan 6 · Feb-Mar 5 · Apr-May 4 · Jun-Jul 3 · Aug-Sep 2 · Oct-4 Dec 1.</t>
  </si>
  <si>
    <t>OT by person and date with eligibility basis, multiplier and pay run</t>
  </si>
  <si>
    <t>Approve, tag run, export</t>
  </si>
  <si>
    <t>Location scope</t>
  </si>
  <si>
    <t>Present / permanent address</t>
  </si>
  <si>
    <t>Address block</t>
  </si>
  <si>
    <t>person.present_address</t>
  </si>
  <si>
    <t>Attendance exception queue</t>
  </si>
  <si>
    <t>PIN validated against state</t>
  </si>
  <si>
    <t>LVE-02.2</t>
  </si>
  <si>
    <t>PIN drives PT and LWF cross-checks</t>
  </si>
  <si>
    <t>Post prorated CL and SL credits to the ledger with the rule as source_ref.</t>
  </si>
  <si>
    <t>Unpaired punches, missing days, device failures, inferred shifts, agent proposals</t>
  </si>
  <si>
    <t>RL-181</t>
  </si>
  <si>
    <t>Accept proposal, amend, reject, bulk-resolve</t>
  </si>
  <si>
    <t>days, source_ref(PR-nn)</t>
  </si>
  <si>
    <t>Emergency contact</t>
  </si>
  <si>
    <t>Group</t>
  </si>
  <si>
    <t>person.emergency_contact</t>
  </si>
  <si>
    <t>Recompute monitor</t>
  </si>
  <si>
    <t>Name + relation + phone</t>
  </si>
  <si>
    <t>HR admin, engineer</t>
  </si>
  <si>
    <t>Mandatory before shop-floor access</t>
  </si>
  <si>
    <t>Queue depth, running jobs, deltas produced, locked-period collisions</t>
  </si>
  <si>
    <t>Requeue, inspect delta</t>
  </si>
  <si>
    <t>LVE-02.3</t>
  </si>
  <si>
    <t>Statutory</t>
  </si>
  <si>
    <t>Aadhaar</t>
  </si>
  <si>
    <t>Masked text</t>
  </si>
  <si>
    <t>Is the worker class leave-eligible at all?</t>
  </si>
  <si>
    <t>person.aadhaar_token</t>
  </si>
  <si>
    <t>RL-182</t>
  </si>
  <si>
    <t>Team history</t>
  </si>
  <si>
    <t>12 digits, checksum; stored tokenised</t>
  </si>
  <si>
    <t>leave_eligible</t>
  </si>
  <si>
    <t>HR + self, masked</t>
  </si>
  <si>
    <t>Mismatch does NOT block joining; it blocks payroll</t>
  </si>
  <si>
    <t>Contract, third-party, consultant and gig classes take no credit. Trainees follow their band's policy.</t>
  </si>
  <si>
    <t>Date range, one member or whole team: attendance, leave, OT, gate pass, late</t>
  </si>
  <si>
    <t>Filter, export CSV/PDF</t>
  </si>
  <si>
    <t>Reporting line, evaluated at query time</t>
  </si>
  <si>
    <t>PAN</t>
  </si>
  <si>
    <t>§ LVE-03 · Leave request validation</t>
  </si>
  <si>
    <t>person.pan_token</t>
  </si>
  <si>
    <t>10 char ABCDE1234F; stored tokenised</t>
  </si>
  <si>
    <t>Required for TDS</t>
  </si>
  <si>
    <t>UAN</t>
  </si>
  <si>
    <t>SCR-030</t>
  </si>
  <si>
    <t>person.uan</t>
  </si>
  <si>
    <t>Apply for leave</t>
  </si>
  <si>
    <t>12 digits</t>
  </si>
  <si>
    <t>LVE-03.1</t>
  </si>
  <si>
    <t>HR + self</t>
  </si>
  <si>
    <t>Apply with live balance, expiry warnings and rule messages</t>
  </si>
  <si>
    <t>Generated at registration if absent</t>
  </si>
  <si>
    <t>Apply, cancel, record early return</t>
  </si>
  <si>
    <t>Apply: leave type, from, to, half-day flags, reason, contact during leave.</t>
  </si>
  <si>
    <t>RL-190</t>
  </si>
  <si>
    <t>Queue apply</t>
  </si>
  <si>
    <t>leave_request C</t>
  </si>
  <si>
    <t>ESI IP number</t>
  </si>
  <si>
    <t>LVE-03, LVE-05</t>
  </si>
  <si>
    <t>request_id, person_id, leave_type, date_from, date_to, days_applied, is_half_day_start/end, reason</t>
  </si>
  <si>
    <t>SCR-031</t>
  </si>
  <si>
    <t>person.esi_ip</t>
  </si>
  <si>
    <t>Leave balance and ledger</t>
  </si>
  <si>
    <t>leave.request.created</t>
  </si>
  <si>
    <t>17 digits</t>
  </si>
  <si>
    <t>Projected balance with the full transaction trail</t>
  </si>
  <si>
    <t>Only where ESI applies</t>
  </si>
  <si>
    <t>View, export</t>
  </si>
  <si>
    <t>Self; HR within scope</t>
  </si>
  <si>
    <t>Account number</t>
  </si>
  <si>
    <t>LVE-03.2</t>
  </si>
  <si>
    <t>SCR-032</t>
  </si>
  <si>
    <t>bank_detail.account_token</t>
  </si>
  <si>
    <t>Leave policy configuration</t>
  </si>
  <si>
    <t>Project the balance from the ledger as at the leave start date, honouring per-credit expiry.</t>
  </si>
  <si>
    <t>Tokenised; last 4 shown</t>
  </si>
  <si>
    <t>RL-191</t>
  </si>
  <si>
    <t>leave_ledger R</t>
  </si>
  <si>
    <t>projected_balance, expiring_credits</t>
  </si>
  <si>
    <t>Types, accrual policies, proration, combination rules, caps, expiry</t>
  </si>
  <si>
    <t>Change inside a payroll window raises an alert</t>
  </si>
  <si>
    <t>Create, version, simulate</t>
  </si>
  <si>
    <t>Implementation role</t>
  </si>
  <si>
    <t>Balance is never a stored column.</t>
  </si>
  <si>
    <t>IFSC</t>
  </si>
  <si>
    <t>LVE-01, PLT-03</t>
  </si>
  <si>
    <t>bank_detail.ifsc</t>
  </si>
  <si>
    <t>11 char, bank master lookup</t>
  </si>
  <si>
    <t>LVE-03.3</t>
  </si>
  <si>
    <t>Validated against the bank master</t>
  </si>
  <si>
    <t>Combination rule: is CL being taken with, or merged into, EL or SL?</t>
  </si>
  <si>
    <t>§ SCR-011 ASSIGNMENT</t>
  </si>
  <si>
    <t>RL-192</t>
  </si>
  <si>
    <t>SCR-050</t>
  </si>
  <si>
    <t>leave_combination_rule R</t>
  </si>
  <si>
    <t>Payroll run cockpit</t>
  </si>
  <si>
    <t>excluded_pairs</t>
  </si>
  <si>
    <t>leave.request.rejected_by_rule</t>
  </si>
  <si>
    <t>Yes → reject at validation, before the chain starts, with a message naming the rule (demo point 7).</t>
  </si>
  <si>
    <t>Run list by period with run type and state; the cycle stepper</t>
  </si>
  <si>
    <t>Create run, lock, calculate, approve, rollback</t>
  </si>
  <si>
    <t>Payroll group + entity</t>
  </si>
  <si>
    <t>Placement</t>
  </si>
  <si>
    <t>Position</t>
  </si>
  <si>
    <t>PAY-01, PAY-02, PAY-09</t>
  </si>
  <si>
    <t>Lookup</t>
  </si>
  <si>
    <t>SCR-051</t>
  </si>
  <si>
    <t>assignment.position_code</t>
  </si>
  <si>
    <t>LVE-03.4</t>
  </si>
  <si>
    <t>Must be vacant and not frozen</t>
  </si>
  <si>
    <t>Monthly cap: more than 2 CL or more than 10 EL in one calendar month?</t>
  </si>
  <si>
    <t>RL-193</t>
  </si>
  <si>
    <t>Flags by severity with owner, detail and agent-drafted resolution</t>
  </si>
  <si>
    <t>Filling it flips position status</t>
  </si>
  <si>
    <t>leave_type R</t>
  </si>
  <si>
    <t>Resolve, waive with reason</t>
  </si>
  <si>
    <t>max_per_month</t>
  </si>
  <si>
    <t>Payroll role</t>
  </si>
  <si>
    <t>Org unit</t>
  </si>
  <si>
    <t>Yes → reject at validation with the cap named.</t>
  </si>
  <si>
    <t>SCR-052</t>
  </si>
  <si>
    <t>assignment.org_unit</t>
  </si>
  <si>
    <t>Salary structure simulator</t>
  </si>
  <si>
    <t>Active unit</t>
  </si>
  <si>
    <t>HR, Comp</t>
  </si>
  <si>
    <t>From position</t>
  </si>
  <si>
    <t>Wage base, 50% floor test, statutory cost and take-home impact of a proposed structure</t>
  </si>
  <si>
    <t>ERP-owned in co-owned mode</t>
  </si>
  <si>
    <t>LVE-03.5</t>
  </si>
  <si>
    <t>Simulate, compare, adopt</t>
  </si>
  <si>
    <t>Comp role</t>
  </si>
  <si>
    <t>Designation</t>
  </si>
  <si>
    <t>Conflict check against team calendar, holidays, rest days and existing attendance.</t>
  </si>
  <si>
    <t>PAY-05, CMP-04p</t>
  </si>
  <si>
    <t>RL-194</t>
  </si>
  <si>
    <t>assignment.designation_code</t>
  </si>
  <si>
    <t>SCR-053</t>
  </si>
  <si>
    <t>attendance_day R; work_calendar R</t>
  </si>
  <si>
    <t>Payslip</t>
  </si>
  <si>
    <t>conflicts[]</t>
  </si>
  <si>
    <t>Active designation</t>
  </si>
  <si>
    <t>Marked present by biometric and on leave by request is a conflict, surfaced not silently resolved.</t>
  </si>
  <si>
    <t>Carries band, grace exemption and leave band</t>
  </si>
  <si>
    <t>Payslip by period AND run, with drill-down to the rule behind each line</t>
  </si>
  <si>
    <t>View, download, explain line</t>
  </si>
  <si>
    <t>§ LVE-04 · Leave approval chain</t>
  </si>
  <si>
    <t>YES — last 12 months</t>
  </si>
  <si>
    <t>Band</t>
  </si>
  <si>
    <t>Text (derived)</t>
  </si>
  <si>
    <t>assignment.band</t>
  </si>
  <si>
    <t>SCR-054</t>
  </si>
  <si>
    <t>Tax declaration and projection</t>
  </si>
  <si>
    <t>From designation</t>
  </si>
  <si>
    <t>Read-only</t>
  </si>
  <si>
    <t>Regime choice, declarations, proofs, projected TDS</t>
  </si>
  <si>
    <t>Declare, upload proof</t>
  </si>
  <si>
    <t>Location</t>
  </si>
  <si>
    <t>assignment.location_id</t>
  </si>
  <si>
    <t>SCR-055</t>
  </si>
  <si>
    <t>Disbursement and bank file</t>
  </si>
  <si>
    <t>Active location</t>
  </si>
  <si>
    <t>LVE-04.1</t>
  </si>
  <si>
    <t>Drives holidays, PT, LWF, forms and time visibility</t>
  </si>
  <si>
    <t>Start the sequential chain: Supervisor → HOD → HR Head, each with an SLA.</t>
  </si>
  <si>
    <t>Bank file totals, checksum, dual-control release</t>
  </si>
  <si>
    <t>Generate, verify, release</t>
  </si>
  <si>
    <t>Finance, dual control</t>
  </si>
  <si>
    <t>Payroll group</t>
  </si>
  <si>
    <t>chain_id, steps[]</t>
  </si>
  <si>
    <t>PAY-09, FIN-05</t>
  </si>
  <si>
    <t>assignment.payroll_group</t>
  </si>
  <si>
    <t>SCR-056</t>
  </si>
  <si>
    <t>Active group</t>
  </si>
  <si>
    <t>Full and final</t>
  </si>
  <si>
    <t>NOT defaulted from location</t>
  </si>
  <si>
    <t>Payroll, HR</t>
  </si>
  <si>
    <t>Independent of location by design (demo point 8)</t>
  </si>
  <si>
    <t>Settlement working with clearance status and blocking items</t>
  </si>
  <si>
    <t>Compute, approve, settle</t>
  </si>
  <si>
    <t>Payroll + HR</t>
  </si>
  <si>
    <t>LVE-04.2</t>
  </si>
  <si>
    <t>PAY-12, LCY-07</t>
  </si>
  <si>
    <t>assignment.manager_assignment_id</t>
  </si>
  <si>
    <t>Each step approves in turn; rejection at any step ends the request.</t>
  </si>
  <si>
    <t>Active assignment; no cycles</t>
  </si>
  <si>
    <t>decision, decided_by, decided_at</t>
  </si>
  <si>
    <t>Cycle check must run at save</t>
  </si>
  <si>
    <t>Cost centre</t>
  </si>
  <si>
    <t>Unified approval inbox</t>
  </si>
  <si>
    <t>assignment.cost_centre</t>
  </si>
  <si>
    <t>Manager, approver</t>
  </si>
  <si>
    <t>Active in the client's chart</t>
  </si>
  <si>
    <t>LVE-04.3</t>
  </si>
  <si>
    <t>Mobile, web, WhatsApp</t>
  </si>
  <si>
    <t>Every pending item across every module in one queue with rule context</t>
  </si>
  <si>
    <t>Journal dimension</t>
  </si>
  <si>
    <t>Approve, reject with reason, delegate</t>
  </si>
  <si>
    <t>On completion, debit the ledger, update the calendar and raise the payroll input.</t>
  </si>
  <si>
    <t>Reporting line + role</t>
  </si>
  <si>
    <t>RL-195</t>
  </si>
  <si>
    <t>Read + queued decisions</t>
  </si>
  <si>
    <t>leave_ledger C; attendance_day U</t>
  </si>
  <si>
    <t>Policy</t>
  </si>
  <si>
    <t>PLT-05, SSV-02</t>
  </si>
  <si>
    <t>txn_type(Debit), days, effective_date, source_ref(request_id)</t>
  </si>
  <si>
    <t>Worker class</t>
  </si>
  <si>
    <t>SCR-041</t>
  </si>
  <si>
    <t>leave.request.approved</t>
  </si>
  <si>
    <t>Assistant / helpdesk</t>
  </si>
  <si>
    <t>assignment.worker_class</t>
  </si>
  <si>
    <t>Debit references the specific credits consumed, so a later reversal knows where to put days back.</t>
  </si>
  <si>
    <t>Active class</t>
  </si>
  <si>
    <t>Mobile, WhatsApp, web, Teams/Slack</t>
  </si>
  <si>
    <t>Grounded policy answers with citations, own-data retrieval, simple actions</t>
  </si>
  <si>
    <t>Ask, confirm action, raise ticket</t>
  </si>
  <si>
    <t>Supplies rest days, wage type, OT eligibility, statutory set</t>
  </si>
  <si>
    <t>Employee's own permissions</t>
  </si>
  <si>
    <t>LVE-04.4</t>
  </si>
  <si>
    <t>SSV-04, SSV-05</t>
  </si>
  <si>
    <t>Has rest days (override)</t>
  </si>
  <si>
    <t>SCR-042</t>
  </si>
  <si>
    <t>Toggle</t>
  </si>
  <si>
    <t>HR may edit or close the request at any stage; the edit is logged with actor and reason.</t>
  </si>
  <si>
    <t>Employee home</t>
  </si>
  <si>
    <t>assignment.override_has_rest_days</t>
  </si>
  <si>
    <t>leave_request U; audit_entry C</t>
  </si>
  <si>
    <t>Reason required when set</t>
  </si>
  <si>
    <t>edited_by, edit_reason</t>
  </si>
  <si>
    <t>From class</t>
  </si>
  <si>
    <t>Three-tap access to punch, payslip, leave, gate pass, tickets, announcements</t>
  </si>
  <si>
    <t>leave.request.edited</t>
  </si>
  <si>
    <t>All employee actions</t>
  </si>
  <si>
    <t>YES</t>
  </si>
  <si>
    <t>Rest day pattern (override)</t>
  </si>
  <si>
    <t>§ LVE-05 · Early return and re-credit</t>
  </si>
  <si>
    <t>assignment.override_rest_day_pattern</t>
  </si>
  <si>
    <t>Reason required</t>
  </si>
  <si>
    <t>Weekly day(s) / rotating / none</t>
  </si>
  <si>
    <t>SCR-060</t>
  </si>
  <si>
    <t>Joining chain console</t>
  </si>
  <si>
    <t>Wage type (override)</t>
  </si>
  <si>
    <t>assignment.override_wage_type</t>
  </si>
  <si>
    <t>Chain progress per hire with blockers, SLAs and generated artefacts</t>
  </si>
  <si>
    <t>LVE-05.1</t>
  </si>
  <si>
    <t>Chase, reassign, complete step</t>
  </si>
  <si>
    <t>HR within scope</t>
  </si>
  <si>
    <t>Record early return: actual return date inside an approved leave span.</t>
  </si>
  <si>
    <t>Monthly / daily / stipend / retainer</t>
  </si>
  <si>
    <t>RL-200</t>
  </si>
  <si>
    <t>leave_request U</t>
  </si>
  <si>
    <t>SCR-061</t>
  </si>
  <si>
    <t>days_availed, actual_return_date</t>
  </si>
  <si>
    <t>Clearance board</t>
  </si>
  <si>
    <t>Overtime eligibility (override)</t>
  </si>
  <si>
    <t>leave.early_return.recorded</t>
  </si>
  <si>
    <t>HR, department owners</t>
  </si>
  <si>
    <t>assignment.override_ot_eligibility</t>
  </si>
  <si>
    <t>Applied 10, returned after 6 → 3 unused days (demo point 5 uses 7 availed of 10).</t>
  </si>
  <si>
    <t>Items by owner with blocking flags and SLA, per leaver</t>
  </si>
  <si>
    <t>Clear, waive with reason, add recovery</t>
  </si>
  <si>
    <t>Own items; HR all</t>
  </si>
  <si>
    <t>always / rest_day_and_holiday_only / none</t>
  </si>
  <si>
    <t>SCR-062</t>
  </si>
  <si>
    <t>Shift group and default shift</t>
  </si>
  <si>
    <t>Policy acknowledgement</t>
  </si>
  <si>
    <t>LVE-05.2</t>
  </si>
  <si>
    <t>assignment.shift_group, default_shift</t>
  </si>
  <si>
    <t>IN ONE TRANSACTION: write a reversal row referencing the original debit AND queue attendance recompute for the affected dates.</t>
  </si>
  <si>
    <t>Shift must belong to the group</t>
  </si>
  <si>
    <t>Read and acknowledge with version retained</t>
  </si>
  <si>
    <t>RL-201</t>
  </si>
  <si>
    <t>Acknowledge</t>
  </si>
  <si>
    <t>leave_ledger C; recompute_queue C</t>
  </si>
  <si>
    <t>txn_type(Reversal), days, source_ref(original ledger_id)</t>
  </si>
  <si>
    <t>Inference only operates inside the group</t>
  </si>
  <si>
    <t>leave.credit.reversed</t>
  </si>
  <si>
    <t>SCR-063</t>
  </si>
  <si>
    <t>Splitting them makes the balance and the attendance record disagree — a defect that surfaces only in the payslip.</t>
  </si>
  <si>
    <t>Effective from</t>
  </si>
  <si>
    <t>My learning</t>
  </si>
  <si>
    <t>assignment.effective_from</t>
  </si>
  <si>
    <t>Any date; past dates flagged as retro</t>
  </si>
  <si>
    <t>Assigned paths, due dates, completion evidence</t>
  </si>
  <si>
    <t>Today</t>
  </si>
  <si>
    <t>Start, complete, download certificate</t>
  </si>
  <si>
    <t>LVE-05.3</t>
  </si>
  <si>
    <t>Retro into a closed period creates arrears, never a rewrite</t>
  </si>
  <si>
    <t>Partial</t>
  </si>
  <si>
    <t>LCY-02, TAL-05</t>
  </si>
  <si>
    <t>Recompute the affected days; they become Present (or their punch-derived status).</t>
  </si>
  <si>
    <t>SCR-064</t>
  </si>
  <si>
    <t>RL-202</t>
  </si>
  <si>
    <t>Change reason</t>
  </si>
  <si>
    <t>Asset register</t>
  </si>
  <si>
    <t>status</t>
  </si>
  <si>
    <t>assignment.override_reason</t>
  </si>
  <si>
    <t>Y when overriding</t>
  </si>
  <si>
    <t>Min 10 chars</t>
  </si>
  <si>
    <t>Assets, allocations, returns, condition</t>
  </si>
  <si>
    <t>Allocate, return, write off</t>
  </si>
  <si>
    <t>No reason, no save</t>
  </si>
  <si>
    <t>§ SCR-030 APPLY FOR LEAVE</t>
  </si>
  <si>
    <t>SCR-065</t>
  </si>
  <si>
    <t>LVE-05.4</t>
  </si>
  <si>
    <t>Recognition</t>
  </si>
  <si>
    <t>Manager, HR, employee</t>
  </si>
  <si>
    <t>Is any affected date inside a locked payroll period?</t>
  </si>
  <si>
    <t>RL-203</t>
  </si>
  <si>
    <t>Nominate, approve, view awards and citations</t>
  </si>
  <si>
    <t>Nominate, approve</t>
  </si>
  <si>
    <t>run_state</t>
  </si>
  <si>
    <t>Entity scope</t>
  </si>
  <si>
    <t>Request</t>
  </si>
  <si>
    <t>Leave type</t>
  </si>
  <si>
    <t>Yes → arrears in the next open run; the closed run stands.</t>
  </si>
  <si>
    <t>leave_request.leave_type</t>
  </si>
  <si>
    <t>SCR-066</t>
  </si>
  <si>
    <t>Announcements</t>
  </si>
  <si>
    <t>Only types the band is eligible for</t>
  </si>
  <si>
    <t>HR, employee</t>
  </si>
  <si>
    <t>§ LVE-06 · Comp-off credit and expiry</t>
  </si>
  <si>
    <t>Ineligible types are not shown, not shown-and-blocked</t>
  </si>
  <si>
    <t>Broadcast with audience rule and channel selection</t>
  </si>
  <si>
    <t>Create, edit before publish, publish</t>
  </si>
  <si>
    <t>HR to publish; all to read within audience</t>
  </si>
  <si>
    <t>From / to</t>
  </si>
  <si>
    <t>Date range</t>
  </si>
  <si>
    <t>leave_request.date_from/date_to</t>
  </si>
  <si>
    <t>SCR-067</t>
  </si>
  <si>
    <t>Letters</t>
  </si>
  <si>
    <t>From ≤ To; not before joining</t>
  </si>
  <si>
    <t>Rest days and holidays inside the span are excluded per policy</t>
  </si>
  <si>
    <t>Template selection, merge preview, approval, issue register</t>
  </si>
  <si>
    <t>LVE-06.1</t>
  </si>
  <si>
    <t>Draft, approve, issue, reprint</t>
  </si>
  <si>
    <t>Half day start / end</t>
  </si>
  <si>
    <t>On an approved rest-day or holiday working day, credit comp-off with expires_on = credit date + 60 days.</t>
  </si>
  <si>
    <t>RL-210</t>
  </si>
  <si>
    <t>leave_request.is_half_day_start/end</t>
  </si>
  <si>
    <t>leave_type(COMPOFF), days, effective_date, expires_on</t>
  </si>
  <si>
    <t>Only where the type allows half days</t>
  </si>
  <si>
    <t>Off</t>
  </si>
  <si>
    <t>leave.compoff.credited</t>
  </si>
  <si>
    <t>Each credit carries its OWN clock (demo point 6).</t>
  </si>
  <si>
    <t>Days applied</t>
  </si>
  <si>
    <t>SCR-070</t>
  </si>
  <si>
    <t>Number (derived)</t>
  </si>
  <si>
    <t>Rule pack manager</t>
  </si>
  <si>
    <t>leave_request.days_applied</t>
  </si>
  <si>
    <t>LVE-06.2</t>
  </si>
  <si>
    <t>Compliance engineer</t>
  </si>
  <si>
    <t>Computed</t>
  </si>
  <si>
    <t>Packs by jurisdiction and effective date, with changelog and test status</t>
  </si>
  <si>
    <t>Consumption draws from the earliest-expiring open credit first.</t>
  </si>
  <si>
    <t>Draft, test, review, deploy</t>
  </si>
  <si>
    <t>RL-211</t>
  </si>
  <si>
    <t>txn_type(Debit), source_ref(credit ledger_id)</t>
  </si>
  <si>
    <t>Reason</t>
  </si>
  <si>
    <t>SCR-071</t>
  </si>
  <si>
    <t>leave.compoff.consumed</t>
  </si>
  <si>
    <t>Golden case library</t>
  </si>
  <si>
    <t>leave_request.reason</t>
  </si>
  <si>
    <t>Y for some types</t>
  </si>
  <si>
    <t>Payroll engineer, QA</t>
  </si>
  <si>
    <t>Per type configuration</t>
  </si>
  <si>
    <t>Cases with inputs, expected outputs and statute references</t>
  </si>
  <si>
    <t>Add, run, compare</t>
  </si>
  <si>
    <t>Engineering</t>
  </si>
  <si>
    <t>LVE-06.3</t>
  </si>
  <si>
    <t>Contact during leave</t>
  </si>
  <si>
    <t>Nightly lapse job writes a Lapse row for any credit past expires_on with days remaining.</t>
  </si>
  <si>
    <t>SCR-072</t>
  </si>
  <si>
    <t>RL-212</t>
  </si>
  <si>
    <t>Obligation calendar</t>
  </si>
  <si>
    <t>leave_request.contact</t>
  </si>
  <si>
    <t>txn_type(Lapse), days, effective_date</t>
  </si>
  <si>
    <t>HR head, compliance owner</t>
  </si>
  <si>
    <t>E.164</t>
  </si>
  <si>
    <t>leave.compoff.lapsed</t>
  </si>
  <si>
    <t>Obligations by entity and state with due date, owner, evidence, status</t>
  </si>
  <si>
    <t>Idempotent per (person, credit, date). A single balance-level expiry over- or under-credits everyone.</t>
  </si>
  <si>
    <t>Prepare pack, attach evidence, close</t>
  </si>
  <si>
    <t>Context</t>
  </si>
  <si>
    <t>Balance as at start date</t>
  </si>
  <si>
    <t>SCR-073</t>
  </si>
  <si>
    <t>Panel (derived)</t>
  </si>
  <si>
    <t>Statutory forms and registers</t>
  </si>
  <si>
    <t>leave_ledger projection</t>
  </si>
  <si>
    <t>LVE-06.4</t>
  </si>
  <si>
    <t>Form library by act and state, and generated instances</t>
  </si>
  <si>
    <t>Does a 60-day clock cross the leave-year boundary?</t>
  </si>
  <si>
    <t>Generate, file, attach acknowledgement</t>
  </si>
  <si>
    <t>Shows credits expiring before the leave starts</t>
  </si>
  <si>
    <t>RL-213</t>
  </si>
  <si>
    <t>expires_on, leave_year</t>
  </si>
  <si>
    <t>Rule messages</t>
  </si>
  <si>
    <t>§ COMP, TALENT, CONTINGENT</t>
  </si>
  <si>
    <t>Panel</t>
  </si>
  <si>
    <t>It may. The clock is per credit and ignores the year end.</t>
  </si>
  <si>
    <t>validation output</t>
  </si>
  <si>
    <t>§ LVE-07 · Year-end encashment, lapse and birthday leave</t>
  </si>
  <si>
    <t>Names the rule: combination, monthly cap, eligibility wait</t>
  </si>
  <si>
    <t>SCR-080</t>
  </si>
  <si>
    <t>Loans and advances</t>
  </si>
  <si>
    <t>Early return</t>
  </si>
  <si>
    <t>Actual return date</t>
  </si>
  <si>
    <t>Employee, HR, Finance</t>
  </si>
  <si>
    <t>leave_request.actual_return_date</t>
  </si>
  <si>
    <t>Eligibility with reasons, application, guarantors, schedule, outstanding</t>
  </si>
  <si>
    <t>Y on early return</t>
  </si>
  <si>
    <t>Check eligibility, apply, accept guarantee, sanction</t>
  </si>
  <si>
    <t>Inside the approved span</t>
  </si>
  <si>
    <t>Self; Finance for sanction</t>
  </si>
  <si>
    <t>CMB-01 to CMB-04</t>
  </si>
  <si>
    <t>Triggers reversal + recompute in one transaction</t>
  </si>
  <si>
    <t>SCR-090</t>
  </si>
  <si>
    <t>LVE-07.1</t>
  </si>
  <si>
    <t>§ SCR-023 GATE PASS</t>
  </si>
  <si>
    <t>Requisition</t>
  </si>
  <si>
    <t>Hiring manager, recruiter</t>
  </si>
  <si>
    <t>At year end: encash EL per policy, lapse CL and SL, carry forward within the cap.</t>
  </si>
  <si>
    <t>RL-220</t>
  </si>
  <si>
    <t>Replacement vs addition with live headroom and blockers</t>
  </si>
  <si>
    <t>Raise, override with reason, approve</t>
  </si>
  <si>
    <t>txn_type(Encash|Lapse|CarryForward), days</t>
  </si>
  <si>
    <t>Org unit + location</t>
  </si>
  <si>
    <t>leave.yearend.processed</t>
  </si>
  <si>
    <t>EL carry forward up to 45 days for this client; the balance above it encashes.</t>
  </si>
  <si>
    <t>SCR-091</t>
  </si>
  <si>
    <t>Referrals</t>
  </si>
  <si>
    <t>gate_pass.date</t>
  </si>
  <si>
    <t>Within the open attendance period</t>
  </si>
  <si>
    <t>Referral status through stages with award maturity</t>
  </si>
  <si>
    <t>LVE-07.2</t>
  </si>
  <si>
    <t>Refer, track</t>
  </si>
  <si>
    <t>Self; HR all</t>
  </si>
  <si>
    <t>Raise encashment as a payroll input in the named run.</t>
  </si>
  <si>
    <t>RL-221</t>
  </si>
  <si>
    <t>From / to time</t>
  </si>
  <si>
    <t>payroll_input C</t>
  </si>
  <si>
    <t>SCR-095</t>
  </si>
  <si>
    <t>Time</t>
  </si>
  <si>
    <t>component(leave_encashment), amount, run_id</t>
  </si>
  <si>
    <t>Contractor engagement and invoice</t>
  </si>
  <si>
    <t>gate_pass.from_ts/to_ts</t>
  </si>
  <si>
    <t>payroll.input.raised</t>
  </si>
  <si>
    <t>Purchase, Finance, HR</t>
  </si>
  <si>
    <t>Inside the shift window; ≤ remaining ceiling</t>
  </si>
  <si>
    <t>Encashment amount uses the statutory wage base, not gross.</t>
  </si>
  <si>
    <t>Engagement, deployed population by class, invoice vs attendance variance</t>
  </si>
  <si>
    <t>Reconcile, approve, query</t>
  </si>
  <si>
    <t>Entity + location</t>
  </si>
  <si>
    <t>CTG-01, CTG-02</t>
  </si>
  <si>
    <t>LVE-07.3</t>
  </si>
  <si>
    <t>§ FINANCE &amp; INTELLIGENCE</t>
  </si>
  <si>
    <t>gate_pass.pass_type</t>
  </si>
  <si>
    <t>Personal / Official</t>
  </si>
  <si>
    <t>Credit birthday leave on its own eligibility window.</t>
  </si>
  <si>
    <t>RL-222</t>
  </si>
  <si>
    <t>Official does not consume the personal ceiling</t>
  </si>
  <si>
    <t>leave_type(BIRTHDAY), effective_date, expires_on</t>
  </si>
  <si>
    <t>SCR-100</t>
  </si>
  <si>
    <t>Integration configuration</t>
  </si>
  <si>
    <t>gate_pass.reason</t>
  </si>
  <si>
    <t>§ LVE-08 · Balance projection from the ledger</t>
  </si>
  <si>
    <t>Min 5 chars</t>
  </si>
  <si>
    <t>Master-data mode and the field-level ownership map</t>
  </si>
  <si>
    <t>Set mode, edit map, validate</t>
  </si>
  <si>
    <t>SCR-101</t>
  </si>
  <si>
    <t>Minutes used / instances this month</t>
  </si>
  <si>
    <t>Sync monitor</t>
  </si>
  <si>
    <t>gate_pass aggregation</t>
  </si>
  <si>
    <t>HR admin, integration engineer</t>
  </si>
  <si>
    <t>Batches, applied rows, conflicts held, unmatched codes, duplicates</t>
  </si>
  <si>
    <t>Resolve conflict, rematch, replay</t>
  </si>
  <si>
    <t>LVE-08.1</t>
  </si>
  <si>
    <t>240 minutes, 2 instances for this client</t>
  </si>
  <si>
    <t>§ SCR-022 ATTENDANCE DAY DETAIL</t>
  </si>
  <si>
    <t>Project balance = Σ credits − Σ debits − Σ lapses − Σ encashments + Σ reversals, as at a date.</t>
  </si>
  <si>
    <t>SCR-102</t>
  </si>
  <si>
    <t>RL-230</t>
  </si>
  <si>
    <t>GL mapping and journal</t>
  </si>
  <si>
    <t>projected_balance, as_at_date</t>
  </si>
  <si>
    <t>Component-to-account map and the journal per run with dimensions</t>
  </si>
  <si>
    <t>One projection function, used by the apply screen, the assistant, the payslip and the F&amp;F.</t>
  </si>
  <si>
    <t>Map, validate, post, download</t>
  </si>
  <si>
    <t>Header</t>
  </si>
  <si>
    <t>Attendance date</t>
  </si>
  <si>
    <t>FIN-02, FIN-03</t>
  </si>
  <si>
    <t>Date (read-only)</t>
  </si>
  <si>
    <t>SCR-103</t>
  </si>
  <si>
    <t>attendance_day.attendance_date</t>
  </si>
  <si>
    <t>Reconciliation</t>
  </si>
  <si>
    <t>LVE-08.2</t>
  </si>
  <si>
    <t>Expose the audit trail of how the balance got there.</t>
  </si>
  <si>
    <t>Gross, net, statutory, dimension and loan checks with drill-down</t>
  </si>
  <si>
    <t>The SHIFT start date, not the punch calendar date</t>
  </si>
  <si>
    <t>RL-231</t>
  </si>
  <si>
    <t>Run, drill, export</t>
  </si>
  <si>
    <t>transaction list</t>
  </si>
  <si>
    <t>Shift assigned / applied</t>
  </si>
  <si>
    <t>'Why is my balance 6.5' is answerable without a spreadsheet.</t>
  </si>
  <si>
    <t>attendance_day.shift_id_assigned / _applied</t>
  </si>
  <si>
    <t>SCR-110</t>
  </si>
  <si>
    <t>Agent console and action ledger</t>
  </si>
  <si>
    <t>Admin, auditor</t>
  </si>
  <si>
    <t>§ PAY-01 · Period setup and run creation</t>
  </si>
  <si>
    <t>Difference plus reason shown prominently</t>
  </si>
  <si>
    <t>Agent runs, plans, simulations, approvals, outcomes, reversals</t>
  </si>
  <si>
    <t>Approve diff, reverse action, set thresholds</t>
  </si>
  <si>
    <t>BUSINESS RULES REGISTRY</t>
  </si>
  <si>
    <t>Admin; auditors read-only</t>
  </si>
  <si>
    <t>Totals</t>
  </si>
  <si>
    <t>First in / last out</t>
  </si>
  <si>
    <t>INT-01, INT-02</t>
  </si>
  <si>
    <t>Time (read-only)</t>
  </si>
  <si>
    <t>SCR-111</t>
  </si>
  <si>
    <t>attendance_day.first_in/last_out</t>
  </si>
  <si>
    <t>Operational reports</t>
  </si>
  <si>
    <t>HR, manager</t>
  </si>
  <si>
    <t>Every rule the product enforces, its parameters, the client's actual values, where it is configured and which steps consume it. A rule marked 'Code invariant' is not configurable and must not become one.</t>
  </si>
  <si>
    <t>PAY-01.1</t>
  </si>
  <si>
    <t>Break report, OT register, late summary, gate-pass utilisation, headcount, attrition</t>
  </si>
  <si>
    <t>Gross / break / gate pass / net minutes</t>
  </si>
  <si>
    <t>Create the run: entity, period, payroll group, run_type (regular | off_cycle_ot | arrears | fnf | bonus).</t>
  </si>
  <si>
    <t>Filter, export, schedule</t>
  </si>
  <si>
    <t>Number (read-only)</t>
  </si>
  <si>
    <t>RL-240</t>
  </si>
  <si>
    <t>Scope-resolved</t>
  </si>
  <si>
    <t>attendance_day.*_minutes</t>
  </si>
  <si>
    <t>payroll_run C</t>
  </si>
  <si>
    <t>run_id, legal_entity_id, period, payroll_group, run_type, pay_date</t>
  </si>
  <si>
    <t>payroll.run.created</t>
  </si>
  <si>
    <t>Rule</t>
  </si>
  <si>
    <t>A period carries several runs. Any screen assuming one run per period is wrong.</t>
  </si>
  <si>
    <t>Shown in h:mm as well as minutes</t>
  </si>
  <si>
    <t>Parameters</t>
  </si>
  <si>
    <t>Client value / default</t>
  </si>
  <si>
    <t>Overtime minutes and basis</t>
  </si>
  <si>
    <t>Configured in</t>
  </si>
  <si>
    <t>attendance_day.ot_minutes_payable, ot_basis</t>
  </si>
  <si>
    <t>PAY-01.2</t>
  </si>
  <si>
    <t>Consumed by</t>
  </si>
  <si>
    <t>Test case</t>
  </si>
  <si>
    <t>Collect the population: active assignments in scope, joiners, leavers, transfers in period.</t>
  </si>
  <si>
    <t>RL-241</t>
  </si>
  <si>
    <t>Basis label must be visible, not assumed</t>
  </si>
  <si>
    <t>population list, mid_cycle_flags</t>
  </si>
  <si>
    <t>§ PLATFORM, SCOPE AND APPROVAL</t>
  </si>
  <si>
    <t>Disposition</t>
  </si>
  <si>
    <t>Status and the rules applied</t>
  </si>
  <si>
    <t>attendance_day.status, applied_rule_ids</t>
  </si>
  <si>
    <t>PAY-01.3</t>
  </si>
  <si>
    <t>Status without its rule trail is unarguable</t>
  </si>
  <si>
    <t>Pull inputs: attendance days, leave, gate pass, OT, claims, arrears, one-time earnings (recognition, referral), recoveries.</t>
  </si>
  <si>
    <t>RL-242</t>
  </si>
  <si>
    <t>Late by / instance no / beyond allowance</t>
  </si>
  <si>
    <t>attendance_day R; leave_ledger R; overtime_record R; payroll_input R</t>
  </si>
  <si>
    <t>Number</t>
  </si>
  <si>
    <t>input set</t>
  </si>
  <si>
    <t>attendance_day.late_*</t>
  </si>
  <si>
    <t>An agent principal cannot exist without a named accountable human owner.</t>
  </si>
  <si>
    <t>owner_principal_id</t>
  </si>
  <si>
    <t>§ PAY-02 · Input lock and immutable snapshot</t>
  </si>
  <si>
    <t>Segments</t>
  </si>
  <si>
    <t>Code invariant</t>
  </si>
  <si>
    <t>Segment list with in/out and minutes</t>
  </si>
  <si>
    <t>Table</t>
  </si>
  <si>
    <t>PLT-02.1, INT-01.1</t>
  </si>
  <si>
    <t>TC-P01</t>
  </si>
  <si>
    <t>Breaks</t>
  </si>
  <si>
    <t>Break list with type, minutes, paid flag</t>
  </si>
  <si>
    <t>PAY-02.1</t>
  </si>
  <si>
    <t>A principal sees data only for the legal entities granted to it.</t>
  </si>
  <si>
    <t>Lock inputs at cut-off.</t>
  </si>
  <si>
    <t>RL-250</t>
  </si>
  <si>
    <t>Per user</t>
  </si>
  <si>
    <t>payroll_run U</t>
  </si>
  <si>
    <t>This is the break report the client asked for</t>
  </si>
  <si>
    <t>run_state(INPUTS_LOCKED), locked_at, locked_by</t>
  </si>
  <si>
    <t>Admin UI</t>
  </si>
  <si>
    <t>payroll.inputs.locked</t>
  </si>
  <si>
    <t>Provenance</t>
  </si>
  <si>
    <t>TC-P02</t>
  </si>
  <si>
    <t>Late punches after this point raise exceptions rather than changing the run.</t>
  </si>
  <si>
    <t>Computed at, ruleset version, source event count</t>
  </si>
  <si>
    <t>attendance_day.computed_*</t>
  </si>
  <si>
    <t>A principal sees time data only for the locations granted to it.</t>
  </si>
  <si>
    <t>location_grant, can_edit_time</t>
  </si>
  <si>
    <t>Supervisor, HR, auditor</t>
  </si>
  <si>
    <t>PAY-02.2</t>
  </si>
  <si>
    <t>Actions</t>
  </si>
  <si>
    <t>Write an immutable, hashed snapshot of inputs, rule pack versions and configuration.</t>
  </si>
  <si>
    <t>Override shift / regularise / recompute</t>
  </si>
  <si>
    <t>RL-251</t>
  </si>
  <si>
    <t>TC-P03</t>
  </si>
  <si>
    <t>Buttons</t>
  </si>
  <si>
    <t>payroll_snapshot C</t>
  </si>
  <si>
    <t>snapshot_id, input_hash, rule_pack_versions[], config_version, snapshot_ts</t>
  </si>
  <si>
    <t>Reason mandatory on every action</t>
  </si>
  <si>
    <t>payroll.snapshot.taken</t>
  </si>
  <si>
    <t>Effective scope is the intersection of tenant, entity, location, reporting line and payroll group.</t>
  </si>
  <si>
    <t>A run from eleven months ago must recompute today and match to the paisa.</t>
  </si>
  <si>
    <t>Per permission</t>
  </si>
  <si>
    <t>Every action logged with actor and reason</t>
  </si>
  <si>
    <t>Intersection, never union</t>
  </si>
  <si>
    <t>Pay</t>
  </si>
  <si>
    <t>§ PAY-03 · Pre-payroll audit</t>
  </si>
  <si>
    <t>Rate, salary, OT amount</t>
  </si>
  <si>
    <t>TC-P04</t>
  </si>
  <si>
    <t>Money</t>
  </si>
  <si>
    <t>salary_structure.*</t>
  </si>
  <si>
    <t>Compensation fields return null to a principal outside the record's payroll group, even where time fields are visible.</t>
  </si>
  <si>
    <t>salary field set</t>
  </si>
  <si>
    <t>Null, not absent</t>
  </si>
  <si>
    <t>NULL for principals outside the payroll group</t>
  </si>
  <si>
    <t>The point-8 assertion; tested on every build</t>
  </si>
  <si>
    <t>PLT-02.5, SCR-022</t>
  </si>
  <si>
    <t>TC-P05 (runs every build)</t>
  </si>
  <si>
    <t>§ SCR-080 LOANS</t>
  </si>
  <si>
    <t>Every approvable request routes through one chain definition resolved by request type, worker class, location and amount band.</t>
  </si>
  <si>
    <t>PAY-03.1</t>
  </si>
  <si>
    <t>chain_id</t>
  </si>
  <si>
    <t>Per request type</t>
  </si>
  <si>
    <t>PLT-05, LVE-04, TIM-06, CMB-03, TAL-01</t>
  </si>
  <si>
    <t>Run rule-based checks: missing attendance, unprorated mid-month joiner, bank change inside the cycle, missing PF/UAN, unapproved salary change, negative net, active employee with no assignment, duplicate bank account, loan deduction exceeding net, gate-pass minutes not reconciling, days not recomputed since the last rule change.</t>
  </si>
  <si>
    <t>TC-P10</t>
  </si>
  <si>
    <t>RL-260</t>
  </si>
  <si>
    <t>payroll_audit_flag C</t>
  </si>
  <si>
    <t>Eligibility</t>
  </si>
  <si>
    <t>Each step resolves its approver by role, position or named person, and starts an SLA clock.</t>
  </si>
  <si>
    <t>flag_id, check_code, severity, person_id, detail, owner, state</t>
  </si>
  <si>
    <t>Eligible / ceiling / reasons</t>
  </si>
  <si>
    <t>resolution_mode, sla_hours</t>
  </si>
  <si>
    <t>Per step</t>
  </si>
  <si>
    <t>payroll.audit.completed</t>
  </si>
  <si>
    <t>GET /loans/eligibility</t>
  </si>
  <si>
    <t>Rule checks first because they are explainable; statistical checks second.</t>
  </si>
  <si>
    <t>TC-P11</t>
  </si>
  <si>
    <t>RL-012</t>
  </si>
  <si>
    <t>An approval queued against a principal who has left reroutes to the successor or the role holder; it never vanishes.</t>
  </si>
  <si>
    <t>Reasons shown verbatim; same method the payroll node calls</t>
  </si>
  <si>
    <t>reroute_policy</t>
  </si>
  <si>
    <t>Successor, then role</t>
  </si>
  <si>
    <t>PAY-03.2</t>
  </si>
  <si>
    <t>Application</t>
  </si>
  <si>
    <t>Payroll Preparer agent</t>
  </si>
  <si>
    <t>TC-P12</t>
  </si>
  <si>
    <t>Classify each flag, draft a resolution, produce a signed readiness report.</t>
  </si>
  <si>
    <t>loan_application.purpose</t>
  </si>
  <si>
    <t>RL-261</t>
  </si>
  <si>
    <t>A decision records actor, timestamp, channel and, on rejection or return, a reason.</t>
  </si>
  <si>
    <t>action_ledger C</t>
  </si>
  <si>
    <t>Configured purpose list</t>
  </si>
  <si>
    <t>classification, proposed_resolution, confidence</t>
  </si>
  <si>
    <t>Reason mandatory on reject</t>
  </si>
  <si>
    <t>Propose only. Always. No autonomous payroll change.</t>
  </si>
  <si>
    <t>TC-P13</t>
  </si>
  <si>
    <t>Principal</t>
  </si>
  <si>
    <t>Steps are sequential and mandatory unless the definition marks a step optional.</t>
  </si>
  <si>
    <t>mandatory</t>
  </si>
  <si>
    <t>loan_application.principal</t>
  </si>
  <si>
    <t>Sequential: Supervisor → HOD → HR Head</t>
  </si>
  <si>
    <t>PAY-03.3</t>
  </si>
  <si>
    <t>≤ ceiling unless override requested</t>
  </si>
  <si>
    <t>TC-L14</t>
  </si>
  <si>
    <t>Resolve or waive each flag with a reason.</t>
  </si>
  <si>
    <t>4x basic, 6x above five years' service</t>
  </si>
  <si>
    <t>RL-262</t>
  </si>
  <si>
    <t>payroll_audit_flag U</t>
  </si>
  <si>
    <t>HR may edit or close a request at any stage; the edit is logged with actor and reason.</t>
  </si>
  <si>
    <t>state, resolved_by, resolution_note</t>
  </si>
  <si>
    <t>Enabled</t>
  </si>
  <si>
    <t>Tenure (months)</t>
  </si>
  <si>
    <t>Role permission</t>
  </si>
  <si>
    <t>A CRITICAL flag blocks approval and cannot be waived below its role threshold.</t>
  </si>
  <si>
    <t>PLT-05.6, LVE-04.4</t>
  </si>
  <si>
    <t>loan_application.tenure_months</t>
  </si>
  <si>
    <t>TC-L15</t>
  </si>
  <si>
    <t>Within configured min/max</t>
  </si>
  <si>
    <t>§ PAY-04 · Gross-to-net DAG execution</t>
  </si>
  <si>
    <t>A temporal fact is never updated in place; a new version is written and the prior version end-dated.</t>
  </si>
  <si>
    <t>valid_from/to, recorded_from/to</t>
  </si>
  <si>
    <t>Instalment derived and shown</t>
  </si>
  <si>
    <t>Always</t>
  </si>
  <si>
    <t>PLT-08, PPL-02.3</t>
  </si>
  <si>
    <t>Guarantors</t>
  </si>
  <si>
    <t>TC-P20</t>
  </si>
  <si>
    <t>Guarantor 1 and 2 (mandatory)</t>
  </si>
  <si>
    <t>An as-at read takes valid_at and recorded_at; payroll and recompute must pass the snapshot timestamp, not now.</t>
  </si>
  <si>
    <t>loan_guarantor.guarantor_person_id</t>
  </si>
  <si>
    <t>Snapshot for derived work</t>
  </si>
  <si>
    <t>Each must pass the same eligibility check</t>
  </si>
  <si>
    <t>PLT-08.3, TIM-09.2</t>
  </si>
  <si>
    <t>PAY-04.1</t>
  </si>
  <si>
    <t>TC-P21</t>
  </si>
  <si>
    <t>Each accepts explicitly</t>
  </si>
  <si>
    <t>Topologically sort the pay component DAG for the tenant.</t>
  </si>
  <si>
    <t>RL-270</t>
  </si>
  <si>
    <t>Guarantor 3 (optional)</t>
  </si>
  <si>
    <t>pay_component R</t>
  </si>
  <si>
    <t>component_code, depends_on[], formula, sequence</t>
  </si>
  <si>
    <t>Search for an existing person before creating one.</t>
  </si>
  <si>
    <t>Required above the configured amount threshold</t>
  </si>
  <si>
    <t>match keys: name, DOB, mobile, PAN, Aadhaar</t>
  </si>
  <si>
    <t>Mandatory step</t>
  </si>
  <si>
    <t>PAY-04.2</t>
  </si>
  <si>
    <t>Sanction</t>
  </si>
  <si>
    <t>TC-H30</t>
  </si>
  <si>
    <t>Special terms / rules waived</t>
  </si>
  <si>
    <t>Checkbox + text</t>
  </si>
  <si>
    <t>Evaluate earnings nodes per employee: basic, DA, HRA, conveyance, special, OT, one-time awards.</t>
  </si>
  <si>
    <t>loan.special_terms, rules_waived</t>
  </si>
  <si>
    <t>RL-271</t>
  </si>
  <si>
    <t>payslip_line C</t>
  </si>
  <si>
    <t>A duplicate candidate above the confidence threshold is presented to HR for a decision, never auto-merged or auto-rejected.</t>
  </si>
  <si>
    <t>Director role only; reason mandatory</t>
  </si>
  <si>
    <t>component_code, amount_paise, basis, rule_ref</t>
  </si>
  <si>
    <t>match_threshold</t>
  </si>
  <si>
    <t>0.85</t>
  </si>
  <si>
    <t>Director</t>
  </si>
  <si>
    <t>Integer money in the smallest currency unit. No floating point.</t>
  </si>
  <si>
    <t>The waived rules are named, not implied</t>
  </si>
  <si>
    <t>TC-H31</t>
  </si>
  <si>
    <t>§ SCR-090 REQUISITION</t>
  </si>
  <si>
    <t>A person record is created once and survives rehire, conversion and entity transfer.</t>
  </si>
  <si>
    <t>PAY-04.3</t>
  </si>
  <si>
    <t>Apply attendance-driven proration: LOP days, half days, unpaid absence, joiners and leavers.</t>
  </si>
  <si>
    <t>TC-H32</t>
  </si>
  <si>
    <t>RL-272</t>
  </si>
  <si>
    <t>payslip_line U</t>
  </si>
  <si>
    <t>RL-033</t>
  </si>
  <si>
    <t>payable_days, lop_days, proration_basis</t>
  </si>
  <si>
    <t>requisition.requisition_type</t>
  </si>
  <si>
    <t>An Aadhaar or PAN mismatch does not block joining; it raises a payroll-blocking flag.</t>
  </si>
  <si>
    <t>Replacement / Addition</t>
  </si>
  <si>
    <t>Blocking at payroll, not at hire</t>
  </si>
  <si>
    <t>Proration across any month boundary must sum to the full-month value (property test).</t>
  </si>
  <si>
    <t>PPL-01.3, PAY-03.1</t>
  </si>
  <si>
    <t>Drives the sanction check</t>
  </si>
  <si>
    <t>TC-H33</t>
  </si>
  <si>
    <t>An assignment can only be created against a vacant, non-frozen, non-abolished position.</t>
  </si>
  <si>
    <t>Against position</t>
  </si>
  <si>
    <t>position.status</t>
  </si>
  <si>
    <t>PAY-04.4</t>
  </si>
  <si>
    <t>Enforced</t>
  </si>
  <si>
    <t>requisition.against_position_code</t>
  </si>
  <si>
    <t>Y for replacement</t>
  </si>
  <si>
    <t>Position must be vacant</t>
  </si>
  <si>
    <t>TC-H34</t>
  </si>
  <si>
    <t>Store every intermediate value with its inputs so each payslip line drills to the rule that produced it.</t>
  </si>
  <si>
    <t>RL-273</t>
  </si>
  <si>
    <t>payslip_line_trace C</t>
  </si>
  <si>
    <t>An assignment belongs to an employment, which belongs to a legal entity.</t>
  </si>
  <si>
    <t>Consumes no fresh sanction</t>
  </si>
  <si>
    <t>node, inputs, output, rule_pack_version</t>
  </si>
  <si>
    <t>Schema</t>
  </si>
  <si>
    <t>Org unit / designation / location</t>
  </si>
  <si>
    <t>Explainability is a non-negotiable property, not a report.</t>
  </si>
  <si>
    <t>TC-H35</t>
  </si>
  <si>
    <t>requisition.*</t>
  </si>
  <si>
    <t>Active values</t>
  </si>
  <si>
    <t>§ PAY-05 · Wage base and 50% floor add-back</t>
  </si>
  <si>
    <t>Payroll group and location are independent attributes of an assignment; neither defaults from the other.</t>
  </si>
  <si>
    <t>Independent</t>
  </si>
  <si>
    <t>The sanction key</t>
  </si>
  <si>
    <t>TC-H36 (demo point 8)</t>
  </si>
  <si>
    <t>Sanctioned / filled / open / headroom</t>
  </si>
  <si>
    <t>Worker class supplies policy defaults; the assignment may override any of them with a reason and an effective date.</t>
  </si>
  <si>
    <t>sanctioned_position + assignment + requisition</t>
  </si>
  <si>
    <t>override fields</t>
  </si>
  <si>
    <t>Override allowed</t>
  </si>
  <si>
    <t>PPL-01.7, PPL-03.2</t>
  </si>
  <si>
    <t>TC-H37</t>
  </si>
  <si>
    <t>Live, not a monthly report</t>
  </si>
  <si>
    <t>PAY-05.1</t>
  </si>
  <si>
    <t>Creating an assignment triggers the joining chain.</t>
  </si>
  <si>
    <t>Override</t>
  </si>
  <si>
    <t>Compute wage_base = basic + DA + retaining allowance.</t>
  </si>
  <si>
    <t>Override reason</t>
  </si>
  <si>
    <t>Automatic</t>
  </si>
  <si>
    <t>RL-280</t>
  </si>
  <si>
    <t>requisition.override_reason</t>
  </si>
  <si>
    <t>wage_base</t>
  </si>
  <si>
    <t>TC-H38</t>
  </si>
  <si>
    <t>Min 20 chars, authorised role only</t>
  </si>
  <si>
    <t>Authorised role</t>
  </si>
  <si>
    <t>Any assignment change carries an effective date and a reason.</t>
  </si>
  <si>
    <t>§ SCR-050 PAYROLL RUN</t>
  </si>
  <si>
    <t>TC-H40</t>
  </si>
  <si>
    <t>PAY-05.2</t>
  </si>
  <si>
    <t>A retro change effective inside a closed payroll period produces arrears in the next open run; the closed run is never rewritten.</t>
  </si>
  <si>
    <t>Do excluded components exceed 50% of total remuneration?</t>
  </si>
  <si>
    <t>RL-281</t>
  </si>
  <si>
    <t>Arrears only</t>
  </si>
  <si>
    <t>Run</t>
  </si>
  <si>
    <t>excluded_total, gross, excess</t>
  </si>
  <si>
    <t>Entity / period / payroll group</t>
  </si>
  <si>
    <t>PPL-02.5, PAY-11</t>
  </si>
  <si>
    <t>TC-Y41</t>
  </si>
  <si>
    <t>payroll_run.*</t>
  </si>
  <si>
    <t>Yes → add the excess back to the wage base (Code on Wages).</t>
  </si>
  <si>
    <t>A change to class, rest days, shift group, grace exemption or location queues an attendance recompute for the affected range.</t>
  </si>
  <si>
    <t>PPL-02.4, TIM-09</t>
  </si>
  <si>
    <t>PAY-05.3</t>
  </si>
  <si>
    <t>TC-T42</t>
  </si>
  <si>
    <t>Run type</t>
  </si>
  <si>
    <t>payroll_run.run_type</t>
  </si>
  <si>
    <t>Publish statutory_wage_base to PF, ESI, gratuity, bonus, OT and leave encashment nodes.</t>
  </si>
  <si>
    <t>Worker class attributes are read as at the reference date, not as at today.</t>
  </si>
  <si>
    <t>RL-282</t>
  </si>
  <si>
    <t>regular / off_cycle_ot / arrears / fnf / bonus</t>
  </si>
  <si>
    <t>regular</t>
  </si>
  <si>
    <t>statutory_wage_base</t>
  </si>
  <si>
    <t>A period carries several runs</t>
  </si>
  <si>
    <t>TC-H50</t>
  </si>
  <si>
    <t>ONE node, computed once, versioned, testable in isolation.</t>
  </si>
  <si>
    <t>An assignment-level override without a reason fails validation at write time.</t>
  </si>
  <si>
    <t>Pay date</t>
  </si>
  <si>
    <t>payroll_run.pay_date</t>
  </si>
  <si>
    <t>PAY-05.4</t>
  </si>
  <si>
    <t>≥ period end unless off-cycle</t>
  </si>
  <si>
    <t>TC-H51</t>
  </si>
  <si>
    <t>Simulate a proposed structure and show statutory cost and take-home impact before adoption.</t>
  </si>
  <si>
    <t>Grace exemption is an attribute of the designation band, never a hardcoded grade string.</t>
  </si>
  <si>
    <t>RL-283</t>
  </si>
  <si>
    <t>simulation_run C</t>
  </si>
  <si>
    <t>State</t>
  </si>
  <si>
    <t>Assistant Manager and above = Y</t>
  </si>
  <si>
    <t>proposed_structure, per_employee_delta, aggregate_delta</t>
  </si>
  <si>
    <t>Run state and stepper</t>
  </si>
  <si>
    <t>PPL-03.3, TIM-05.6</t>
  </si>
  <si>
    <t>payroll.simulation.run</t>
  </si>
  <si>
    <t>payroll_run.run_state</t>
  </si>
  <si>
    <t>TC-T52</t>
  </si>
  <si>
    <t>Sell the simulator; it opens doors.</t>
  </si>
  <si>
    <t>Transitions guarded by 11_State_Machines</t>
  </si>
  <si>
    <t>Policy resolution for a date outside the assignment span returns 'not employed', not defaults.</t>
  </si>
  <si>
    <t>DRAFT</t>
  </si>
  <si>
    <t>§ PAY-06 · Daily-wage earnings computation</t>
  </si>
  <si>
    <t>Rollback disabled past DISBURSEMENT_PREPARED</t>
  </si>
  <si>
    <t>TC-H53</t>
  </si>
  <si>
    <t>Unmapped components</t>
  </si>
  <si>
    <t>gl_mapping check</t>
  </si>
  <si>
    <t>Sanctioned strength is recorded by org unit, designation and location with an effective date and an approver.</t>
  </si>
  <si>
    <t>PAY-06.1</t>
  </si>
  <si>
    <t>TC-R55</t>
  </si>
  <si>
    <t>Is worker_class.wage_type = daily?</t>
  </si>
  <si>
    <t>RL-290</t>
  </si>
  <si>
    <t>Filled and open counts are derived from assignments and requisitions; neither is stored.</t>
  </si>
  <si>
    <t>Blocks APPROVED</t>
  </si>
  <si>
    <t>wage_type</t>
  </si>
  <si>
    <t>Derived</t>
  </si>
  <si>
    <t>Payroll, Finance</t>
  </si>
  <si>
    <t>Demo point 15</t>
  </si>
  <si>
    <t>Yes → evaluate the daily-wage earnings node, not the monthly node with a proration parameter.</t>
  </si>
  <si>
    <t>TC-R56</t>
  </si>
  <si>
    <t>§ SCR-061 CLEARANCE</t>
  </si>
  <si>
    <t>Headroom = sanctioned − filled − open requisitions.</t>
  </si>
  <si>
    <t>PPL-04.3, TAL-01.3</t>
  </si>
  <si>
    <t>PAY-06.2</t>
  </si>
  <si>
    <t>TC-R57</t>
  </si>
  <si>
    <t>Item</t>
  </si>
  <si>
    <t>Earnings = days_present (from attendance disposition) × daily_rate, with half days at the configured fraction.</t>
  </si>
  <si>
    <t>On separation the position is marked vacant with last incumbent and vacated date.</t>
  </si>
  <si>
    <t>Checklist item / owner / blocking</t>
  </si>
  <si>
    <t>RL-291</t>
  </si>
  <si>
    <t>clearance_item.*</t>
  </si>
  <si>
    <t>days_present, half_days, daily_rate, amount</t>
  </si>
  <si>
    <t>Template-instantiated</t>
  </si>
  <si>
    <t>TC-R58</t>
  </si>
  <si>
    <t>From template</t>
  </si>
  <si>
    <t>Owner, HR</t>
  </si>
  <si>
    <t>Every uploaded document carries a class and, where applicable, an expiry date.</t>
  </si>
  <si>
    <t>document_class set</t>
  </si>
  <si>
    <t>Status / cleared on</t>
  </si>
  <si>
    <t>PAY-06.3</t>
  </si>
  <si>
    <t>Select + date</t>
  </si>
  <si>
    <t>clearance_item.status, cleared_on</t>
  </si>
  <si>
    <t>TC-H60</t>
  </si>
  <si>
    <t>Show the day count on the payslip so a daily-wage worker can reconcile against the attendance record.</t>
  </si>
  <si>
    <t>Only the owner or HR may clear</t>
  </si>
  <si>
    <t>RL-292</t>
  </si>
  <si>
    <t>Extraction never overwrites a verified value; low confidence routes to a verification queue.</t>
  </si>
  <si>
    <t>Open</t>
  </si>
  <si>
    <t>confidence_threshold</t>
  </si>
  <si>
    <t>display_basis</t>
  </si>
  <si>
    <t>0.80</t>
  </si>
  <si>
    <t>TC-H61</t>
  </si>
  <si>
    <t>Waiver reason</t>
  </si>
  <si>
    <t>clearance_item.waive_reason</t>
  </si>
  <si>
    <t>Document expiry generates reminders at configured intervals.</t>
  </si>
  <si>
    <t>Y when waiving</t>
  </si>
  <si>
    <t>remind_days[]</t>
  </si>
  <si>
    <t>Authorised role; min 20 chars</t>
  </si>
  <si>
    <t>60, 30, 7</t>
  </si>
  <si>
    <t>TC-H62</t>
  </si>
  <si>
    <t>§ TIME — INGESTION AND DERIVATION</t>
  </si>
  <si>
    <t>Recovery amount</t>
  </si>
  <si>
    <t>§ PAY-07 · Statutory computation (PF, ESI, PT, LWF, TDS)</t>
  </si>
  <si>
    <t>clearance_item.recovery_amount</t>
  </si>
  <si>
    <t>Raises a payroll input on F&amp;F</t>
  </si>
  <si>
    <t>A punch is captured from any enrolled source and stored immutably.</t>
  </si>
  <si>
    <t>source set</t>
  </si>
  <si>
    <t>HR, Payroll</t>
  </si>
  <si>
    <t>Biometric, mobile, WhatsApp, kiosk, web, gate</t>
  </si>
  <si>
    <t>Unreturned asset becomes a recovery line</t>
  </si>
  <si>
    <t>TC-T70</t>
  </si>
  <si>
    <t>F&amp;F state</t>
  </si>
  <si>
    <t>Offline punches are queued locally with a signed timestamp and replayed on reconnect.</t>
  </si>
  <si>
    <t>blocking item aggregation</t>
  </si>
  <si>
    <t>queue_ttl</t>
  </si>
  <si>
    <t>7 days</t>
  </si>
  <si>
    <t>PAY-07.1</t>
  </si>
  <si>
    <t>TIM-01.1, TIM-01.2</t>
  </si>
  <si>
    <t>TC-T71</t>
  </si>
  <si>
    <t>Evaluate PF and EPS against the statutory wage base and the applicable ceiling in the effective rule pack.</t>
  </si>
  <si>
    <t>Held while any blocking item is open</t>
  </si>
  <si>
    <t>RL-072</t>
  </si>
  <si>
    <t>RL-300</t>
  </si>
  <si>
    <t>Device clock drift is corrected using the device's last sync offset; the raw value is retained alongside the correction.</t>
  </si>
  <si>
    <t>pf_employee, pf_employer, eps, wage_base_used, rule_pack_version</t>
  </si>
  <si>
    <t>max_drift_ms</t>
  </si>
  <si>
    <t>±120000</t>
  </si>
  <si>
    <t>TC-T72</t>
  </si>
  <si>
    <t>Duplicate punches inside the dedupe window are marked, not discarded.</t>
  </si>
  <si>
    <t>dedupe_window_s</t>
  </si>
  <si>
    <t>60</t>
  </si>
  <si>
    <t>PAY-07.2</t>
  </si>
  <si>
    <t>TC-T73</t>
  </si>
  <si>
    <t>Has the employee crossed the ESI wage threshold mid-contribution-period?</t>
  </si>
  <si>
    <t>RL-301</t>
  </si>
  <si>
    <t>Every landed punch queues the affected attendance day for derivation.</t>
  </si>
  <si>
    <t>esi_wage, contribution_period</t>
  </si>
  <si>
    <t>They continue to the end of the period. Getting this wrong is noticed immediately.</t>
  </si>
  <si>
    <t>TC-T74</t>
  </si>
  <si>
    <t>RL-075</t>
  </si>
  <si>
    <t>A punch arriving for a locked payroll period raises an exception instead of changing the locked day.</t>
  </si>
  <si>
    <t>PAY-07.3</t>
  </si>
  <si>
    <t>TIM-01.4, TIM-09.4</t>
  </si>
  <si>
    <t>TC-T75</t>
  </si>
  <si>
    <t>Evaluate PT by state (location's PT slab set) and LWF by state schedule.</t>
  </si>
  <si>
    <t>An attendance day is keyed on the date the SHIFT started, not the calendar date of the punch.</t>
  </si>
  <si>
    <t>RL-302</t>
  </si>
  <si>
    <t>pt_state, pt_amount, lwf_amount</t>
  </si>
  <si>
    <t>TC-T80 (demo point 1)</t>
  </si>
  <si>
    <t>PT differs by state on the same run, and does not apply in every state.</t>
  </si>
  <si>
    <t>Events inside the day window are ordered by timestamp before pairing.</t>
  </si>
  <si>
    <t>day_window_hours</t>
  </si>
  <si>
    <t>30</t>
  </si>
  <si>
    <t>PAY-07.4</t>
  </si>
  <si>
    <t>TC-T81</t>
  </si>
  <si>
    <t>IN pairs to the next OUT; an unpaired event raises an exception and is never discarded.</t>
  </si>
  <si>
    <t>Evaluate TDS: regime choice, exemptions, perquisites, projection to year end.</t>
  </si>
  <si>
    <t>RL-303</t>
  </si>
  <si>
    <t>regime, projected_income, tds_amount</t>
  </si>
  <si>
    <t>TC-T82</t>
  </si>
  <si>
    <t>Mid-year regime switch is an expected case, not an exception.</t>
  </si>
  <si>
    <t>Every gap between consecutive segments is written as a break row with a type and a paid flag.</t>
  </si>
  <si>
    <t>break types</t>
  </si>
  <si>
    <t>meal, gate_pass, other</t>
  </si>
  <si>
    <t>TC-T83 (demo point 1)</t>
  </si>
  <si>
    <t>PAY-07.5</t>
  </si>
  <si>
    <t>gross_minutes = last_out − first_in.</t>
  </si>
  <si>
    <t>Accrue gratuity and bonus provisions for the journal.</t>
  </si>
  <si>
    <t>RL-304</t>
  </si>
  <si>
    <t>provision_line C</t>
  </si>
  <si>
    <t>gratuity_provision, bonus_provision</t>
  </si>
  <si>
    <t>TC-T84</t>
  </si>
  <si>
    <t>Bonus under the Code on Wages uses the same wage base node.</t>
  </si>
  <si>
    <t>Whether recorded breaks are deducted from net is tenant configuration.</t>
  </si>
  <si>
    <t>deduct_breaks</t>
  </si>
  <si>
    <t>NO for this client (gate-to-gate)</t>
  </si>
  <si>
    <t>§ PAY-08 · Loan, advance and EWA recovery</t>
  </si>
  <si>
    <t>TC-T85</t>
  </si>
  <si>
    <t>Approved personal gate-pass minutes are credited back into work hours before disposition thresholds are applied.</t>
  </si>
  <si>
    <t>PAY-08.1</t>
  </si>
  <si>
    <t>TIM-02.7, TIM-06.4</t>
  </si>
  <si>
    <t>TC-T86 (demo point 11)</t>
  </si>
  <si>
    <t>Read active loans and advances for the population from CMB.</t>
  </si>
  <si>
    <t>RL-310</t>
  </si>
  <si>
    <t>loan R</t>
  </si>
  <si>
    <t>Overtime = max(0, basis_minutes − shift_minutes), where basis is gross or net per tenant configuration.</t>
  </si>
  <si>
    <t>loan_id, instalment, outstanding, status</t>
  </si>
  <si>
    <t>ot_basis</t>
  </si>
  <si>
    <t>GROSS for this client</t>
  </si>
  <si>
    <t>Payroll recovers; it does not originate, judge eligibility or hold the balance.</t>
  </si>
  <si>
    <t>TC-T87</t>
  </si>
  <si>
    <t>Every attendance day stores computed_at and the ruleset version that produced it.</t>
  </si>
  <si>
    <t>PAY-08.2</t>
  </si>
  <si>
    <t>TC-T88</t>
  </si>
  <si>
    <t>Would the instalment drive net pay below the floor (statutory minimum wage / configured floor)?</t>
  </si>
  <si>
    <t>RL-311</t>
  </si>
  <si>
    <t>Recomputation writes an audit delta; recomputing an unchanged day produces an identical row and no delta.</t>
  </si>
  <si>
    <t>net_before_recovery, floor</t>
  </si>
  <si>
    <t>Idempotent</t>
  </si>
  <si>
    <t>payroll.recovery.reduced</t>
  </si>
  <si>
    <t>Yes → reduce or skip the instalment, flag it, and carry the shortfall forward.</t>
  </si>
  <si>
    <t>TC-T89</t>
  </si>
  <si>
    <t>§ TIME — SHIFT, DAY TYPE AND DISPOSITION</t>
  </si>
  <si>
    <t>PAY-08.3</t>
  </si>
  <si>
    <t>The assigned shift comes from the published roster, falling back to the assignment default.</t>
  </si>
  <si>
    <t>Write the recovery line, reduce outstanding, stop when the loan closes.</t>
  </si>
  <si>
    <t>RL-312</t>
  </si>
  <si>
    <t>Roster first</t>
  </si>
  <si>
    <t>payslip_line C; loan_repayment C; loan U</t>
  </si>
  <si>
    <t>amount, run_id, outstanding_after</t>
  </si>
  <si>
    <t>TC-T90</t>
  </si>
  <si>
    <t>loan.repayment.posted</t>
  </si>
  <si>
    <t>Inference windows must not overlap within a shift group; overlapping configuration fails validation at save.</t>
  </si>
  <si>
    <t>earliest_in, latest_in</t>
  </si>
  <si>
    <t>Per shift</t>
  </si>
  <si>
    <t>TC-T91</t>
  </si>
  <si>
    <t>PAY-08.4</t>
  </si>
  <si>
    <t>Where the in-punch falls in another shift's window inside the group, that shift is adopted, with assigned and inferred both recorded.</t>
  </si>
  <si>
    <t>Report the closing outstanding back to CMB and to the GL.</t>
  </si>
  <si>
    <t>RL-313</t>
  </si>
  <si>
    <t>Adopt + record</t>
  </si>
  <si>
    <t>loan U</t>
  </si>
  <si>
    <t>outstanding, status</t>
  </si>
  <si>
    <t>TC-T92 (demo point 13)</t>
  </si>
  <si>
    <t>loan.closed</t>
  </si>
  <si>
    <t>Closure is what triggers guarantor release (CMB-04).</t>
  </si>
  <si>
    <t>An HR override of an inferred shift is logged with actor and reason.</t>
  </si>
  <si>
    <t>Logged</t>
  </si>
  <si>
    <t>§ PAY-09 · Review, approval and disbursement</t>
  </si>
  <si>
    <t>TC-T93</t>
  </si>
  <si>
    <t>Threshold lookup uses the APPLIED shift's duration, not the assigned shift's.</t>
  </si>
  <si>
    <t>Applied</t>
  </si>
  <si>
    <t>TIM-03.5, TIM-05.2</t>
  </si>
  <si>
    <t>TC-T94</t>
  </si>
  <si>
    <t>Day type is resolved from the location's work and holiday calendar.</t>
  </si>
  <si>
    <t>Per location</t>
  </si>
  <si>
    <t>PAY-09.1</t>
  </si>
  <si>
    <t>TC-T100</t>
  </si>
  <si>
    <t>Review the run: variance against prior period, exception list, headcount reconciliation.</t>
  </si>
  <si>
    <t>RL-320</t>
  </si>
  <si>
    <t>The worker class's rest-day policy overlays the calendar.</t>
  </si>
  <si>
    <t>run_state(REVIEW), variance_report</t>
  </si>
  <si>
    <t>Sunday weekly off, or none</t>
  </si>
  <si>
    <t>TC-T101 (demo point 2)</t>
  </si>
  <si>
    <t>Policy attaches to worker class, never to the contractor engagement.</t>
  </si>
  <si>
    <t>Class is the unit of policy</t>
  </si>
  <si>
    <t>PAY-09.2</t>
  </si>
  <si>
    <t>TC-T102 (demo point 3)</t>
  </si>
  <si>
    <t>Approve the run. Blocked if any CRITICAL flag is open or any component lacks a GL mapping.</t>
  </si>
  <si>
    <t>RL-321</t>
  </si>
  <si>
    <t>Day type is written before thresholds are applied.</t>
  </si>
  <si>
    <t>run_state(APPROVED), approved_by</t>
  </si>
  <si>
    <t>Order enforced</t>
  </si>
  <si>
    <t>payroll.run.approved</t>
  </si>
  <si>
    <t>Unmapped component blocks APPROVED (demo point 15).</t>
  </si>
  <si>
    <t>TC-T103</t>
  </si>
  <si>
    <t>On a non-working day type, thresholds are skipped and status reflects the day type.</t>
  </si>
  <si>
    <t>Skip</t>
  </si>
  <si>
    <t>PAY-09.3</t>
  </si>
  <si>
    <t>TC-T110</t>
  </si>
  <si>
    <t>Disposition thresholds are looked up by shift duration from a configuration table.</t>
  </si>
  <si>
    <t>threshold rows</t>
  </si>
  <si>
    <t>12h/10h/9h/8h rows</t>
  </si>
  <si>
    <t>TC-T111</t>
  </si>
  <si>
    <t>Below the absent threshold the day is Absent.</t>
  </si>
  <si>
    <t>absent_below_min</t>
  </si>
  <si>
    <t>390 / 360 / 300 / 270</t>
  </si>
  <si>
    <t>TC-T112 (demo point 12)</t>
  </si>
  <si>
    <t>Below the half-day threshold the day is Half Day.</t>
  </si>
  <si>
    <t>half_day_below_min</t>
  </si>
  <si>
    <t>690 / 570 / 510 / 450</t>
  </si>
  <si>
    <t>TC-T113 (demo point 12)</t>
  </si>
  <si>
    <t>Grace applies to both the in and the out punch.</t>
  </si>
  <si>
    <t>Generate the bank file; verify the total out of band before release (dual control).</t>
  </si>
  <si>
    <t>grace_in_min, grace_out_min</t>
  </si>
  <si>
    <t>RL-322</t>
  </si>
  <si>
    <t>15 and 15</t>
  </si>
  <si>
    <t>bank_file C</t>
  </si>
  <si>
    <t>file_ref, total_amount, account_count, checksum</t>
  </si>
  <si>
    <t>TC-T114</t>
  </si>
  <si>
    <t>payroll.bank_file.prepared</t>
  </si>
  <si>
    <t>Alert on any bank-detail change inside the payroll window.</t>
  </si>
  <si>
    <t>Grace-exempt bands incur no late instance and no deduction.</t>
  </si>
  <si>
    <t>Assistant Manager and above</t>
  </si>
  <si>
    <t>TC-T115</t>
  </si>
  <si>
    <t>PAY-09.4</t>
  </si>
  <si>
    <t>Late instances are counted per calendar month and the count is visible to the employee.</t>
  </si>
  <si>
    <t>late_allowance_per_month</t>
  </si>
  <si>
    <t>Release disbursement.</t>
  </si>
  <si>
    <t>3 forgiven</t>
  </si>
  <si>
    <t>RL-323</t>
  </si>
  <si>
    <t>run_state(DISBURSED), disbursed_at</t>
  </si>
  <si>
    <t>TC-T116</t>
  </si>
  <si>
    <t>payroll.run.disbursed</t>
  </si>
  <si>
    <t>Beyond DISBURSEMENT_PREPARED, corrections are arrears only.</t>
  </si>
  <si>
    <t>From the fourth late instance in a month, each late arrival beyond grace marks the day Half Day.</t>
  </si>
  <si>
    <t>4th onward</t>
  </si>
  <si>
    <t>TC-T117 (demo point 12)</t>
  </si>
  <si>
    <t>PAY-09.5</t>
  </si>
  <si>
    <t>An employee who finished after the long-night hour may arrive within the relief window the next day and still be credited a full day.</t>
  </si>
  <si>
    <t>CONFIGURATION TABLES</t>
  </si>
  <si>
    <t>long_night_after, relief_until</t>
  </si>
  <si>
    <t>Emit the salary journal to FIN-03.</t>
  </si>
  <si>
    <t>03:00 and 09:30</t>
  </si>
  <si>
    <t>RL-324</t>
  </si>
  <si>
    <t>gl_journal C</t>
  </si>
  <si>
    <t>journal_id, run_id, lines[]</t>
  </si>
  <si>
    <t>TC-T118 (demo point 12)</t>
  </si>
  <si>
    <t>What an implementation consultant configures, with the demo client's actual values. If any of this needs a developer, it is a product gap to fix, not a branch to cut.</t>
  </si>
  <si>
    <t>payroll.journal.ready</t>
  </si>
  <si>
    <t>The status stores the IDs of the rules that produced it.</t>
  </si>
  <si>
    <t>§ PAY-10 · Off-cycle overtime run</t>
  </si>
  <si>
    <t>Config table</t>
  </si>
  <si>
    <t>TC-T119</t>
  </si>
  <si>
    <t>§ TIME — GATE PASS, OVERTIME, EXCEPTIONS</t>
  </si>
  <si>
    <t>Key columns</t>
  </si>
  <si>
    <t>Client's values (from the demo dataset)</t>
  </si>
  <si>
    <t>Owned by</t>
  </si>
  <si>
    <t>Changeable without a release</t>
  </si>
  <si>
    <t>A gate pass carries a type: personal or official.</t>
  </si>
  <si>
    <t>PAY-10.1</t>
  </si>
  <si>
    <t>TC-T120</t>
  </si>
  <si>
    <t>Carries time and pay policy, not just statutory applicability</t>
  </si>
  <si>
    <t>Create a second run against the same period with run_type = off_cycle_ot.</t>
  </si>
  <si>
    <t>class_code, has_rest_days, rest_day_pattern, wage_type, ot_eligibility, leave_eligible, statutory_set, obligation_party</t>
  </si>
  <si>
    <t>RL-330</t>
  </si>
  <si>
    <t>Personal gate passes are capped per calendar month by total minutes and by instance count.</t>
  </si>
  <si>
    <t>9 classes: PERM, FTC, TRN, APP (stipend), CONT (daily, no rest day), 3PE (rest days, OT on rest/holiday only), 3PH (no rest day, daily), CONS (retainer), GIG</t>
  </si>
  <si>
    <t>run_type, period, pay_date</t>
  </si>
  <si>
    <t>monthly_minutes, max_instances</t>
  </si>
  <si>
    <t>240 minutes, 2 instances</t>
  </si>
  <si>
    <t>Demo: PR-2026-09-01 regular pays 30 Sep; PR-2026-09-02 OT pays 07 Oct.</t>
  </si>
  <si>
    <t>TC-T121 (demo point 11)</t>
  </si>
  <si>
    <t>Band, grace exemption, leave band and notice period</t>
  </si>
  <si>
    <t>PAY-10.2</t>
  </si>
  <si>
    <t>Approved personal gate-pass minutes are added to work hours; unapproved absence stays deducted.</t>
  </si>
  <si>
    <t>designation_code, band, grace_exempt, leave_band, ot_default, notice_days</t>
  </si>
  <si>
    <t>20 designations, bands E/D/C/B/A/T/H. grace_exempt = Y for Assistant Manager and above. Notice 7 to 90 days</t>
  </si>
  <si>
    <t>Pull approved overtime_records tagged to this run only.</t>
  </si>
  <si>
    <t>RL-331</t>
  </si>
  <si>
    <t>overtime_record R</t>
  </si>
  <si>
    <t>pay_in_run_id, ot_minutes, rate_multiplier</t>
  </si>
  <si>
    <t>TC-T122</t>
  </si>
  <si>
    <t>Shift definitions and inference windows</t>
  </si>
  <si>
    <t>shift_code, shift_group, start, end, duration_min, break_recorded, break_deducted, earliest_in, latest_in, crosses_midnight</t>
  </si>
  <si>
    <t>SH-A 08:00-20:00 12h · SH-B 20:00-08:00 12h · SH-C 07:00-17:00 10h · SH-D 17:00-03:00 10h · SH-E 09:00-18:00 9h · SH-F 09:30-17:30 8h. Breaks recorded, NOT deducted</t>
  </si>
  <si>
    <t>Official gate passes are tracked but do not consume the personal ceiling.</t>
  </si>
  <si>
    <t>Excluded</t>
  </si>
  <si>
    <t>PAY-10.3</t>
  </si>
  <si>
    <t>The entire disposition rule, as four rows</t>
  </si>
  <si>
    <t>shift_hours, half_day_below_min, absent_below_min, grace_in, grace_out, late_allowance_per_month, long_night_after, relief_until</t>
  </si>
  <si>
    <t>Compute OT pay on the statutory wage base and the state multiplier; apply statutory treatment.</t>
  </si>
  <si>
    <t>12h: 690/390 · 10h: 570/360 · 9h: 510/300 · 8h: 450/270. Grace 15 in and out. 3 lates forgiven per month. Long night after 03:00, relief until 09:30</t>
  </si>
  <si>
    <t>TC-T123</t>
  </si>
  <si>
    <t>RL-332</t>
  </si>
  <si>
    <t>ot_amount, multiplier, wage_base_used</t>
  </si>
  <si>
    <t>attendance_rule_set (tenant switches)</t>
  </si>
  <si>
    <t>Overtime payability is decided by the resolved ot_eligibility, not by hours alone.</t>
  </si>
  <si>
    <t>Two switches that change every derived figure</t>
  </si>
  <si>
    <t>deduct_breaks, ot_basis</t>
  </si>
  <si>
    <t>deduct_breaks = NO (gate-to-gate). ot_basis = GROSS span. Both must be stated explicitly in configuration, never assumed</t>
  </si>
  <si>
    <t>worker_class + assignment</t>
  </si>
  <si>
    <t>gate_pass_policy</t>
  </si>
  <si>
    <t>TC-T130</t>
  </si>
  <si>
    <t>Personal gate-pass ceiling</t>
  </si>
  <si>
    <t>PAY-10.4</t>
  </si>
  <si>
    <t>monthly_minutes, max_instances, official_consumes_ceiling</t>
  </si>
  <si>
    <t>240 minutes a month, maximum 2 instances, official passes excluded from the ceiling</t>
  </si>
  <si>
    <t>Produce its own payslip view, its own bank file and its own dimensioned journal.</t>
  </si>
  <si>
    <t>Eligibility none means zero payable overtime; raw minutes are still retained for reporting.</t>
  </si>
  <si>
    <t>RL-333</t>
  </si>
  <si>
    <t>bank_file C; gl_journal C</t>
  </si>
  <si>
    <t>work_calendar / holiday_calendar</t>
  </si>
  <si>
    <t>run_type dimension</t>
  </si>
  <si>
    <t>Retain raw</t>
  </si>
  <si>
    <t>Day type by location</t>
  </si>
  <si>
    <t>location_id, date, day_type; holiday applicable_locations[]</t>
  </si>
  <si>
    <t>13 holidays across 4 states; 15 Sep 2026 is a holiday at Hyderabad and Chennai only. Multi-plant operations do not share one list</t>
  </si>
  <si>
    <t>Finance sees overtime cost as its own line, not a restated salary figure.</t>
  </si>
  <si>
    <t>TC-T131</t>
  </si>
  <si>
    <t>§ PAY-12 · Full-and-final run</t>
  </si>
  <si>
    <t>For rest_day_and_holiday_only, weekday overtime is zero and rest-day or holiday working pays the whole span.</t>
  </si>
  <si>
    <t>Types, caps, exclusions, year-end action</t>
  </si>
  <si>
    <t>leave_type, unit, accrual, carry_forward, year_end_action, max_per_month, excluded_with, expiry_rule, applies_to_bands</t>
  </si>
  <si>
    <t>EL: carry forward to 45, encash, max 10/month, excludes CL. CL: lapse, max 2/month, excludes EL and SL. SL: lapse. COMPOFF: 60-day expiry. Birthday leave separate</t>
  </si>
  <si>
    <t>TC-T132 (demo point 4)</t>
  </si>
  <si>
    <t>Band-bound accrual</t>
  </si>
  <si>
    <t>AGM_AND_ABOVE: EL 18, CL 6, SL 6 on 1 Jan. STANDARD: EL 1.5/month with a 6-month wait then 9 days on completion; CL 6; SL 6. Trainee bands per policy</t>
  </si>
  <si>
    <t>The overtime multiplier comes from the state rule pack; exceeding statutory weekly limits warns the approver.</t>
  </si>
  <si>
    <t>multiplier, weekly_limit</t>
  </si>
  <si>
    <t>2.0 for this client</t>
  </si>
  <si>
    <t>PAY-12.1</t>
  </si>
  <si>
    <t>Joining-month proration for CL and SL</t>
  </si>
  <si>
    <t>TC-T133</t>
  </si>
  <si>
    <t>Are all blocking clearance items closed or explicitly waived?</t>
  </si>
  <si>
    <t>RL-340</t>
  </si>
  <si>
    <t>Jan 6 · Feb-Mar 5 · Apr-May 4 · Jun-Jul 3 · Aug-Sep 2 · Oct to 4 Dec 1</t>
  </si>
  <si>
    <t>Overtime is tagged to the run that will pay it, which may be an off-cycle run.</t>
  </si>
  <si>
    <t>clearance_item R</t>
  </si>
  <si>
    <t>blocking, status</t>
  </si>
  <si>
    <t>Off-cycle for this client</t>
  </si>
  <si>
    <t>No → F&amp;F run is held. Same lock semantics as the payroll input lock — reuse, do not reimplement.</t>
  </si>
  <si>
    <t>TC-Y134 (demo point 10)</t>
  </si>
  <si>
    <t>Who approves what, in what order</t>
  </si>
  <si>
    <t>chain_id, request_type, applies_to, steps[], sla_hours</t>
  </si>
  <si>
    <t>Exceptions are raised for unpaired punches, missing days, device failure, inferred shifts and threshold crossings.</t>
  </si>
  <si>
    <t>exception types</t>
  </si>
  <si>
    <t>Leave: Supervisor → HOD → HR Head, sequential, HR edit right retained. Loan: sanction chain by amount with director override. Requisition: with sanction check</t>
  </si>
  <si>
    <t>Per list</t>
  </si>
  <si>
    <t>PAY-12.2</t>
  </si>
  <si>
    <t>pay_component + gl_mapping</t>
  </si>
  <si>
    <t>TC-T140</t>
  </si>
  <si>
    <t>Components, their formulas and their accounts</t>
  </si>
  <si>
    <t>component_code, type, formula, depends_on, taxable, pf/esi applicable; entity, dr_cr, gl_account_code, cost_centre_source, dimensioned_by</t>
  </si>
  <si>
    <t>Compute settlement: salary to LWD, leave encashment from the ledger, gratuity, notice recovery, loan foreclosure, recoveries.</t>
  </si>
  <si>
    <t>An agent may propose a regularisation but only auto-resolve under the tenant's configured threshold.</t>
  </si>
  <si>
    <t>Basic, DA, HRA, conveyance, special allowance, OT, awards; employer PF and ESI, gratuity, bonus, encashment provisions; payables and recoveries. Every component mapped before a run can be approved</t>
  </si>
  <si>
    <t>RL-341</t>
  </si>
  <si>
    <t>auto_threshold_minutes</t>
  </si>
  <si>
    <t>Finance + implementation</t>
  </si>
  <si>
    <t>120 (illustrative)</t>
  </si>
  <si>
    <t>components[], notice_recovery, gratuity, encashment</t>
  </si>
  <si>
    <t>Tenant policy</t>
  </si>
  <si>
    <t>loan_policy</t>
  </si>
  <si>
    <t>TIM-08.2, INT-01</t>
  </si>
  <si>
    <t>Eligibility and guarantor rules</t>
  </si>
  <si>
    <t>Negative net is a legitimate outcome and must be handled, not blocked.</t>
  </si>
  <si>
    <t>TC-A141</t>
  </si>
  <si>
    <t>ceiling_multiple_base, ceiling_multiple_long, long_service_years, mandatory_guarantors, third_guarantor_threshold, one_at_a_time, override_role</t>
  </si>
  <si>
    <t>4x basic, 6x above 5 years' service, 2 mandatory guarantors, third optional above a threshold, one loan at a time, guarantor lock until release, director override on special terms</t>
  </si>
  <si>
    <t>An approved regularisation queues recompute and closes the exception.</t>
  </si>
  <si>
    <t>Exit no-dues items by class and location</t>
  </si>
  <si>
    <t>PAY-12.3</t>
  </si>
  <si>
    <t>TC-T142</t>
  </si>
  <si>
    <t>worker_class, location_id, item, owner_role, blocking, sla_days</t>
  </si>
  <si>
    <t>Nine items in the demo tenant, four blocking. Plant template returns tools and locker key; head office returns laptop and corporate card</t>
  </si>
  <si>
    <t>Approve and settle on the last working day.</t>
  </si>
  <si>
    <t>The recompute queue carries person, date range and reason.</t>
  </si>
  <si>
    <t>RL-342</t>
  </si>
  <si>
    <t>reasons</t>
  </si>
  <si>
    <t>run_type(fnf), run_state</t>
  </si>
  <si>
    <t>6 reasons listed in TIM-09.1</t>
  </si>
  <si>
    <t>The form library</t>
  </si>
  <si>
    <t>form_code, act, state, applicability_rule, frequency, due_rule, template_ref</t>
  </si>
  <si>
    <t>payroll.fnf.settled</t>
  </si>
  <si>
    <t>TC-T150</t>
  </si>
  <si>
    <t>Factories Rules Form F at joining (KA and TN sets differ), Form 28 overtime register, state registers and returns. The library is the deliverable, not any one form</t>
  </si>
  <si>
    <t>Only achievable because clearance ran in parallel with notice (demo point 16).</t>
  </si>
  <si>
    <t>Recompute reads every input as at the recompute snapshot, never as at today.</t>
  </si>
  <si>
    <t>§ PAY-13 · Payslip publication and retrieval</t>
  </si>
  <si>
    <t>Statutory computation, outside application code</t>
  </si>
  <si>
    <t>pack_id, jurisdiction, state, effective_from, supersedes, rules[], tests, changelog</t>
  </si>
  <si>
    <t>TC-T151</t>
  </si>
  <si>
    <t>Central wages pack plus KA, MH, TS, TN state packs for PT and LWF. Deployed independently of the application, with a green suite and a named reviewer</t>
  </si>
  <si>
    <t>Recompute runs in an isolated worker and must not degrade interactive latency.</t>
  </si>
  <si>
    <t>Yes — independently deployable</t>
  </si>
  <si>
    <t>throughput target</t>
  </si>
  <si>
    <t>5,000 people × 1 month &lt; 10 min</t>
  </si>
  <si>
    <t>Who owns which employee-master field</t>
  </si>
  <si>
    <t>NFR</t>
  </si>
  <si>
    <t>TC-N152</t>
  </si>
  <si>
    <t>ERP owns employee code, name, joining date, department, cost centre. Nucleus owns grade, worker class, shift, leave policy, manager and all time and talent data</t>
  </si>
  <si>
    <t>Recompute never alters a locked or closed payroll period; it raises an arrears item instead.</t>
  </si>
  <si>
    <t>tenant_agent_policy</t>
  </si>
  <si>
    <t>Agent autonomy per tenant</t>
  </si>
  <si>
    <t>agent_id, tool, max_value, max_blast_radius, auto_approve_threshold, requires_human</t>
  </si>
  <si>
    <t>Attendance Steward auto-resolves under a configured threshold; Payroll Preparer is propose-only always; disbursement, termination, offer release, statutory filing and loan sanction always require a named human</t>
  </si>
  <si>
    <t>TC-Y153</t>
  </si>
  <si>
    <t>Deltas feed the pre-payroll audit check for days not recomputed since the last rule change.</t>
  </si>
  <si>
    <t>PAY-13.1</t>
  </si>
  <si>
    <t>TIM-09.5, PAY-03.1</t>
  </si>
  <si>
    <t>TC-Y154</t>
  </si>
  <si>
    <t>Open payslips; select the period AND the run.</t>
  </si>
  <si>
    <t>RL-350</t>
  </si>
  <si>
    <t>payslip R</t>
  </si>
  <si>
    <t>Team history is scoped by the manager's reporting line, evaluated at query time.</t>
  </si>
  <si>
    <t>period, run_id, run_type</t>
  </si>
  <si>
    <t>Query-time</t>
  </si>
  <si>
    <t>Run selector everywhere — a period has several runs.</t>
  </si>
  <si>
    <t>TC-T160</t>
  </si>
  <si>
    <t>Team history returns attendance, leave, overtime, gate pass, late status and applied shift per day.</t>
  </si>
  <si>
    <t>Fixed column set</t>
  </si>
  <si>
    <t>Product</t>
  </si>
  <si>
    <t>PAY-13.2</t>
  </si>
  <si>
    <t>TC-T161 (demo point 1)</t>
  </si>
  <si>
    <t>Serve the payslip with drill-down to the rule and inputs behind each line.</t>
  </si>
  <si>
    <t>RL-351</t>
  </si>
  <si>
    <t>Exports of personal data are logged.</t>
  </si>
  <si>
    <t>payslip_line_trace R</t>
  </si>
  <si>
    <t>line, rule_ref, inputs</t>
  </si>
  <si>
    <t>payslip.viewed</t>
  </si>
  <si>
    <t>Offline-capable on mobile.</t>
  </si>
  <si>
    <t>TC-C162</t>
  </si>
  <si>
    <t>§ CMP-01p · Rule pack authoring, test and deployment</t>
  </si>
  <si>
    <t>Accrual is bound to the leave band through an accrual policy.</t>
  </si>
  <si>
    <t>policy set</t>
  </si>
  <si>
    <t>LP-01 to LP-12</t>
  </si>
  <si>
    <t>TC-L170</t>
  </si>
  <si>
    <t>Standard-band employees accrue no earned leave for six months, then receive a single credit on completion.</t>
  </si>
  <si>
    <t>wait_months, credit_on_completion</t>
  </si>
  <si>
    <t>6 months, 9 days</t>
  </si>
  <si>
    <t>CMP-01p.1</t>
  </si>
  <si>
    <t>TC-L171 (demo point 7)</t>
  </si>
  <si>
    <t>Author the pack: jurisdiction, effective_from, supersedes, rules, changelog citing the source notification.</t>
  </si>
  <si>
    <t>RL-360</t>
  </si>
  <si>
    <t>rule_pack C</t>
  </si>
  <si>
    <t>Accrual and expiry jobs are idempotent per person, type, period and transaction type.</t>
  </si>
  <si>
    <t>pack_id, jurisdiction, effective_from, supersedes, rules[], changelog</t>
  </si>
  <si>
    <t>idempotency_key</t>
  </si>
  <si>
    <t>Unique index</t>
  </si>
  <si>
    <t>compliance.pack.drafted</t>
  </si>
  <si>
    <t>Packs are declarative JSON evaluated by a sandboxed interpreter in v1. Keep the interface stable.</t>
  </si>
  <si>
    <t>LVE-01.3, LVE-06.3</t>
  </si>
  <si>
    <t>TC-L172</t>
  </si>
  <si>
    <t>AGM and above receive 18 EL, 6 CL and 6 SL on 1 January; all others 1.5 EL per month plus 6 CL and 6 SL.</t>
  </si>
  <si>
    <t>band values</t>
  </si>
  <si>
    <t>As stated</t>
  </si>
  <si>
    <t>CMP-01p.2</t>
  </si>
  <si>
    <t>TC-L173</t>
  </si>
  <si>
    <t>Write or extend the golden cases for every rule in the pack.</t>
  </si>
  <si>
    <t>RL-361</t>
  </si>
  <si>
    <t>Casual and sick leave for a new joiner are prorated by joining month from a table.</t>
  </si>
  <si>
    <t>golden_case C</t>
  </si>
  <si>
    <t>proration rows</t>
  </si>
  <si>
    <t>case_id, inputs, expected_output, statute_ref</t>
  </si>
  <si>
    <t>Jan 6 · Feb-Mar 5 · Apr-May 4 · Jun-Jul 3 · Aug-Sep 2 · Oct-4 Dec 1</t>
  </si>
  <si>
    <t>TC-L180 (demo point 7)</t>
  </si>
  <si>
    <t>Prorated credits post to the ledger citing the proration rule as source.</t>
  </si>
  <si>
    <t>CMP-01p.3</t>
  </si>
  <si>
    <t>TC-L181</t>
  </si>
  <si>
    <t>Run the suite in CI; a single mismatch fails the build.</t>
  </si>
  <si>
    <t>RL-362</t>
  </si>
  <si>
    <t>Leave eligibility follows the worker class; ineligible classes accrue nothing.</t>
  </si>
  <si>
    <t>test_run C</t>
  </si>
  <si>
    <t>pass_count, fail_count</t>
  </si>
  <si>
    <t>Contract, third-party, consultant, gig = N</t>
  </si>
  <si>
    <t>compliance.pack.tested</t>
  </si>
  <si>
    <t>TC-L182</t>
  </si>
  <si>
    <t>A leave request captures type, dates, half-day flags and reason.</t>
  </si>
  <si>
    <t>Per type</t>
  </si>
  <si>
    <t>CMP-01p.4</t>
  </si>
  <si>
    <t>Named reviewer</t>
  </si>
  <si>
    <t>TC-L190</t>
  </si>
  <si>
    <t>Payroll SME signs off. No green suite or no named reviewer means no deploy.</t>
  </si>
  <si>
    <t>RL-363</t>
  </si>
  <si>
    <t>Balance is projected from the ledger as at the leave start date, honouring per-credit expiry.</t>
  </si>
  <si>
    <t>rule_pack U</t>
  </si>
  <si>
    <t>reviewed_by, approved_at</t>
  </si>
  <si>
    <t>Projection</t>
  </si>
  <si>
    <t>compliance.pack.published</t>
  </si>
  <si>
    <t>LVE-03.2, LVE-08.1</t>
  </si>
  <si>
    <t>Non-negotiable risk control (blueprint §15).</t>
  </si>
  <si>
    <t>TC-L191</t>
  </si>
  <si>
    <t>Casual leave cannot be taken with, or merged into, earned or sick leave.</t>
  </si>
  <si>
    <t>excluded_with</t>
  </si>
  <si>
    <t>CL excludes EL and SL</t>
  </si>
  <si>
    <t>CMP-01p.5</t>
  </si>
  <si>
    <t>TC-L192 (demo point 7)</t>
  </si>
  <si>
    <t>Deploy independently of the application; state packs layer on the central pack.</t>
  </si>
  <si>
    <t>RL-364</t>
  </si>
  <si>
    <t>state, layer_order, effective_from</t>
  </si>
  <si>
    <t>Monthly caps: two casual leave days and ten earned leave days per calendar month.</t>
  </si>
  <si>
    <t>compliance.pack.deployed</t>
  </si>
  <si>
    <t>CL 2, EL 10</t>
  </si>
  <si>
    <t>TC-L193 (demo point 7)</t>
  </si>
  <si>
    <t>§ CMP-02p · Obligation calendar and filing</t>
  </si>
  <si>
    <t>Validation runs before the approval chain starts and the message names the rule that blocked it.</t>
  </si>
  <si>
    <t>Before chain</t>
  </si>
  <si>
    <t>LVE-03.3, LVE-03.4</t>
  </si>
  <si>
    <t>TC-L194</t>
  </si>
  <si>
    <t>Approval debits the ledger against the specific credits consumed, so a reversal knows where to return days.</t>
  </si>
  <si>
    <t>Credit-referenced</t>
  </si>
  <si>
    <t>CMP-02p.1</t>
  </si>
  <si>
    <t>TC-L195</t>
  </si>
  <si>
    <t>Generate the obligation calendar per entity and state from the applicability matrix.</t>
  </si>
  <si>
    <t>Early return records the actual return date inside the approved span.</t>
  </si>
  <si>
    <t>RL-370</t>
  </si>
  <si>
    <t>obligation C</t>
  </si>
  <si>
    <t>obligation_id, obligation, authority, entity, state, period, due_date, owner</t>
  </si>
  <si>
    <t>compliance.obligation.created</t>
  </si>
  <si>
    <t>TC-L200 (demo point 5)</t>
  </si>
  <si>
    <t>The reversal row and the attendance recompute happen in ONE transaction.</t>
  </si>
  <si>
    <t>Atomic</t>
  </si>
  <si>
    <t>CMP-02p.2</t>
  </si>
  <si>
    <t>TC-L201</t>
  </si>
  <si>
    <t>Owner</t>
  </si>
  <si>
    <t>Days after the actual return become Present or their punch-derived status.</t>
  </si>
  <si>
    <t>Recomputed</t>
  </si>
  <si>
    <t>TC-L202</t>
  </si>
  <si>
    <t>An early return affecting a locked period produces arrears, not a change to the closed run.</t>
  </si>
  <si>
    <t>Prepare the filing pack; the Compliance Watcher agent assembles it from POSTED records only.</t>
  </si>
  <si>
    <t>RL-371</t>
  </si>
  <si>
    <t>Arrears</t>
  </si>
  <si>
    <t>filing_pack C; action_ledger C</t>
  </si>
  <si>
    <t>records[], generated_at</t>
  </si>
  <si>
    <t>TC-Y203</t>
  </si>
  <si>
    <t>Never from typed figures.</t>
  </si>
  <si>
    <t>Each comp-off credit carries its own expiry clock from its own credit date.</t>
  </si>
  <si>
    <t>expiry_days</t>
  </si>
  <si>
    <t>TC-L210 (demo point 6)</t>
  </si>
  <si>
    <t>CMP-02p.3</t>
  </si>
  <si>
    <t>Comp-off consumption draws from the earliest-expiring open credit first.</t>
  </si>
  <si>
    <t>FEFO</t>
  </si>
  <si>
    <t>File externally, attach the acknowledgement as evidence, close the obligation.</t>
  </si>
  <si>
    <t>RL-372</t>
  </si>
  <si>
    <t>obligation U</t>
  </si>
  <si>
    <t>TC-L211</t>
  </si>
  <si>
    <t>status, evidence_ref, filed_on, ack_ref</t>
  </si>
  <si>
    <t>Unconsumed comp-off lapses by a Lapse row on its own expiry date.</t>
  </si>
  <si>
    <t>compliance.obligation.filed</t>
  </si>
  <si>
    <t>Human files. Always.</t>
  </si>
  <si>
    <t>Nightly, idempotent</t>
  </si>
  <si>
    <t>TC-L212</t>
  </si>
  <si>
    <t>§ CMP-03p · Statutory form and register generation</t>
  </si>
  <si>
    <t>STATE MACHINES</t>
  </si>
  <si>
    <t>A comp-off clock may cross the leave-year boundary; the year end does not truncate it.</t>
  </si>
  <si>
    <t>Crosses</t>
  </si>
  <si>
    <t>TC-L213</t>
  </si>
  <si>
    <t>States, guards and reversibility for every stateful object. A transition not listed here is not permitted.</t>
  </si>
  <si>
    <t>At year end earned leave encashes above the carry-forward cap; casual and sick leave lapse.</t>
  </si>
  <si>
    <t>carry_forward_cap</t>
  </si>
  <si>
    <t>45 days EL</t>
  </si>
  <si>
    <t>CMP-03p.1</t>
  </si>
  <si>
    <t>TC-L220</t>
  </si>
  <si>
    <t>Resolve the applicable form set from the plant's registration (state + establishment type), not the company's.</t>
  </si>
  <si>
    <t>Encashment is raised as a payroll input computed on the statutory wage base.</t>
  </si>
  <si>
    <t>RL-380</t>
  </si>
  <si>
    <t>statutory_form R</t>
  </si>
  <si>
    <t>Wage base</t>
  </si>
  <si>
    <t>Meaning</t>
  </si>
  <si>
    <t>Entered by</t>
  </si>
  <si>
    <t>Allowed next states</t>
  </si>
  <si>
    <t>TC-Y221</t>
  </si>
  <si>
    <t>Three plants in three states file three different sets.</t>
  </si>
  <si>
    <t>Guard</t>
  </si>
  <si>
    <t>Reversible</t>
  </si>
  <si>
    <t>Birthday leave is a separate credit with its own eligibility window.</t>
  </si>
  <si>
    <t>window</t>
  </si>
  <si>
    <t>Per client policy</t>
  </si>
  <si>
    <t>§ payroll_run</t>
  </si>
  <si>
    <t>TC-L222</t>
  </si>
  <si>
    <t>CMP-03p.2</t>
  </si>
  <si>
    <t>Balance = credits − debits − lapses − encashments + reversals, as at a date.</t>
  </si>
  <si>
    <t>Bind a declarative query to the template and render the instance.</t>
  </si>
  <si>
    <t>RL-381</t>
  </si>
  <si>
    <t>statutory_form_instance C</t>
  </si>
  <si>
    <t>instance_id, period, generated_at, file_ref</t>
  </si>
  <si>
    <t>TC-L230</t>
  </si>
  <si>
    <t>compliance.form.generated</t>
  </si>
  <si>
    <t>A code change per state amendment is not sustainable at 100 clients.</t>
  </si>
  <si>
    <t>CMP-03r</t>
  </si>
  <si>
    <t>The balance screen exposes the transactions that produced it.</t>
  </si>
  <si>
    <t>Created, population resolved, inputs still moving</t>
  </si>
  <si>
    <t>TC-L231</t>
  </si>
  <si>
    <t>CMP-03p.3</t>
  </si>
  <si>
    <t>INPUTS_LOCKED</t>
  </si>
  <si>
    <t>Joining forms (Form F and state equivalents) are generated INSIDE the joining chain.</t>
  </si>
  <si>
    <t>RL-382</t>
  </si>
  <si>
    <t>trigger(joining_chain), person_id</t>
  </si>
  <si>
    <t>A payroll run carries a run type and a period may carry several runs.</t>
  </si>
  <si>
    <t>run_type</t>
  </si>
  <si>
    <t>Not chased in an audit week (demo point 26).</t>
  </si>
  <si>
    <t>regular, off_cycle_ot, arrears, fnf, bonus</t>
  </si>
  <si>
    <t>Cut-off reached; snapshot written</t>
  </si>
  <si>
    <t>TC-Y240 (demo point 10)</t>
  </si>
  <si>
    <t>PRE_AUDIT, DRAFT</t>
  </si>
  <si>
    <t>The run population is resolved from assignments active in the period, including joiners, leavers and transfers.</t>
  </si>
  <si>
    <t>Snapshot hash written</t>
  </si>
  <si>
    <t>CMP-03p.4</t>
  </si>
  <si>
    <t>File, record acknowledgement reference, retain the artefact against the period.</t>
  </si>
  <si>
    <t>TC-Y241</t>
  </si>
  <si>
    <t>RL-383</t>
  </si>
  <si>
    <t>PRE_AUDIT</t>
  </si>
  <si>
    <t>statutory_form_instance U</t>
  </si>
  <si>
    <t>Rule and statistical checks run</t>
  </si>
  <si>
    <t>filed_on, ack_ref</t>
  </si>
  <si>
    <t>Inputs are pulled from attendance, leave, gate pass, overtime, claims, arrears and payroll_input rows.</t>
  </si>
  <si>
    <t>CALCULATED, INPUTS_LOCKED</t>
  </si>
  <si>
    <t>All sources</t>
  </si>
  <si>
    <t>compliance.form.filed</t>
  </si>
  <si>
    <t>No unresolved CRITICAL flag to proceed</t>
  </si>
  <si>
    <t>TC-Y242</t>
  </si>
  <si>
    <t>§ LCY-02 · Joining chain</t>
  </si>
  <si>
    <t>CALCULATED</t>
  </si>
  <si>
    <t>Locking inputs freezes the run against further input changes.</t>
  </si>
  <si>
    <t>Gross-to-net DAG evaluated</t>
  </si>
  <si>
    <t>REVIEW, PRE_AUDIT</t>
  </si>
  <si>
    <t>TC-Y250</t>
  </si>
  <si>
    <t>payroll.run.calculated</t>
  </si>
  <si>
    <t>The snapshot hashes inputs, rule pack versions and configuration so the run can be recomputed and matched to the paisa.</t>
  </si>
  <si>
    <t>REVIEW</t>
  </si>
  <si>
    <t>Variance and headcount reconciliation</t>
  </si>
  <si>
    <t>APPROVED, CALCULATED</t>
  </si>
  <si>
    <t>TC-Y251</t>
  </si>
  <si>
    <t>LCY-02.1</t>
  </si>
  <si>
    <t>Pre-payroll audit runs rule-based checks first and statistical checks second.</t>
  </si>
  <si>
    <t>Joining chain starts on the date of joining with the workflow version pinned.</t>
  </si>
  <si>
    <t>check list</t>
  </si>
  <si>
    <t>APPROVED</t>
  </si>
  <si>
    <t>RL-390</t>
  </si>
  <si>
    <t>11 named checks</t>
  </si>
  <si>
    <t>Signed off</t>
  </si>
  <si>
    <t>chain_id, workflow_version, person_id</t>
  </si>
  <si>
    <t>DISBURSEMENT_PREPARED, REVIEW</t>
  </si>
  <si>
    <t>TC-Y260</t>
  </si>
  <si>
    <t>No CRITICAL flag AND every component GL-mapped</t>
  </si>
  <si>
    <t>lifecycle.joining.started</t>
  </si>
  <si>
    <t>An agent may classify and draft resolutions but never change a payroll figure.</t>
  </si>
  <si>
    <t>autonomy</t>
  </si>
  <si>
    <t>DISBURSEMENT_PREPARED</t>
  </si>
  <si>
    <t>Bank file generated and verified</t>
  </si>
  <si>
    <t>TC-A261</t>
  </si>
  <si>
    <t>LCY-02.2</t>
  </si>
  <si>
    <t>A CRITICAL flag blocks approval and cannot be waived below its configured role threshold.</t>
  </si>
  <si>
    <t>waive_role</t>
  </si>
  <si>
    <t>Payroll manager or above</t>
  </si>
  <si>
    <t>Create person + assignment (PPL-01) if not already created at pre-boarding.</t>
  </si>
  <si>
    <t>RL-391</t>
  </si>
  <si>
    <t>person C; assignment C</t>
  </si>
  <si>
    <t>TC-Y262</t>
  </si>
  <si>
    <t>Pay components form a DAG evaluated in topological order, once per employee.</t>
  </si>
  <si>
    <t>DISBURSED, APPROVED</t>
  </si>
  <si>
    <t>Dual control on the file total</t>
  </si>
  <si>
    <t>LAST reversible state</t>
  </si>
  <si>
    <t>TC-Y270</t>
  </si>
  <si>
    <t>LCY-02.3</t>
  </si>
  <si>
    <t>Money is held as integers in the smallest currency unit; no floating point anywhere in the engine.</t>
  </si>
  <si>
    <t>DISBURSED</t>
  </si>
  <si>
    <t>Statutory registrations: PF/UAN, ESI/IP number, PT enrolment where applicable.</t>
  </si>
  <si>
    <t>Paise</t>
  </si>
  <si>
    <t>Money has moved</t>
  </si>
  <si>
    <t>RL-392</t>
  </si>
  <si>
    <t>statutory_registration C</t>
  </si>
  <si>
    <t>POSTED_TO_GL</t>
  </si>
  <si>
    <t>uan, esi_ip, pt_enrolment, registered_on</t>
  </si>
  <si>
    <t>TC-Y271</t>
  </si>
  <si>
    <t>NO — corrections are arrears only</t>
  </si>
  <si>
    <t>compliance.registration.done</t>
  </si>
  <si>
    <t>Proration across any month boundary sums to the full-month value.</t>
  </si>
  <si>
    <t>Property</t>
  </si>
  <si>
    <t>Property test</t>
  </si>
  <si>
    <t>Journal accepted by the finance system</t>
  </si>
  <si>
    <t>TC-Y272</t>
  </si>
  <si>
    <t>CLOSED</t>
  </si>
  <si>
    <t>LCY-02.4</t>
  </si>
  <si>
    <t>External document number received</t>
  </si>
  <si>
    <t>Every payslip line stores the node, inputs, output and rule pack version that produced it.</t>
  </si>
  <si>
    <t>payroll.run.posted</t>
  </si>
  <si>
    <t>Generate statutory joining forms including Form F for factory locations.</t>
  </si>
  <si>
    <t>TC-Y273</t>
  </si>
  <si>
    <t>Period handshake complete</t>
  </si>
  <si>
    <t>form_code, state, location_id</t>
  </si>
  <si>
    <t>Statutory wage base = basic + dearness allowance + retaining allowance.</t>
  </si>
  <si>
    <t>Owner for this item is still to be assigned (blueprint Annexure A, point 26).</t>
  </si>
  <si>
    <t>Reconciliation assertions all pass</t>
  </si>
  <si>
    <t>Code on Wages</t>
  </si>
  <si>
    <t>payroll.run.closed</t>
  </si>
  <si>
    <t>TC-Y280</t>
  </si>
  <si>
    <t>§ attendance_day</t>
  </si>
  <si>
    <t>Where excluded components exceed 50% of total remuneration, the excess is added back to the wage base.</t>
  </si>
  <si>
    <t>LCY-02.5</t>
  </si>
  <si>
    <t>floor_pct</t>
  </si>
  <si>
    <t>50%</t>
  </si>
  <si>
    <t>Capture bank details, assign payroll group, capture nominee and emergency contacts.</t>
  </si>
  <si>
    <t>RL-393</t>
  </si>
  <si>
    <t>TC-Y281</t>
  </si>
  <si>
    <t>PENDING</t>
  </si>
  <si>
    <t>bank_detail C; assignment U</t>
  </si>
  <si>
    <t>account_token, ifsc, payroll_group</t>
  </si>
  <si>
    <t>Queued for derivation</t>
  </si>
  <si>
    <t>The wage base is one node, computed once, and consumed by PF, ESI, gratuity, bonus, overtime and encashment.</t>
  </si>
  <si>
    <t>COMPUTED</t>
  </si>
  <si>
    <t>Single node</t>
  </si>
  <si>
    <t>Bank detail changes inside a payroll window raise an alert (RL-322).</t>
  </si>
  <si>
    <t>n/a — derived</t>
  </si>
  <si>
    <t>TC-Y282</t>
  </si>
  <si>
    <t>A structure change can be simulated for statutory cost and take-home impact before adoption.</t>
  </si>
  <si>
    <t>Totals and disposition written with provenance</t>
  </si>
  <si>
    <t>TIM-02/05</t>
  </si>
  <si>
    <t>Per employee and aggregate</t>
  </si>
  <si>
    <t>LCY-02.6</t>
  </si>
  <si>
    <t>EXCEPTION, LOCKED, COMPUTED (recompute)</t>
  </si>
  <si>
    <t>Recomputable by definition</t>
  </si>
  <si>
    <t>TC-Y283</t>
  </si>
  <si>
    <t>Acknowledge policies; acknowledgement is retained with the policy version.</t>
  </si>
  <si>
    <t>RL-394</t>
  </si>
  <si>
    <t>Daily-wage earnings are a separate DAG node selected by wage_type, not a proration parameter on the monthly node.</t>
  </si>
  <si>
    <t>policy_acknowledgement C</t>
  </si>
  <si>
    <t>EXCEPTION</t>
  </si>
  <si>
    <t>policy_id, version, acknowledged_at</t>
  </si>
  <si>
    <t>Unpaired punch or missing data</t>
  </si>
  <si>
    <t>daily</t>
  </si>
  <si>
    <t>Regularisation approved</t>
  </si>
  <si>
    <t>TC-Y290 (demo point 2)</t>
  </si>
  <si>
    <t>Daily-wage earnings = days present × daily rate, with half days at the configured fraction.</t>
  </si>
  <si>
    <t>half_day_fraction</t>
  </si>
  <si>
    <t>0.5</t>
  </si>
  <si>
    <t>LOCKED</t>
  </si>
  <si>
    <t>LCY-02.7</t>
  </si>
  <si>
    <t>Inside a locked payroll period</t>
  </si>
  <si>
    <t>TC-Y291</t>
  </si>
  <si>
    <t>COMPUTED (next open period only)</t>
  </si>
  <si>
    <t>Assign the induction learning path and the 30/60/90 plan.</t>
  </si>
  <si>
    <t>RL-395</t>
  </si>
  <si>
    <t>Recompute raises arrears instead of changing the day</t>
  </si>
  <si>
    <t>The day count is shown on the payslip so a daily-wage worker can reconcile against attendance.</t>
  </si>
  <si>
    <t>learning_assignment C</t>
  </si>
  <si>
    <t>path_id, due_on, trigger(joining_chain)</t>
  </si>
  <si>
    <t>§ leave_request</t>
  </si>
  <si>
    <t>learning.path.assigned</t>
  </si>
  <si>
    <t>TC-Y292</t>
  </si>
  <si>
    <t>Same mechanism as any other assignment trigger (Module 10 contract).</t>
  </si>
  <si>
    <t>PF and EPS are computed on the statutory wage base against the ceiling in the effective rule pack.</t>
  </si>
  <si>
    <t>ceiling</t>
  </si>
  <si>
    <t>Per pack version</t>
  </si>
  <si>
    <t>Being entered</t>
  </si>
  <si>
    <t>LCY-02.8</t>
  </si>
  <si>
    <t>TC-Y300</t>
  </si>
  <si>
    <t>Admin / IT</t>
  </si>
  <si>
    <t>VALIDATED, CANCELLED</t>
  </si>
  <si>
    <t>Allocate assets; each allocation becomes a future blocking clearance item.</t>
  </si>
  <si>
    <t>An employee crossing the ESI wage threshold mid-period continues contributing to the end of the contribution period.</t>
  </si>
  <si>
    <t>RL-396</t>
  </si>
  <si>
    <t>asset_allocation C</t>
  </si>
  <si>
    <t>asset_code, issued_on, condition</t>
  </si>
  <si>
    <t>REJECTED_BY_RULE</t>
  </si>
  <si>
    <t>Blocked at validation before the chain</t>
  </si>
  <si>
    <t>asset.allocated</t>
  </si>
  <si>
    <t>TC-Y301</t>
  </si>
  <si>
    <t>Combination or cap rule fired</t>
  </si>
  <si>
    <t>Professional tax follows the location's state slab set; it does not apply in every state.</t>
  </si>
  <si>
    <t>Yes — reapply</t>
  </si>
  <si>
    <t>pt_slab_set</t>
  </si>
  <si>
    <t>KA, MH, TS, TN sets</t>
  </si>
  <si>
    <t>VALIDATED</t>
  </si>
  <si>
    <t>LCY-02.9</t>
  </si>
  <si>
    <t>TC-Y302 (demo point 17)</t>
  </si>
  <si>
    <t>Passed balance, combination, cap and conflict checks</t>
  </si>
  <si>
    <t>TDS respects the regime choice and projects to year end; a mid-year switch is an expected case.</t>
  </si>
  <si>
    <t>Publish the new-joiner announcement per the audience rule.</t>
  </si>
  <si>
    <t>PENDING_APPROVAL</t>
  </si>
  <si>
    <t>RL-397</t>
  </si>
  <si>
    <t>Both regimes</t>
  </si>
  <si>
    <t>announcement C</t>
  </si>
  <si>
    <t>type(new_joiner), audience_rule, channels</t>
  </si>
  <si>
    <t>TC-Y303</t>
  </si>
  <si>
    <t>experience.announcement.published</t>
  </si>
  <si>
    <t>In the sequential chain</t>
  </si>
  <si>
    <t>Gratuity and bonus provisions accrue on the statutory wage base for the journal.</t>
  </si>
  <si>
    <t>APPROVED, REJECTED, CANCELLED</t>
  </si>
  <si>
    <t>§ LCY-06 · Clearance / no-dues</t>
  </si>
  <si>
    <t>Each step in order</t>
  </si>
  <si>
    <t>TC-Y304</t>
  </si>
  <si>
    <t>Ledger debited, calendar updated, payroll input raised</t>
  </si>
  <si>
    <t>Payroll recovers loan instalments; it does not originate loans or judge eligibility.</t>
  </si>
  <si>
    <t>AVAILED, CANCELLED</t>
  </si>
  <si>
    <t>Separation of duty</t>
  </si>
  <si>
    <t>Cancellation reverses the debit</t>
  </si>
  <si>
    <t>TC-Y310</t>
  </si>
  <si>
    <t>LCY-06.1</t>
  </si>
  <si>
    <t>AVAILED</t>
  </si>
  <si>
    <t>A recovery that would drive net below the floor is reduced or skipped, flagged, and carried forward.</t>
  </si>
  <si>
    <t>Leave taken in full</t>
  </si>
  <si>
    <t>net_floor</t>
  </si>
  <si>
    <t>Statutory minimum wage</t>
  </si>
  <si>
    <t>On resignation acceptance, instantiate the clearance checklist from the template for (worker class, location).</t>
  </si>
  <si>
    <t>RL-400</t>
  </si>
  <si>
    <t>clearance_checklist_template R; clearance_item C</t>
  </si>
  <si>
    <t>TC-Y311</t>
  </si>
  <si>
    <t>item, owner_role, blocking, sla_days</t>
  </si>
  <si>
    <t>Recovery stops when outstanding reaches zero.</t>
  </si>
  <si>
    <t>lifecycle.clearance.started</t>
  </si>
  <si>
    <t>EARLY_RETURN</t>
  </si>
  <si>
    <t>Plant leaver returns tools and a locker key; head-office leaver returns a laptop and a card.</t>
  </si>
  <si>
    <t>Returned before the applied end date</t>
  </si>
  <si>
    <t>Reversal row and recompute in one transaction</t>
  </si>
  <si>
    <t>TC-Y312</t>
  </si>
  <si>
    <t>LCY-06.2</t>
  </si>
  <si>
    <t>The closing outstanding is reported back to the loans module and to the GL.</t>
  </si>
  <si>
    <t>Work items in parallel with the notice period, each with its own SLA.</t>
  </si>
  <si>
    <t>Settled</t>
  </si>
  <si>
    <t>RL-401</t>
  </si>
  <si>
    <t>clearance_item U</t>
  </si>
  <si>
    <t>status, cleared_on, cleared_by, note</t>
  </si>
  <si>
    <t>Ledger and attendance agree</t>
  </si>
  <si>
    <t>lifecycle.clearance.item_cleared</t>
  </si>
  <si>
    <t>Parallel, not sequential — this is the only way F&amp;F settles on the LWD.</t>
  </si>
  <si>
    <t>§ loan</t>
  </si>
  <si>
    <t>TC-Y313</t>
  </si>
  <si>
    <t>Review shows variance against the prior period and a headcount reconciliation.</t>
  </si>
  <si>
    <t>variance_threshold</t>
  </si>
  <si>
    <t>LCY-06.3</t>
  </si>
  <si>
    <t>Configurable %</t>
  </si>
  <si>
    <t>APPLIED</t>
  </si>
  <si>
    <t>Application submitted</t>
  </si>
  <si>
    <t>Any blocking item still open?</t>
  </si>
  <si>
    <t>RL-402</t>
  </si>
  <si>
    <t>TC-Y320</t>
  </si>
  <si>
    <t>GUARANTORS_PENDING, REJECTED</t>
  </si>
  <si>
    <t>Eligibility passed or override requested</t>
  </si>
  <si>
    <t>loan.application.created</t>
  </si>
  <si>
    <t>Yes → F&amp;F held. Demo: E1042 has two open blocking items; E1068 is fully cleared.</t>
  </si>
  <si>
    <t>A run cannot reach APPROVED with an open CRITICAL flag or an unmapped pay component.</t>
  </si>
  <si>
    <t>REJECTED</t>
  </si>
  <si>
    <t>Blocked by eligibility</t>
  </si>
  <si>
    <t>PAY-09.2, FIN-03.2</t>
  </si>
  <si>
    <t>Reasons shown verbatim</t>
  </si>
  <si>
    <t>TC-Y321 (demo point 15)</t>
  </si>
  <si>
    <t>LCY-06.4</t>
  </si>
  <si>
    <t>loan.application.rejected</t>
  </si>
  <si>
    <t>Waive a blocking item explicitly, with reason and recovery instruction if the item has a value.</t>
  </si>
  <si>
    <t>Bank file totals are verified out of band under dual control, and bank-detail changes inside a payroll window raise an alert.</t>
  </si>
  <si>
    <t>GUARANTORS_PENDING</t>
  </si>
  <si>
    <t>RL-403</t>
  </si>
  <si>
    <t>Awaiting explicit guarantor acceptance</t>
  </si>
  <si>
    <t>clearance_item U; payroll_input C</t>
  </si>
  <si>
    <t>Dual control</t>
  </si>
  <si>
    <t>waived_by, waive_reason, recovery_amount</t>
  </si>
  <si>
    <t>SANCTION_PENDING</t>
  </si>
  <si>
    <t>Two mandatory acceptances</t>
  </si>
  <si>
    <t>EVENT CATALOGUE</t>
  </si>
  <si>
    <t>lifecycle.clearance.waived</t>
  </si>
  <si>
    <t>An unreturned asset becomes a recovery line, not a silently ticked box.</t>
  </si>
  <si>
    <t>loan.guarantor.accepted</t>
  </si>
  <si>
    <t>TC-Y322</t>
  </si>
  <si>
    <t>§ SSV-02 · Manager unified approval inbox</t>
  </si>
  <si>
    <t>In the sanction chain</t>
  </si>
  <si>
    <t>Every domain event, its payload beyond the envelope, who consumes it and the key that makes consumers idempotent.</t>
  </si>
  <si>
    <t>After DISBURSEMENT_PREPARED, corrections happen only as arrears.</t>
  </si>
  <si>
    <t>ACTIVE, REJECTED</t>
  </si>
  <si>
    <t>Approval, or a director special-terms override</t>
  </si>
  <si>
    <t>State machine</t>
  </si>
  <si>
    <t>PAY-09.4, PAY-14</t>
  </si>
  <si>
    <t>ACTIVE</t>
  </si>
  <si>
    <t>TC-Y323</t>
  </si>
  <si>
    <t>Emitted by</t>
  </si>
  <si>
    <t>Recovering through payroll</t>
  </si>
  <si>
    <t>Payload (beyond envelope)</t>
  </si>
  <si>
    <t>Consumers</t>
  </si>
  <si>
    <t>Each run emits its own journal.</t>
  </si>
  <si>
    <t>CLOSED, FORECLOSED</t>
  </si>
  <si>
    <t>SSV-02.1</t>
  </si>
  <si>
    <t>Idempotency key</t>
  </si>
  <si>
    <t>Net-pay floor respected each run</t>
  </si>
  <si>
    <t>Retention</t>
  </si>
  <si>
    <t>loan.sanctioned</t>
  </si>
  <si>
    <t>Aggregate every pending item for the principal across leave, gate pass, OT, regularisation, loan, requisition, letters and claims.</t>
  </si>
  <si>
    <t>RL-410</t>
  </si>
  <si>
    <t>PAY-09.5, FIN-03</t>
  </si>
  <si>
    <t>approval_step R</t>
  </si>
  <si>
    <t>§ ENVELOPE — every event carries tenant_id, entity_id, location_id, actor, agent_id?, occurred_at, schema_version (CloudEvents-shaped)</t>
  </si>
  <si>
    <t>Outstanding zero</t>
  </si>
  <si>
    <t>item_type, requester, age, sla_due</t>
  </si>
  <si>
    <t>TC-F324</t>
  </si>
  <si>
    <t>ONE queue. Not a leave inbox, an expense inbox and a payroll inbox.</t>
  </si>
  <si>
    <t>MUST write guarantor release rows</t>
  </si>
  <si>
    <t>An off-cycle overtime run is a second run against the same period, not a delayed line in the first.</t>
  </si>
  <si>
    <t>Separate run</t>
  </si>
  <si>
    <t>FORECLOSED</t>
  </si>
  <si>
    <t>Settled in F&amp;F</t>
  </si>
  <si>
    <t>SSV-02.2</t>
  </si>
  <si>
    <t>person_id, assignment_id, worker_class, location_id, doj</t>
  </si>
  <si>
    <t>Balance recovered or written off with approval</t>
  </si>
  <si>
    <t>Act in place from the notification or the queue, on web, mobile or WhatsApp.</t>
  </si>
  <si>
    <t>Lifecycle, learning, compliance, announcements, analytics, ERP outbound</t>
  </si>
  <si>
    <t>TC-Y330 (demo point 10)</t>
  </si>
  <si>
    <t>RL-411</t>
  </si>
  <si>
    <t>assignment_id + doj</t>
  </si>
  <si>
    <t>loan.foreclosed</t>
  </si>
  <si>
    <t>Long — dispute replay</t>
  </si>
  <si>
    <t>decision, reason, channel</t>
  </si>
  <si>
    <t>An off-cycle run pulls only the overtime records tagged to it.</t>
  </si>
  <si>
    <t>§ clearance_item / F&amp;F</t>
  </si>
  <si>
    <t>Tagged only</t>
  </si>
  <si>
    <t>Every notification is actionable in place.</t>
  </si>
  <si>
    <t>TC-Y331</t>
  </si>
  <si>
    <t>assignment_id, changed_fields, effective_from</t>
  </si>
  <si>
    <t>Overtime pay uses the statutory wage base and the state multiplier.</t>
  </si>
  <si>
    <t>Time recompute, payroll, access, analytics</t>
  </si>
  <si>
    <t>OPEN</t>
  </si>
  <si>
    <t>assignment_id + version</t>
  </si>
  <si>
    <t>SSV-02.3</t>
  </si>
  <si>
    <t>Instantiated from the template</t>
  </si>
  <si>
    <t>Long</t>
  </si>
  <si>
    <t>Per pack</t>
  </si>
  <si>
    <t>CLEARED, WAIVED</t>
  </si>
  <si>
    <t>Show the rule context with the item (remaining late allowance, gate-pass hours left, leave expiring).</t>
  </si>
  <si>
    <t>RL-412</t>
  </si>
  <si>
    <t>TC-Y332</t>
  </si>
  <si>
    <t>position_code, last_incumbent_id, vacated_on</t>
  </si>
  <si>
    <t>various R</t>
  </si>
  <si>
    <t>Recruiting (replacement requisitions), analytics</t>
  </si>
  <si>
    <t>context vector</t>
  </si>
  <si>
    <t>position_code + vacated_on</t>
  </si>
  <si>
    <t>An off-cycle run produces its own payslip view, bank file and journal, with run type as a journal dimension.</t>
  </si>
  <si>
    <t>CLEARED</t>
  </si>
  <si>
    <t>Own artefacts</t>
  </si>
  <si>
    <t>Owner confirmed</t>
  </si>
  <si>
    <t>A surprise deduction becomes a ticket; showing the rule prevents it.</t>
  </si>
  <si>
    <t>document_id, person_id, class, expires_on</t>
  </si>
  <si>
    <t>Notifications, compliance</t>
  </si>
  <si>
    <t>TC-F333</t>
  </si>
  <si>
    <t>Owner or HR only</t>
  </si>
  <si>
    <t>document_id + remind_at</t>
  </si>
  <si>
    <t>Yes with reason</t>
  </si>
  <si>
    <t>Short</t>
  </si>
  <si>
    <t>§ SSV-05 · Grounded policy answer</t>
  </si>
  <si>
    <t>A full-and-final run cannot proceed while any blocking clearance item is open or unwaived.</t>
  </si>
  <si>
    <t>WAIVED</t>
  </si>
  <si>
    <t>event_id, person_id, punch_ts, source, device_id</t>
  </si>
  <si>
    <t>Explicitly waived by an authorised role</t>
  </si>
  <si>
    <t>Derivation queue, device health</t>
  </si>
  <si>
    <t>event_id</t>
  </si>
  <si>
    <t>TC-X340 (demo point 16)</t>
  </si>
  <si>
    <t>Reason mandatory; value becomes a recovery line</t>
  </si>
  <si>
    <t>F&amp;F computes salary to the last working day, encashment, gratuity, notice recovery and loan foreclosure; negative net is a valid outcome.</t>
  </si>
  <si>
    <t>TIM-01/09</t>
  </si>
  <si>
    <t>fnf</t>
  </si>
  <si>
    <t>Handled</t>
  </si>
  <si>
    <t>Recompute worker</t>
  </si>
  <si>
    <t>HELD</t>
  </si>
  <si>
    <t>person + range + reason + requested_at</t>
  </si>
  <si>
    <t>Blocking item open</t>
  </si>
  <si>
    <t>SSV-05.1</t>
  </si>
  <si>
    <t>TC-X341</t>
  </si>
  <si>
    <t>READY</t>
  </si>
  <si>
    <t>All blocking items cleared or waived</t>
  </si>
  <si>
    <t>F&amp;F settles on the last working day when clearance has run in parallel with notice.</t>
  </si>
  <si>
    <t>Ask a question in app, web, WhatsApp, Teams or Slack.</t>
  </si>
  <si>
    <t>attendance_day_id, status, net_minutes, ot_minutes, ruleset_version</t>
  </si>
  <si>
    <t>RL-420</t>
  </si>
  <si>
    <t>Payroll inputs, analytics, manager views</t>
  </si>
  <si>
    <t>conversation C</t>
  </si>
  <si>
    <t>Target</t>
  </si>
  <si>
    <t>attendance_day_id + computed_at</t>
  </si>
  <si>
    <t>question, channel, principal_id</t>
  </si>
  <si>
    <t>Settlement computed</t>
  </si>
  <si>
    <t>TC-X342</t>
  </si>
  <si>
    <t>SETTLED</t>
  </si>
  <si>
    <t>Payslip retrieval takes a period AND a run selector.</t>
  </si>
  <si>
    <t>attendance_day_id, delta[], reason</t>
  </si>
  <si>
    <t>Approval</t>
  </si>
  <si>
    <t>Payroll staleness check, audit</t>
  </si>
  <si>
    <t>SSV-05.2</t>
  </si>
  <si>
    <t>TC-Y350</t>
  </si>
  <si>
    <t>Paid on the last working day</t>
  </si>
  <si>
    <t>Retrieve policy clauses and the employee's own data under the employee's own permissions.</t>
  </si>
  <si>
    <t>attendance_day_id, assigned, applied, reason</t>
  </si>
  <si>
    <t>Every payslip line drills to the rule and the inputs behind it.</t>
  </si>
  <si>
    <t>RL-421</t>
  </si>
  <si>
    <t>Roster owner alert, analytics</t>
  </si>
  <si>
    <t>policy_document R; various R</t>
  </si>
  <si>
    <t>attendance_day_id</t>
  </si>
  <si>
    <t>retrieved_sources[], scope_applied</t>
  </si>
  <si>
    <t>TC-Y351</t>
  </si>
  <si>
    <t>agent.tool.called</t>
  </si>
  <si>
    <t>§ requisition</t>
  </si>
  <si>
    <t>Grounding mandatory: no answer without a retrieved source.</t>
  </si>
  <si>
    <t>exception_id, type, person_id, date</t>
  </si>
  <si>
    <t>Attendance Steward, supervisor queue</t>
  </si>
  <si>
    <t>exception_id</t>
  </si>
  <si>
    <t>gate_pass_id, minutes, date</t>
  </si>
  <si>
    <t>Being raised</t>
  </si>
  <si>
    <t>Recompute, payroll input</t>
  </si>
  <si>
    <t>A rule pack is versioned, effective-dated, jurisdiction-scoped and carries a changelog citing its source notification.</t>
  </si>
  <si>
    <t>gate_pass_id</t>
  </si>
  <si>
    <t>SUBMITTED</t>
  </si>
  <si>
    <t>SSV-05.3</t>
  </si>
  <si>
    <t>talent.requisition.raised</t>
  </si>
  <si>
    <t>TC-C360</t>
  </si>
  <si>
    <t>ot_record_id, minutes, multiplier, pay_in_run_id</t>
  </si>
  <si>
    <t>Answer with citations, or execute a simple action (apply leave, request gate pass, download Form 16) after confirmation.</t>
  </si>
  <si>
    <t>BLOCKED</t>
  </si>
  <si>
    <t>RL-422</t>
  </si>
  <si>
    <t>Payroll, statutory register (Form 28)</t>
  </si>
  <si>
    <t>Addition exceeds sanctioned strength</t>
  </si>
  <si>
    <t>Every rule in a pack has golden cases verified by hand against the statute.</t>
  </si>
  <si>
    <t>ot_record_id</t>
  </si>
  <si>
    <t>min_cases</t>
  </si>
  <si>
    <t>tool, inputs, dry_run_diff, confirmation</t>
  </si>
  <si>
    <t>SUBMITTED (after override), WITHDRAWN</t>
  </si>
  <si>
    <t>340 in the illustrative pack</t>
  </si>
  <si>
    <t>Override by an authorised role with a reason</t>
  </si>
  <si>
    <t>agent.action.executed</t>
  </si>
  <si>
    <t>Auto for reads; confirm for writes.</t>
  </si>
  <si>
    <t>LVE-01/02</t>
  </si>
  <si>
    <t>talent.requisition.blocked</t>
  </si>
  <si>
    <t>ledger_id, person_id, leave_type, days, expires_on</t>
  </si>
  <si>
    <t>TC-C361</t>
  </si>
  <si>
    <t>Balance projection, notifications</t>
  </si>
  <si>
    <t>In approval</t>
  </si>
  <si>
    <t>A single golden-case mismatch fails the build.</t>
  </si>
  <si>
    <t>APPROVED, REJECTED</t>
  </si>
  <si>
    <t>SSV-05.4</t>
  </si>
  <si>
    <t>Sanction check passed or overridden</t>
  </si>
  <si>
    <t>request_id, dates, days, leave_type</t>
  </si>
  <si>
    <t>CI</t>
  </si>
  <si>
    <t>Attendance, payroll, team calendar</t>
  </si>
  <si>
    <t>Confident, grounded answer available?</t>
  </si>
  <si>
    <t>request_id + version</t>
  </si>
  <si>
    <t>TC-C362</t>
  </si>
  <si>
    <t>RL-423</t>
  </si>
  <si>
    <t>ticket C</t>
  </si>
  <si>
    <t>deflected(Y/N)</t>
  </si>
  <si>
    <t>A pack cannot deploy without a green suite and a named reviewer.</t>
  </si>
  <si>
    <t>Open for sourcing</t>
  </si>
  <si>
    <t>reviewer_role</t>
  </si>
  <si>
    <t>helpdesk.ticket.created</t>
  </si>
  <si>
    <t>Payroll SME</t>
  </si>
  <si>
    <t>ledger_id, original_ref, days</t>
  </si>
  <si>
    <t>Process control</t>
  </si>
  <si>
    <t>No → create a ticket and say so. Never guess.</t>
  </si>
  <si>
    <t>FILLED, WITHDRAWN</t>
  </si>
  <si>
    <t>Balance projection, recompute</t>
  </si>
  <si>
    <t>ledger_id</t>
  </si>
  <si>
    <t>TC-C363</t>
  </si>
  <si>
    <t>§ CMB-01 · Loan eligibility evaluation</t>
  </si>
  <si>
    <t>State packs layer on the central pack in a defined order.</t>
  </si>
  <si>
    <t>layer_order</t>
  </si>
  <si>
    <t>FILLED</t>
  </si>
  <si>
    <t>ledger_id, days, expired_on</t>
  </si>
  <si>
    <t>Central then state</t>
  </si>
  <si>
    <t>Candidate joined</t>
  </si>
  <si>
    <t>Balance projection, employee notice</t>
  </si>
  <si>
    <t>TC-C364</t>
  </si>
  <si>
    <t>Position status flips to filled</t>
  </si>
  <si>
    <t>The obligation calendar is generated per entity and state from the applicability matrix.</t>
  </si>
  <si>
    <t>run_id, period, locked_at</t>
  </si>
  <si>
    <t>Time module (lock guard), integrations</t>
  </si>
  <si>
    <t>run_id + state</t>
  </si>
  <si>
    <t>§ rule_pack</t>
  </si>
  <si>
    <t>CMB-01.1</t>
  </si>
  <si>
    <t>TC-C370</t>
  </si>
  <si>
    <t>Any caller</t>
  </si>
  <si>
    <t>snapshot_id, input_hash, pack_versions</t>
  </si>
  <si>
    <t>Audit, reproducibility</t>
  </si>
  <si>
    <t>Call GET /loans/eligibility/{personId}. The screen, the guarantor lock, the payroll node and the agent tool all call THIS method.</t>
  </si>
  <si>
    <t>snapshot_id</t>
  </si>
  <si>
    <t>RL-430</t>
  </si>
  <si>
    <t>Filing packs are assembled from posted records only, never from typed figures.</t>
  </si>
  <si>
    <t>loan R; assignment R; salary_structure R</t>
  </si>
  <si>
    <t>Being authored</t>
  </si>
  <si>
    <t>TESTED</t>
  </si>
  <si>
    <t>run_id, totals</t>
  </si>
  <si>
    <t>Implement once or it will drift three ways.</t>
  </si>
  <si>
    <t>Bank file, journal, notifications</t>
  </si>
  <si>
    <t>TC-C371</t>
  </si>
  <si>
    <t>A human files; the system prepares, records the acknowledgement and closes the obligation.</t>
  </si>
  <si>
    <t>Golden suite green</t>
  </si>
  <si>
    <t>run_id, pay_date, net_total</t>
  </si>
  <si>
    <t>Human files</t>
  </si>
  <si>
    <t>Payslip publication, analytics, GL</t>
  </si>
  <si>
    <t>REVIEWED, DRAFT</t>
  </si>
  <si>
    <t>Zero mismatches</t>
  </si>
  <si>
    <t>CMB-01.2</t>
  </si>
  <si>
    <t>TC-C372</t>
  </si>
  <si>
    <t>Does the person hold an outstanding loan or advance?</t>
  </si>
  <si>
    <t>The applicable statutory form set follows the plant's registration, not the company's.</t>
  </si>
  <si>
    <t>RL-431</t>
  </si>
  <si>
    <t>journal_id, run_id, line_count, totals</t>
  </si>
  <si>
    <t>REVIEWED</t>
  </si>
  <si>
    <t>Integration dispatcher</t>
  </si>
  <si>
    <t>Named payroll SME signed off</t>
  </si>
  <si>
    <t>journal_id</t>
  </si>
  <si>
    <t>PUBLISHED</t>
  </si>
  <si>
    <t>Yes → ineligible for another loan and for a salary advance until full repayment.</t>
  </si>
  <si>
    <t>Reviewer recorded</t>
  </si>
  <si>
    <t>TC-C380 (demo point 17)</t>
  </si>
  <si>
    <t>run_id, external_doc_no, posted_at</t>
  </si>
  <si>
    <t>Reconciliation, finance</t>
  </si>
  <si>
    <t>Form generation binds a declarative query to a template so a state amendment is a configuration change.</t>
  </si>
  <si>
    <t>run_id + doc_no</t>
  </si>
  <si>
    <t>Declarative</t>
  </si>
  <si>
    <t>Deployable</t>
  </si>
  <si>
    <t>CMB-01.3</t>
  </si>
  <si>
    <t>TIM-09/LVE-05/PPL-02</t>
  </si>
  <si>
    <t>EFFECTIVE, SUPERSEDED</t>
  </si>
  <si>
    <t>person_id, period, reason, amount_basis</t>
  </si>
  <si>
    <t>TC-C381</t>
  </si>
  <si>
    <t>Is the person currently standing guarantor on an unreleased loan?</t>
  </si>
  <si>
    <t>Next open run</t>
  </si>
  <si>
    <t>RL-432</t>
  </si>
  <si>
    <t>person + period + reason</t>
  </si>
  <si>
    <t>loan_guarantor R</t>
  </si>
  <si>
    <t>Statutory joining forms including Form F are generated inside the joining chain.</t>
  </si>
  <si>
    <t>released_on IS NULL</t>
  </si>
  <si>
    <t>EFFECTIVE</t>
  </si>
  <si>
    <t>In-chain</t>
  </si>
  <si>
    <t>EXP/TAL/LVE</t>
  </si>
  <si>
    <t>Yes → ineligible for their own loan and to stand guarantor again, until released.</t>
  </si>
  <si>
    <t>In force from effective_from</t>
  </si>
  <si>
    <t>input_id, run_id, component, amount, source_ref</t>
  </si>
  <si>
    <t>Payroll run assembly</t>
  </si>
  <si>
    <t>CMP-03p.3, LCY-02.4</t>
  </si>
  <si>
    <t>SUPERSEDED</t>
  </si>
  <si>
    <t>input_id</t>
  </si>
  <si>
    <t>TC-C382 (demo point 26)</t>
  </si>
  <si>
    <t>No — supersede, never edit</t>
  </si>
  <si>
    <t>A filed form retains its acknowledgement reference against the period.</t>
  </si>
  <si>
    <t>loan_id, person_id, principal, instalment</t>
  </si>
  <si>
    <t>CMB-01.4</t>
  </si>
  <si>
    <t>Payroll deduction node, notifications</t>
  </si>
  <si>
    <t>Replaced by a later version</t>
  </si>
  <si>
    <t>loan_id</t>
  </si>
  <si>
    <t>Compute the ceiling: 4 × monthly basic, rising to 6 × for service above five years.</t>
  </si>
  <si>
    <t>Retained for as-at recomputation</t>
  </si>
  <si>
    <t>RL-433</t>
  </si>
  <si>
    <t>TC-C383</t>
  </si>
  <si>
    <t>salary_structure R; employment R</t>
  </si>
  <si>
    <t>loan_id, run_id, amount, outstanding_after</t>
  </si>
  <si>
    <t>Loan balance, GL</t>
  </si>
  <si>
    <t>basic, service_years, ceiling_multiple, ceiling_amount</t>
  </si>
  <si>
    <t>§ agent action</t>
  </si>
  <si>
    <t>loan_id + run_id</t>
  </si>
  <si>
    <t>Multiples are configuration, not constants in code.</t>
  </si>
  <si>
    <t>loan_id, closed_on</t>
  </si>
  <si>
    <t>A workflow instance pins its definition version; in-flight instances finish on the version they started under.</t>
  </si>
  <si>
    <t>Guarantor release, eligibility cache</t>
  </si>
  <si>
    <t>agent_action</t>
  </si>
  <si>
    <t>PLANNED</t>
  </si>
  <si>
    <t>Pinned</t>
  </si>
  <si>
    <t>Planner produced a tool plan</t>
  </si>
  <si>
    <t>loan.guarantor.released</t>
  </si>
  <si>
    <t>CMB-01.5</t>
  </si>
  <si>
    <t>GATED</t>
  </si>
  <si>
    <t>TC-X390</t>
  </si>
  <si>
    <t>loan_id, guarantor_person_id, released_on</t>
  </si>
  <si>
    <t>Eligibility, notifications</t>
  </si>
  <si>
    <t>Return {eligible, ceiling_amount, reasons[]}.</t>
  </si>
  <si>
    <t>The joining chain creates or adopts the person and assignment.</t>
  </si>
  <si>
    <t>loan_id + guarantor</t>
  </si>
  <si>
    <t>RL-434</t>
  </si>
  <si>
    <t>agent.plan.created</t>
  </si>
  <si>
    <t>Either path</t>
  </si>
  <si>
    <t>eligible, ceiling_amount, reasons[]</t>
  </si>
  <si>
    <t>Policy gate evaluated permission and caps</t>
  </si>
  <si>
    <t>person_id, chain_id, workflow_version</t>
  </si>
  <si>
    <t>Reasons are shown to the applicant verbatim — a rejection without a reason generates a ticket.</t>
  </si>
  <si>
    <t>TC-X391</t>
  </si>
  <si>
    <t>SIMULATED, DENIED</t>
  </si>
  <si>
    <t>Compliance forms, learning, assets, IT</t>
  </si>
  <si>
    <t>Within tenant caps</t>
  </si>
  <si>
    <t>workflow_instance_id</t>
  </si>
  <si>
    <t>Statutory registrations are steps in the joining chain with owners and SLAs.</t>
  </si>
  <si>
    <t>§ CMB-02 · Loan application and guarantor acceptance</t>
  </si>
  <si>
    <t>agent.policy.evaluated</t>
  </si>
  <si>
    <t>SIMULATED</t>
  </si>
  <si>
    <t>item_id, person_id, blocking</t>
  </si>
  <si>
    <t>Dry-run diff produced</t>
  </si>
  <si>
    <t>F&amp;F gate, exit coordinator</t>
  </si>
  <si>
    <t>item_id + status</t>
  </si>
  <si>
    <t>AWAITING_APPROVAL, AUTO_APPROVED</t>
  </si>
  <si>
    <t>Required for write and above</t>
  </si>
  <si>
    <t>TC-X392</t>
  </si>
  <si>
    <t>person_id, run_id, net</t>
  </si>
  <si>
    <t>Alumni record, access revocation, analytics</t>
  </si>
  <si>
    <t>A bank-detail capture or change inside a payroll window raises an alert.</t>
  </si>
  <si>
    <t>person_id + run_id</t>
  </si>
  <si>
    <t>CMB-02.1</t>
  </si>
  <si>
    <t>AWAITING_APPROVAL</t>
  </si>
  <si>
    <t>Human must approve the diff</t>
  </si>
  <si>
    <t>Apply: purpose, principal, tenure, proposed guarantors.</t>
  </si>
  <si>
    <t>EXECUTED, REJECTED</t>
  </si>
  <si>
    <t>instance_id, form_code, state, period</t>
  </si>
  <si>
    <t>TC-Y393</t>
  </si>
  <si>
    <t>RL-440</t>
  </si>
  <si>
    <t>Named human for irreversible actions</t>
  </si>
  <si>
    <t>Obligation calendar, document vault</t>
  </si>
  <si>
    <t>loan_application C</t>
  </si>
  <si>
    <t>instance_id</t>
  </si>
  <si>
    <t>Policy acknowledgements retain the policy version acknowledged.</t>
  </si>
  <si>
    <t>application_id, purpose, principal, tenure_months, guarantor_ids[]</t>
  </si>
  <si>
    <t>EXECUTED</t>
  </si>
  <si>
    <t>Action performed and verified</t>
  </si>
  <si>
    <t>TC-X394</t>
  </si>
  <si>
    <t>obligation_id, ack_ref, filed_on</t>
  </si>
  <si>
    <t>REVERSED</t>
  </si>
  <si>
    <t>Compliance dashboard, audit</t>
  </si>
  <si>
    <t>Induction learning paths are assigned by the joining chain using the standard assignment mechanism.</t>
  </si>
  <si>
    <t>Reversal handle stored</t>
  </si>
  <si>
    <t>obligation_id + period</t>
  </si>
  <si>
    <t>Yes where reversible</t>
  </si>
  <si>
    <t>Same mechanism</t>
  </si>
  <si>
    <t>CMB-02.2</t>
  </si>
  <si>
    <t>TC-X395 (demo point 23)</t>
  </si>
  <si>
    <t>Eligibility check (CMB-01) for applicant AND for each proposed guarantor.</t>
  </si>
  <si>
    <t>pack_id, jurisdiction, effective_from</t>
  </si>
  <si>
    <t>Rolled back</t>
  </si>
  <si>
    <t>Payroll, time, recompute triggers</t>
  </si>
  <si>
    <t>pack_id + version</t>
  </si>
  <si>
    <t>Every asset allocation becomes a clearance item at exit.</t>
  </si>
  <si>
    <t>blocking</t>
  </si>
  <si>
    <t>Counted in the reversal rate metric</t>
  </si>
  <si>
    <t>eligible, reasons[]</t>
  </si>
  <si>
    <t>Y for high-value assets</t>
  </si>
  <si>
    <t>integration.sync.applied</t>
  </si>
  <si>
    <t>agent.action.reversed</t>
  </si>
  <si>
    <t>LCY-02.8, LCY-08</t>
  </si>
  <si>
    <t>Demo: E1041's application is rejected because he guarantees LN-2026-0041.</t>
  </si>
  <si>
    <t>sync_id, external_code, fields[]</t>
  </si>
  <si>
    <t>TC-X396</t>
  </si>
  <si>
    <t>People core, audit</t>
  </si>
  <si>
    <t>payload_hash</t>
  </si>
  <si>
    <t>Lifecycle events generate announcements subject to the audience rule and an editorial override.</t>
  </si>
  <si>
    <t>Editorial override</t>
  </si>
  <si>
    <t>integration.sync.conflict</t>
  </si>
  <si>
    <t>LCY-02.9, EXP-02</t>
  </si>
  <si>
    <t>sync_id, field, erp_value, nucleus_value</t>
  </si>
  <si>
    <t>TC-X397</t>
  </si>
  <si>
    <t>CMB-02.3</t>
  </si>
  <si>
    <t>HR review queue</t>
  </si>
  <si>
    <t>payload_hash + field</t>
  </si>
  <si>
    <t>The clearance checklist is instantiated from a template resolved by worker class and location.</t>
  </si>
  <si>
    <t>Each mandatory guarantor accepts explicitly. Two mandatory; a third optional above the configured threshold.</t>
  </si>
  <si>
    <t>experience.recognition.nominated</t>
  </si>
  <si>
    <t>Per template</t>
  </si>
  <si>
    <t>RL-441</t>
  </si>
  <si>
    <t>loan_guarantor C</t>
  </si>
  <si>
    <t>award_id, person_id, programme_id</t>
  </si>
  <si>
    <t>guarantor_id, mandatory, accepted_on</t>
  </si>
  <si>
    <t>Approval, announcement, payroll input</t>
  </si>
  <si>
    <t>TC-X400</t>
  </si>
  <si>
    <t>award_id</t>
  </si>
  <si>
    <t>experience.letter.issued</t>
  </si>
  <si>
    <t>Clearance items run in parallel with the notice period, each with its own SLA.</t>
  </si>
  <si>
    <t>issue_id, person_id, template_version</t>
  </si>
  <si>
    <t>Parallel</t>
  </si>
  <si>
    <t>Document vault, audit</t>
  </si>
  <si>
    <t>issue_id</t>
  </si>
  <si>
    <t>TC-X401</t>
  </si>
  <si>
    <t>CMB-02.4</t>
  </si>
  <si>
    <t>F&amp;F is held while any blocking item is open.</t>
  </si>
  <si>
    <t>requisition_id, reason, headroom</t>
  </si>
  <si>
    <t>Lock the guarantors: they become ineligible until release.</t>
  </si>
  <si>
    <t>Hiring manager, HR, analytics</t>
  </si>
  <si>
    <t>RL-442</t>
  </si>
  <si>
    <t>requisition_id + state</t>
  </si>
  <si>
    <t>loan_guarantor U</t>
  </si>
  <si>
    <t>currently_blocked</t>
  </si>
  <si>
    <t>TC-X402</t>
  </si>
  <si>
    <t>loan.guarantor.locked</t>
  </si>
  <si>
    <t>action_id, agent_id, human_principal_id, tool, outcome, reversal_handle</t>
  </si>
  <si>
    <t>A blocking item may be waived by an authorised role with a reason, and any value becomes a recovery line.</t>
  </si>
  <si>
    <t>Action ledger, analytics, audit</t>
  </si>
  <si>
    <t>action_id</t>
  </si>
  <si>
    <t>HR head or above</t>
  </si>
  <si>
    <t>§ CMB-03 · Loan sanction and director override</t>
  </si>
  <si>
    <t>TC-X403</t>
  </si>
  <si>
    <t>action_id, reversed_by, reason</t>
  </si>
  <si>
    <t>§ SELF-SERVICE AND ASSISTANT</t>
  </si>
  <si>
    <t>Reversal-rate metric, audit</t>
  </si>
  <si>
    <t>Pending approvals across every module appear in one queue.</t>
  </si>
  <si>
    <t>Unified</t>
  </si>
  <si>
    <t>CMB-03.1</t>
  </si>
  <si>
    <t>Approver chain</t>
  </si>
  <si>
    <t>TC-S410</t>
  </si>
  <si>
    <t>Route by amount to the configured sanction chain.</t>
  </si>
  <si>
    <t>Every notification is actionable in place, on any channel.</t>
  </si>
  <si>
    <t>TC-S411</t>
  </si>
  <si>
    <t>An item shows the rule context that affects the decision.</t>
  </si>
  <si>
    <t>CMB-03.2</t>
  </si>
  <si>
    <t>TC-S412</t>
  </si>
  <si>
    <t>Optional special-terms sanction bypassing the eligibility checks.</t>
  </si>
  <si>
    <t>Assistant answers are scoped to the asking employee's own permissions.</t>
  </si>
  <si>
    <t>RL-443</t>
  </si>
  <si>
    <t>special_terms, approver, reason, rules_waived[]</t>
  </si>
  <si>
    <t>loan.override.recorded</t>
  </si>
  <si>
    <t>TC-A420</t>
  </si>
  <si>
    <t>Recorded with approver, reason AND the specific rules waived.</t>
  </si>
  <si>
    <t>No assistant answer is produced without a retrieved source.</t>
  </si>
  <si>
    <t>Grounding mandatory</t>
  </si>
  <si>
    <t>TC-A421</t>
  </si>
  <si>
    <t>CMB-03.3</t>
  </si>
  <si>
    <t>Assistant writes require explicit confirmation; reads may be automatic.</t>
  </si>
  <si>
    <t>Create the loan, schedule instalments, register the payroll deduction node.</t>
  </si>
  <si>
    <t>Confirm on write</t>
  </si>
  <si>
    <t>RL-444</t>
  </si>
  <si>
    <t>loan C; payroll_input C</t>
  </si>
  <si>
    <t>principal, instalment, tenure, first_recovery_run</t>
  </si>
  <si>
    <t>TC-A422</t>
  </si>
  <si>
    <t>When the assistant does not know, it creates a ticket and says so.</t>
  </si>
  <si>
    <t>Never guess</t>
  </si>
  <si>
    <t>§ CMB-04 · Repayment, closure and guarantor release</t>
  </si>
  <si>
    <t>TC-A423</t>
  </si>
  <si>
    <t>§ LOANS</t>
  </si>
  <si>
    <t>Loan eligibility is one service method consumed by the application screen, the guarantor lock, the payroll node and the agent tool.</t>
  </si>
  <si>
    <t>Single method</t>
  </si>
  <si>
    <t>CMB-01.1, CMB-02.2</t>
  </si>
  <si>
    <t>CMB-04.1</t>
  </si>
  <si>
    <t>TC-M430 (demo point 9)</t>
  </si>
  <si>
    <t>Payroll posts each recovery (PAY-08); outstanding reduces.</t>
  </si>
  <si>
    <t>A person with an outstanding loan is ineligible for another loan and for a salary advance until full repayment.</t>
  </si>
  <si>
    <t>RL-450</t>
  </si>
  <si>
    <t>loan_repayment C; loan U</t>
  </si>
  <si>
    <t>One at a time</t>
  </si>
  <si>
    <t>TC-M431</t>
  </si>
  <si>
    <t>A person standing guarantor on an unreleased loan is ineligible for their own loan and to stand guarantor again.</t>
  </si>
  <si>
    <t>Guarantor lock</t>
  </si>
  <si>
    <t>CMB-04.2</t>
  </si>
  <si>
    <t>TC-M432</t>
  </si>
  <si>
    <t>Outstanding = 0?</t>
  </si>
  <si>
    <t>The ceiling is four times monthly basic, rising to six times for service above five years.</t>
  </si>
  <si>
    <t>RL-451</t>
  </si>
  <si>
    <t>multiple_base, multiple_long, service_years</t>
  </si>
  <si>
    <t>4x, 6x, 5 years</t>
  </si>
  <si>
    <t>outstanding</t>
  </si>
  <si>
    <t>TC-M433</t>
  </si>
  <si>
    <t>Yes → close the loan.</t>
  </si>
  <si>
    <t>Eligibility returns a decision, a ceiling and the reasons, and the reasons are shown to the applicant.</t>
  </si>
  <si>
    <t>CMB-04.3</t>
  </si>
  <si>
    <t>TC-M434</t>
  </si>
  <si>
    <t>A loan application names its proposed guarantors.</t>
  </si>
  <si>
    <t>Write the guarantor release rows — an explicit event, not an inference.</t>
  </si>
  <si>
    <t>RL-452</t>
  </si>
  <si>
    <t>released_on, currently_blocked=false</t>
  </si>
  <si>
    <t>TC-M440</t>
  </si>
  <si>
    <t>Without this row a guarantor stays blocked forever because a loan they guaranteed closed two years ago.</t>
  </si>
  <si>
    <t>Two guarantors are mandatory; a third is optional above a configured amount threshold.</t>
  </si>
  <si>
    <t>mandatory_count, third_threshold</t>
  </si>
  <si>
    <t>2, configurable</t>
  </si>
  <si>
    <t>§ TAL-01 · Requisition raise and position control check</t>
  </si>
  <si>
    <t>TC-M441</t>
  </si>
  <si>
    <t>Accepting a guarantee locks the guarantor until release.</t>
  </si>
  <si>
    <t>TC-M442</t>
  </si>
  <si>
    <t>A director may sanction on special terms, bypassing eligibility, recorded with approver, reason and the rules waived.</t>
  </si>
  <si>
    <t>override_role</t>
  </si>
  <si>
    <t>TAL-01.1</t>
  </si>
  <si>
    <t>TC-M443</t>
  </si>
  <si>
    <t>Raise a requisition: org unit, designation, location, type (replacement | addition).</t>
  </si>
  <si>
    <t>RL-460</t>
  </si>
  <si>
    <t>Sanction creates the loan, the schedule and the payroll deduction node.</t>
  </si>
  <si>
    <t>requisition C</t>
  </si>
  <si>
    <t>requisition_id, requisition_type, org_unit, designation_code, location_id, raised_on</t>
  </si>
  <si>
    <t>TC-M444</t>
  </si>
  <si>
    <t>Each recovery posts a repayment row and reduces outstanding.</t>
  </si>
  <si>
    <t>TC-M450</t>
  </si>
  <si>
    <t>TAL-01.2</t>
  </si>
  <si>
    <t>Outstanding reaching zero closes the loan.</t>
  </si>
  <si>
    <t>Replacement? Then it must name against_position_code of a vacated seat.</t>
  </si>
  <si>
    <t>RL-461</t>
  </si>
  <si>
    <t>position R</t>
  </si>
  <si>
    <t>status(vacant), vacated_on</t>
  </si>
  <si>
    <t>TC-M451</t>
  </si>
  <si>
    <t>Consumes no fresh sanctioned strength (demo point 24).</t>
  </si>
  <si>
    <t>Closure writes explicit guarantor release rows; release is an event, not an inference.</t>
  </si>
  <si>
    <t>Explicit</t>
  </si>
  <si>
    <t>TC-M452</t>
  </si>
  <si>
    <t>TAL-01.3</t>
  </si>
  <si>
    <t>§ TALENT, CONTINGENT, EXPERIENCE</t>
  </si>
  <si>
    <t>Addition? Check headroom = sanctioned − filled − open for (org unit, designation, location).</t>
  </si>
  <si>
    <t>RL-462</t>
  </si>
  <si>
    <t>sanctioned_position R</t>
  </si>
  <si>
    <t>sanctioned, filled, open</t>
  </si>
  <si>
    <t>A requisition declares itself a replacement or an addition.</t>
  </si>
  <si>
    <t>requisition_type</t>
  </si>
  <si>
    <t>No headroom → blocked at approval. Demo: Machining at Peenya, 24 of 24 filled.</t>
  </si>
  <si>
    <t>Two values</t>
  </si>
  <si>
    <t>TC-R460</t>
  </si>
  <si>
    <t>A replacement names a vacated position code and consumes no fresh sanctioned strength.</t>
  </si>
  <si>
    <t>TAL-01.4</t>
  </si>
  <si>
    <t>Override with a recorded reason where business demands it.</t>
  </si>
  <si>
    <t>TC-R461 (demo point 24)</t>
  </si>
  <si>
    <t>RL-463</t>
  </si>
  <si>
    <t>requisition U; audit_entry C</t>
  </si>
  <si>
    <t>An addition exceeding sanctioned strength for the org unit, designation and location is blocked at approval.</t>
  </si>
  <si>
    <t>talent.requisition.overridden</t>
  </si>
  <si>
    <t>Blocked</t>
  </si>
  <si>
    <t>Turns approved manpower from a review-meeting number into a control.</t>
  </si>
  <si>
    <t>TC-R462 (demo point 25)</t>
  </si>
  <si>
    <t>§ TAL-03 · Referral tracking and award payout</t>
  </si>
  <si>
    <t>An authorised role may override a sanction block with a recorded reason.</t>
  </si>
  <si>
    <t>Configured</t>
  </si>
  <si>
    <t>TC-R463</t>
  </si>
  <si>
    <t>RL-470</t>
  </si>
  <si>
    <t>A referral is a named source channel carrying an award.</t>
  </si>
  <si>
    <t>award_amount</t>
  </si>
  <si>
    <t>Per programme</t>
  </si>
  <si>
    <t>TAL-03.1</t>
  </si>
  <si>
    <t>TC-R470</t>
  </si>
  <si>
    <t>RL-471</t>
  </si>
  <si>
    <t>Referral awards mature in parts: on joining and on confirmation.</t>
  </si>
  <si>
    <t>split</t>
  </si>
  <si>
    <t>Part on joining, balance on confirmation</t>
  </si>
  <si>
    <t>Submit a referral against an open requisition.</t>
  </si>
  <si>
    <t>TAL-03.2</t>
  </si>
  <si>
    <t>referral C</t>
  </si>
  <si>
    <t>TC-R471 (demo point 19)</t>
  </si>
  <si>
    <t>referral_id, referrer_id, candidate_id, requisition_id, award_amount</t>
  </si>
  <si>
    <t>RL-472</t>
  </si>
  <si>
    <t>Referral and recognition payouts run through payroll in a named run.</t>
  </si>
  <si>
    <t>talent.referral.created</t>
  </si>
  <si>
    <t>Through payroll</t>
  </si>
  <si>
    <t>TAL-03.3, EXP-01.3</t>
  </si>
  <si>
    <t>TC-R472</t>
  </si>
  <si>
    <t>RL-480</t>
  </si>
  <si>
    <t>Contractor invoices are submitted against a deployed population by class and rate.</t>
  </si>
  <si>
    <t>Per engagement</t>
  </si>
  <si>
    <t>CTG-02.1</t>
  </si>
  <si>
    <t>Mature the award as the candidate progresses: part on joining, balance on confirmation.</t>
  </si>
  <si>
    <t>TC-G480</t>
  </si>
  <si>
    <t>referral U</t>
  </si>
  <si>
    <t>RL-481</t>
  </si>
  <si>
    <t>stage, award_status, part_paid_amount</t>
  </si>
  <si>
    <t>Invoices reconcile against attendance the system already holds, with variance visible before payment.</t>
  </si>
  <si>
    <t>talent.referral.matured</t>
  </si>
  <si>
    <t>Pre-payment</t>
  </si>
  <si>
    <t>The balance on confirmation is the part most implementations drop.</t>
  </si>
  <si>
    <t>CTG-02.2</t>
  </si>
  <si>
    <t>TC-G481</t>
  </si>
  <si>
    <t>RL-482</t>
  </si>
  <si>
    <t>Variance evidence is attached to the invoice decision.</t>
  </si>
  <si>
    <t>TAL-03.3</t>
  </si>
  <si>
    <t>CTG-02.3</t>
  </si>
  <si>
    <t>TC-G482</t>
  </si>
  <si>
    <t>Raise the payout as a payroll input in a named run.</t>
  </si>
  <si>
    <t>RL-490</t>
  </si>
  <si>
    <t>A recognition award carries a citation, a period and an optional monetary component.</t>
  </si>
  <si>
    <t>component(referral_award), amount, run_id</t>
  </si>
  <si>
    <t>EXP-01.1</t>
  </si>
  <si>
    <t>TC-E490</t>
  </si>
  <si>
    <t>Through payroll, not a spreadsheet — which is why referral schemes quietly stop being paid.</t>
  </si>
  <si>
    <t>RL-491</t>
  </si>
  <si>
    <t>A monetary award raises a payroll input in a named run, never a side payment.</t>
  </si>
  <si>
    <t>§ CTG-02 · Contractor attendance and invoice reconciliation</t>
  </si>
  <si>
    <t>EXP-01.3</t>
  </si>
  <si>
    <t>TC-E491 (demo point 18)</t>
  </si>
  <si>
    <t>RL-492</t>
  </si>
  <si>
    <t>Awards publish an announcement referencing the award.</t>
  </si>
  <si>
    <t>Automatic with override</t>
  </si>
  <si>
    <t>EXP-01.4</t>
  </si>
  <si>
    <t>TC-E492</t>
  </si>
  <si>
    <t>RL-500</t>
  </si>
  <si>
    <t>Letters are produced from versioned templates with merge fields.</t>
  </si>
  <si>
    <t>Vendor</t>
  </si>
  <si>
    <t>Submit the monthly invoice for the deployed population.</t>
  </si>
  <si>
    <t>EXP-03.1</t>
  </si>
  <si>
    <t>contractor_invoice C</t>
  </si>
  <si>
    <t>TC-E500</t>
  </si>
  <si>
    <t>invoice_id, engagement_id, period, claimed_days, claimed_amount</t>
  </si>
  <si>
    <t>RL-501</t>
  </si>
  <si>
    <t>The system drafts and a human reviews; nothing is issued directly from a model.</t>
  </si>
  <si>
    <t>EXP-03.2</t>
  </si>
  <si>
    <t>TC-E501</t>
  </si>
  <si>
    <t>RL-502</t>
  </si>
  <si>
    <t>An issued letter retains the template version that produced it.</t>
  </si>
  <si>
    <t>Reconcile claimed days against attendance the system already holds, split by worker class and rate.</t>
  </si>
  <si>
    <t>attendance_day R; contractor_invoice U</t>
  </si>
  <si>
    <t>EXP-03.4</t>
  </si>
  <si>
    <t>system_days, variance_days, variance_amount</t>
  </si>
  <si>
    <t>TC-E502 (demo point 21)</t>
  </si>
  <si>
    <t>contingent.invoice.reconciled</t>
  </si>
  <si>
    <t>Variance visible before payment, not after. This is where clients lose real money.</t>
  </si>
  <si>
    <t>§ FINANCE AND INTEGRATION</t>
  </si>
  <si>
    <t>RL-510</t>
  </si>
  <si>
    <t>Approve, query or reject with the variance evidence attached.</t>
  </si>
  <si>
    <t>Master-data direction is a per-tenant choice of Nucleus-owned, ERP-owned or co-owned.</t>
  </si>
  <si>
    <t>master_mode</t>
  </si>
  <si>
    <t>contractor_invoice U</t>
  </si>
  <si>
    <t>decision, evidence_ref</t>
  </si>
  <si>
    <t>Co-owned is the common answer</t>
  </si>
  <si>
    <t>integration_config</t>
  </si>
  <si>
    <t>FIN-01.1</t>
  </si>
  <si>
    <t>TC-F510 (demo point 14)</t>
  </si>
  <si>
    <t>§ EXP-01 · Recognition nomination, award and payout</t>
  </si>
  <si>
    <t>RL-511</t>
  </si>
  <si>
    <t>In co-owned mode no field has two owners and every mandatory field has one.</t>
  </si>
  <si>
    <t>Validated</t>
  </si>
  <si>
    <t>FIN-01.2</t>
  </si>
  <si>
    <t>TC-F511</t>
  </si>
  <si>
    <t>RL-512</t>
  </si>
  <si>
    <t>Inbound sync runs through the integration service; domain modules never call the ERP directly.</t>
  </si>
  <si>
    <t>Architecture</t>
  </si>
  <si>
    <t>Nominate against a recognition programme with a citation.</t>
  </si>
  <si>
    <t>FIN-01.3</t>
  </si>
  <si>
    <t>TC-F512</t>
  </si>
  <si>
    <t>recognition_award C</t>
  </si>
  <si>
    <t>award_id, programme_id, person_id, period, citation, award_amount</t>
  </si>
  <si>
    <t>RL-513</t>
  </si>
  <si>
    <t>Upserts are idempotent on the external employee code and rejected on a repeated payload hash.</t>
  </si>
  <si>
    <t>FIN-01.4</t>
  </si>
  <si>
    <t>EXP-01.2</t>
  </si>
  <si>
    <t>TC-F513</t>
  </si>
  <si>
    <t>RL-514</t>
  </si>
  <si>
    <t>Approve the award.</t>
  </si>
  <si>
    <t>A conflict on a Nucleus-owned field is held for review; conflict policy is explicit configuration, never implicit last-write-wins.</t>
  </si>
  <si>
    <t>recognition_award U</t>
  </si>
  <si>
    <t>status, approved_by</t>
  </si>
  <si>
    <t>conflict_policy</t>
  </si>
  <si>
    <t>FIN-01.5</t>
  </si>
  <si>
    <t>TC-F514</t>
  </si>
  <si>
    <t>RL-515</t>
  </si>
  <si>
    <t>ERP-owned fields are read-only in the Nucleus UI.</t>
  </si>
  <si>
    <t>FIN-01.6</t>
  </si>
  <si>
    <t>TC-F515</t>
  </si>
  <si>
    <t>component(recognition_award), amount, run_id</t>
  </si>
  <si>
    <t>RL-516</t>
  </si>
  <si>
    <t>An unmatched external employee code is parked for resolution and never auto-creates a person.</t>
  </si>
  <si>
    <t>Never paid outside the system.</t>
  </si>
  <si>
    <t>Parked</t>
  </si>
  <si>
    <t>FIN-01.7</t>
  </si>
  <si>
    <t>TC-F516</t>
  </si>
  <si>
    <t>RL-520</t>
  </si>
  <si>
    <t>Cost is split at employee level from the assignment as it stood in the pay period, before aggregation.</t>
  </si>
  <si>
    <t>dimensions</t>
  </si>
  <si>
    <t>Cost centre, department, location, project, custom</t>
  </si>
  <si>
    <t>Publish the announcement referencing the award.</t>
  </si>
  <si>
    <t>FIN-03.1</t>
  </si>
  <si>
    <t>TC-F520</t>
  </si>
  <si>
    <t>RL-521</t>
  </si>
  <si>
    <t>source_event(award_id)</t>
  </si>
  <si>
    <t>Every pay component in a run must have a GL mapping before the run can be approved.</t>
  </si>
  <si>
    <t>Blocking</t>
  </si>
  <si>
    <t>FIN-03.2</t>
  </si>
  <si>
    <t>TC-F521 (demo point 15)</t>
  </si>
  <si>
    <t>RL-522</t>
  </si>
  <si>
    <t>§ EXP-03 · Letter generation and issue register</t>
  </si>
  <si>
    <t>One balanced journal per run per legal entity, with run type as a dimension.</t>
  </si>
  <si>
    <t>FIN-03.3</t>
  </si>
  <si>
    <t>TC-F522</t>
  </si>
  <si>
    <t>RL-523</t>
  </si>
  <si>
    <t>Delivery is by API, structured file, staging table or manual download, and the result is recorded either way.</t>
  </si>
  <si>
    <t>mechanisms</t>
  </si>
  <si>
    <t>Tally XML, CSV, native, API</t>
  </si>
  <si>
    <t>FIN-03.4</t>
  </si>
  <si>
    <t>TC-F523</t>
  </si>
  <si>
    <t>RL-524</t>
  </si>
  <si>
    <t>The finance system's document number is written back onto the payroll run.</t>
  </si>
  <si>
    <t>Select a letter template; merge fields populate from the record.</t>
  </si>
  <si>
    <t>FIN-03.5</t>
  </si>
  <si>
    <t>letter_template R</t>
  </si>
  <si>
    <t>TC-F524</t>
  </si>
  <si>
    <t>template_id, version, merge_fields[]</t>
  </si>
  <si>
    <t>RL-530</t>
  </si>
  <si>
    <t>Seven reconciliation assertions must pass and be shown passing: gross, net vs bank, statutory vs challan, dimension residue, overtime, loan movement, drill-through.</t>
  </si>
  <si>
    <t>All seven</t>
  </si>
  <si>
    <t>FIN-04.1</t>
  </si>
  <si>
    <t>TC-F530</t>
  </si>
  <si>
    <t>RL-531</t>
  </si>
  <si>
    <t>Every GL line drills back to contributing employees and payslip lines.</t>
  </si>
  <si>
    <t>Render the draft; a human reviews before issue.</t>
  </si>
  <si>
    <t>FIN-04.2</t>
  </si>
  <si>
    <t>TC-F531</t>
  </si>
  <si>
    <t>letter_draft C</t>
  </si>
  <si>
    <t>§ AGENTS</t>
  </si>
  <si>
    <t>rendered_body, drafted_by(system|agent)</t>
  </si>
  <si>
    <t>Nothing is issued directly from a model without a human review step.</t>
  </si>
  <si>
    <t>RL-540</t>
  </si>
  <si>
    <t>An agent is a first-class principal with its own ID, scoped role and accountable human owner.</t>
  </si>
  <si>
    <t>EXP-03.3</t>
  </si>
  <si>
    <t>INT-01.1</t>
  </si>
  <si>
    <t>TC-A540</t>
  </si>
  <si>
    <t>RL-541</t>
  </si>
  <si>
    <t>Approve where the template requires it.</t>
  </si>
  <si>
    <t>Tools are the only interface; agents never touch the database, call internal functions or hold credentials.</t>
  </si>
  <si>
    <t>letter_draft U</t>
  </si>
  <si>
    <t>approved_by</t>
  </si>
  <si>
    <t>INT-01.2</t>
  </si>
  <si>
    <t>TC-A541</t>
  </si>
  <si>
    <t>RL-542</t>
  </si>
  <si>
    <t>Every agent action passes the policy gate: permission, tenant policy, value and blast-radius caps.</t>
  </si>
  <si>
    <t>caps</t>
  </si>
  <si>
    <t>Per tenant</t>
  </si>
  <si>
    <t>INT-01.3</t>
  </si>
  <si>
    <t>TC-A542</t>
  </si>
  <si>
    <t>RL-543</t>
  </si>
  <si>
    <t>Issue and retain against the person WITH the template version that produced it.</t>
  </si>
  <si>
    <t>Any tool classified write or above produces a dry-run diff before execution.</t>
  </si>
  <si>
    <t>side_effect</t>
  </si>
  <si>
    <t>letter_issued C</t>
  </si>
  <si>
    <t>read / propose / write / irreversible</t>
  </si>
  <si>
    <t>issue_id, person_id, template_version, issued_by, issued_at, file_ref</t>
  </si>
  <si>
    <t>tool_registry</t>
  </si>
  <si>
    <t>INT-01.4</t>
  </si>
  <si>
    <t>TC-A543</t>
  </si>
  <si>
    <t>This is what makes a reprint two years later defensible.</t>
  </si>
  <si>
    <t>RL-544</t>
  </si>
  <si>
    <t>Nothing irreversible executes without a named human: disbursement, termination, offer release, statutory filing, loan sanction.</t>
  </si>
  <si>
    <t>Absolute</t>
  </si>
  <si>
    <t>§ FIN-01 · ERP employee master inbound sync</t>
  </si>
  <si>
    <t>INT-01.5</t>
  </si>
  <si>
    <t>TC-A544</t>
  </si>
  <si>
    <t>RL-545</t>
  </si>
  <si>
    <t>Every action lands in the append-only ledger with plan, simulation, approval, outcome and a reversal handle.</t>
  </si>
  <si>
    <t>INT-01.6</t>
  </si>
  <si>
    <t>TC-A545</t>
  </si>
  <si>
    <t>Implementation</t>
  </si>
  <si>
    <t>Set the tenant's master-data mode: Nucleus-owned, ERP-owned or co-owned.</t>
  </si>
  <si>
    <t>integration_config C</t>
  </si>
  <si>
    <t>Co-owned is the common real answer — build for it directly.</t>
  </si>
  <si>
    <t>Define the field-level ownership map; validate that no field has two owners and every mandatory field has one.</t>
  </si>
  <si>
    <t>field_ownership_map C</t>
  </si>
  <si>
    <t>field, owner(ERP|Nucleus), mandatory</t>
  </si>
  <si>
    <t>Typically ERP owns employee code, name, joining date, department, cost centre; Nucleus owns grade, worker class, shift, leave policy, manager and all time and talent data.</t>
  </si>
  <si>
    <t>ERP</t>
  </si>
  <si>
    <t>Push or expose a batch; integration-svc receives it. Domain modules never call the ERP directly.</t>
  </si>
  <si>
    <t>employee_sync_log C</t>
  </si>
  <si>
    <t>external_code, payload_hash, received_at</t>
  </si>
  <si>
    <t>integration.sync.received</t>
  </si>
  <si>
    <t>Payload hash already applied?</t>
  </si>
  <si>
    <t>employee_sync_log R</t>
  </si>
  <si>
    <t>API AND GOVERNED TOOL SURFACE</t>
  </si>
  <si>
    <t>Yes → reject as duplicate, idempotent on the external employee code.</t>
  </si>
  <si>
    <t>The public REST surface and the agent tool surface. Build the tool layer once and expose it twice — internally to our agents, externally over MCP.</t>
  </si>
  <si>
    <t>Does the ERP value differ from the Nucleus value on a Nucleus-owned field?</t>
  </si>
  <si>
    <t>field_ownership_map R</t>
  </si>
  <si>
    <t>owner</t>
  </si>
  <si>
    <t>Surface</t>
  </si>
  <si>
    <t>Yes → hold for review. Conflict policy is explicit configuration, NEVER implicit last-write-wins.</t>
  </si>
  <si>
    <t>Method / class</t>
  </si>
  <si>
    <t>Permission</t>
  </si>
  <si>
    <t>Side effect</t>
  </si>
  <si>
    <t>Dry run</t>
  </si>
  <si>
    <t>Apply the upsert for ERP-owned fields; make them read-only in the Nucleus UI.</t>
  </si>
  <si>
    <t>person U; assignment U</t>
  </si>
  <si>
    <t>applied_at, status</t>
  </si>
  <si>
    <t>§ PUBLIC REST (OpenAPI 3.1, versioned, sandbox tenant for every partner)</t>
  </si>
  <si>
    <t>Silent overwriting of an HR edit by a nightly sync is a month-two trust failure.</t>
  </si>
  <si>
    <t>Unmatched external employee code?</t>
  </si>
  <si>
    <t>REST</t>
  </si>
  <si>
    <t>employee_sync_log U</t>
  </si>
  <si>
    <t>/v1/people</t>
  </si>
  <si>
    <t>status(unmatched)</t>
  </si>
  <si>
    <t>GET, POST</t>
  </si>
  <si>
    <t>Park for HR resolution; never auto-create a person from an unmatched code.</t>
  </si>
  <si>
    <t>List and create persons</t>
  </si>
  <si>
    <t>people.read / people.write</t>
  </si>
  <si>
    <t>write</t>
  </si>
  <si>
    <t>§ FIN-03 · Salary journal generation and posting</t>
  </si>
  <si>
    <t>Partners, ERP</t>
  </si>
  <si>
    <t>Read-only fields rejected in ERP-owned mode</t>
  </si>
  <si>
    <t>AGENT CATALOGUE AND GOVERNANCE</t>
  </si>
  <si>
    <t>/v1/assignments</t>
  </si>
  <si>
    <t>GET, POST, PATCH</t>
  </si>
  <si>
    <t>What each agent does, which tools it may call, and how far it may go without a human. Autonomy is tenant configuration; the ledger is not optional.</t>
  </si>
  <si>
    <t>Assignment lifecycle with effective dating</t>
  </si>
  <si>
    <t>people.write</t>
  </si>
  <si>
    <t>Partners, HRIS</t>
  </si>
  <si>
    <t>PATCH requires effective_from and reason</t>
  </si>
  <si>
    <t>Compute the cost split at EMPLOYEE level before aggregation, from the assignment as it stood in the pay period.</t>
  </si>
  <si>
    <t>Cadence</t>
  </si>
  <si>
    <t>payslip_line R; assignment R (as-at)</t>
  </si>
  <si>
    <t>/v1/attendance/events</t>
  </si>
  <si>
    <t>What it does</t>
  </si>
  <si>
    <t>cost_centre, department, location, project, custom dims</t>
  </si>
  <si>
    <t>POST</t>
  </si>
  <si>
    <t>Bulk punch ingestion</t>
  </si>
  <si>
    <t>Tools used</t>
  </si>
  <si>
    <t>time.ingest</t>
  </si>
  <si>
    <t>A lump salary figure left for finance to allocate is the commonest HRMS-to-ERP failure, and it recurs monthly.</t>
  </si>
  <si>
    <t>Autonomy default</t>
  </si>
  <si>
    <t>Approval threshold</t>
  </si>
  <si>
    <t>Ledger fields</t>
  </si>
  <si>
    <t>Device agents, kiosks</t>
  </si>
  <si>
    <t>Idempotent on (person, ts, device)</t>
  </si>
  <si>
    <t>/v1/attendance/days</t>
  </si>
  <si>
    <t>Policy Assistant</t>
  </si>
  <si>
    <t>GET</t>
  </si>
  <si>
    <t>Derived days with totals, status and provenance</t>
  </si>
  <si>
    <t>time.read</t>
  </si>
  <si>
    <t>Does every component in the run have a GL mapping for this entity?</t>
  </si>
  <si>
    <t>On demand</t>
  </si>
  <si>
    <t>read</t>
  </si>
  <si>
    <t>gl_mapping R</t>
  </si>
  <si>
    <t>Manager apps, analytics</t>
  </si>
  <si>
    <t>component, account_code</t>
  </si>
  <si>
    <t>read_employee, check_loan_eligibility, apply_leave, create_ticket</t>
  </si>
  <si>
    <t>Scope-resolved; pay fields never present</t>
  </si>
  <si>
    <t>Auto for reads, confirm for writes</t>
  </si>
  <si>
    <t>payroll.journal.blocked</t>
  </si>
  <si>
    <t>Any write confirms</t>
  </si>
  <si>
    <t>No → block the run reaching APPROVED (demo point 15).</t>
  </si>
  <si>
    <t>/v1/attendance/recompute</t>
  </si>
  <si>
    <t>Request recompute for a person and range</t>
  </si>
  <si>
    <t>time.admin</t>
  </si>
  <si>
    <t>question, retrieved_sources, tool, inputs, confirmation, outcome</t>
  </si>
  <si>
    <t>Admin, integrations</t>
  </si>
  <si>
    <t>Rejected for locked periods</t>
  </si>
  <si>
    <t>Attendance Steward</t>
  </si>
  <si>
    <t>Build one balanced journal per run per entity, dimensioned, with run_type as a dimension.</t>
  </si>
  <si>
    <t>/v1/leave/requests</t>
  </si>
  <si>
    <t>gl_journal C; gl_journal_line C</t>
  </si>
  <si>
    <t>Apply and track leave</t>
  </si>
  <si>
    <t>dr/cr, account, amount, dimensions, run_type</t>
  </si>
  <si>
    <t>leave.self / leave.admin</t>
  </si>
  <si>
    <t>Triages the exception queue, proposes regularisations, flags unpaired punches and inferred shifts, drafts manager nudges</t>
  </si>
  <si>
    <t>list_exceptions, propose_regularisation, read_employee</t>
  </si>
  <si>
    <t>Employee apps, WhatsApp</t>
  </si>
  <si>
    <t>Propose only; auto under the configured threshold</t>
  </si>
  <si>
    <t>Validation errors name the rule</t>
  </si>
  <si>
    <t>Tenant-set minutes threshold</t>
  </si>
  <si>
    <t>exception_id, evidence, proposed_change, simulation, approver, outcome</t>
  </si>
  <si>
    <t>/v1/leave/balance</t>
  </si>
  <si>
    <t>Payroll Preparer</t>
  </si>
  <si>
    <t>Projected balance with transactions</t>
  </si>
  <si>
    <t>Per cycle</t>
  </si>
  <si>
    <t>leave.self</t>
  </si>
  <si>
    <t>Assembles inputs, runs the pre-audit, classifies each flag, drafts resolutions, produces a signed readiness report</t>
  </si>
  <si>
    <t>simulate_payroll, run_pre_audit, read_employee</t>
  </si>
  <si>
    <t>Deliver by API post, structured file (Tally XML, CSV, native format), staging table or manual download.</t>
  </si>
  <si>
    <t>Apps, assistant</t>
  </si>
  <si>
    <t>gl_posting_log C</t>
  </si>
  <si>
    <t>No autonomous payroll change, ever</t>
  </si>
  <si>
    <t>Projection, never a stored column</t>
  </si>
  <si>
    <t>mechanism, sent_at, target_system, result, external_doc_no</t>
  </si>
  <si>
    <t>run_id, flags_classified, drafts, readiness_report_hash</t>
  </si>
  <si>
    <t>integration.journal.posted</t>
  </si>
  <si>
    <t>/v1/gate-passes</t>
  </si>
  <si>
    <t>Compliance Watcher</t>
  </si>
  <si>
    <t>Whatever the mechanism, record what was sent, when, where, with what result and what reference came back.</t>
  </si>
  <si>
    <t>Request and list gate passes</t>
  </si>
  <si>
    <t>Tracks the obligation calendar, assembles filing packs and statutory forms from posted data, flags rule changes and tenant impact</t>
  </si>
  <si>
    <t>time.self</t>
  </si>
  <si>
    <t>assemble_filing_pack, run_report</t>
  </si>
  <si>
    <t>Prepare and alert; a human files</t>
  </si>
  <si>
    <t>Filing always human</t>
  </si>
  <si>
    <t>Apps, WhatsApp</t>
  </si>
  <si>
    <t>obligation_id, pack_ref, impact_analysis</t>
  </si>
  <si>
    <t>Ceiling enforced server-side</t>
  </si>
  <si>
    <t>Recruiting Coordinator</t>
  </si>
  <si>
    <t>/v1/payroll/runs</t>
  </si>
  <si>
    <t>Screens against the ontology, schedules, chases scorecards, drafts communication</t>
  </si>
  <si>
    <t>schedule_interview, run_report</t>
  </si>
  <si>
    <t>Run lifecycle</t>
  </si>
  <si>
    <t>Write the finance system's document number back onto the payroll run.</t>
  </si>
  <si>
    <t>Scheduling auto; all candidate decisions human</t>
  </si>
  <si>
    <t>payroll.admin</t>
  </si>
  <si>
    <t>No auto-reject, ever</t>
  </si>
  <si>
    <t>requisition_id, candidate_id, action, human_decision</t>
  </si>
  <si>
    <t>Yes on state change</t>
  </si>
  <si>
    <t>gl_posted_on, external_doc_no, run_state(POSTED_TO_GL)</t>
  </si>
  <si>
    <t>Payroll UI</t>
  </si>
  <si>
    <t>Run type mandatory</t>
  </si>
  <si>
    <t>Manager Coach</t>
  </si>
  <si>
    <t>/v1/payroll/payslips</t>
  </si>
  <si>
    <t>One brief per manager: who needs attention and why, drawn from real signals, with a suggested action</t>
  </si>
  <si>
    <t>run_report, read_employee</t>
  </si>
  <si>
    <t>Payslip by period and run</t>
  </si>
  <si>
    <t>§ FIN-04 · Reconciliation reporting</t>
  </si>
  <si>
    <t>payroll.self / payroll.admin</t>
  </si>
  <si>
    <t>manager_id, signals_used, brief_ref</t>
  </si>
  <si>
    <t>Apps</t>
  </si>
  <si>
    <t>Run selector required</t>
  </si>
  <si>
    <t>Onboarding Runner</t>
  </si>
  <si>
    <t>Drives the joining chain, chases blockers, escalates on SLA</t>
  </si>
  <si>
    <t>/v1/payroll/journal</t>
  </si>
  <si>
    <t>run_report, create_ticket</t>
  </si>
  <si>
    <t>Auto within the workflow definition</t>
  </si>
  <si>
    <t>Dimensioned salary journal per run</t>
  </si>
  <si>
    <t>Escalation only</t>
  </si>
  <si>
    <t>finance.read</t>
  </si>
  <si>
    <t>workflow_instance_id, steps_chased, escalations</t>
  </si>
  <si>
    <t>ERP, finance</t>
  </si>
  <si>
    <t>Exit Coordinator</t>
  </si>
  <si>
    <t>Blocked until every component is mapped</t>
  </si>
  <si>
    <t>Chases clearance, prepares F&amp;F, tracks knowledge transfer</t>
  </si>
  <si>
    <t>/v1/loans/eligibility/{personId}</t>
  </si>
  <si>
    <t>run_report, create_ticket, draft_letter</t>
  </si>
  <si>
    <t>Assert: journal gross = Σ payslip earnings; journal net = bank file total; statutory heads = challan amounts; dimension sums = total with no residue; OT in the off-cycle run = approved OT hours; loan recovery = movement in outstanding.</t>
  </si>
  <si>
    <t>Decision, ceiling and reasons</t>
  </si>
  <si>
    <t>F&amp;F release always human</t>
  </si>
  <si>
    <t>reconciliation_report C</t>
  </si>
  <si>
    <t>loans.read</t>
  </si>
  <si>
    <t>person_id, items_chased, fnf_pack_ref</t>
  </si>
  <si>
    <t>check, expected, actual, variance, status</t>
  </si>
  <si>
    <t>Analyst</t>
  </si>
  <si>
    <t>finance.reconciliation.run</t>
  </si>
  <si>
    <t>Loan UI, guarantor lock, payroll node, agent tool</t>
  </si>
  <si>
    <t>Build it as a product screen, not a support script. It closes month-end arguments before they start.</t>
  </si>
  <si>
    <t>THE single eligibility source</t>
  </si>
  <si>
    <t>Natural-language question to a governed query, returns a chart and the SQL</t>
  </si>
  <si>
    <t>run_report</t>
  </si>
  <si>
    <t>/v1/requisitions</t>
  </si>
  <si>
    <t>question, generated_sql, row_count</t>
  </si>
  <si>
    <t>Requisition with sanction check</t>
  </si>
  <si>
    <t>talent.write</t>
  </si>
  <si>
    <t>Recruiting UI</t>
  </si>
  <si>
    <t>Drill any GL line back to the contributing employees and payslip lines.</t>
  </si>
  <si>
    <t>Addition blocked without headroom</t>
  </si>
  <si>
    <t>§ GOVERNANCE APPLIES TO ALL — identity with a human owner, tools as the only interface, dry run before write, tenant caps, action ledger with a reversal handle. Watch the reversal rate more closely than any other number; target under 2%.</t>
  </si>
  <si>
    <t>gl_journal_line R; payslip_line R</t>
  </si>
  <si>
    <t>/v1/compliance/forms</t>
  </si>
  <si>
    <t>drill path</t>
  </si>
  <si>
    <t>Form library and generated instances</t>
  </si>
  <si>
    <t>compliance.read/write</t>
  </si>
  <si>
    <t>Compliance UI</t>
  </si>
  <si>
    <t>§ INT-01 · Agent invocation through the policy gate</t>
  </si>
  <si>
    <t>State-scoped</t>
  </si>
  <si>
    <t>/v1/integration/employee-master</t>
  </si>
  <si>
    <t>ERP inbound upsert</t>
  </si>
  <si>
    <t>integration.write</t>
  </si>
  <si>
    <t>Idempotent on external code; conflicts held</t>
  </si>
  <si>
    <t>/v1/webhooks</t>
  </si>
  <si>
    <t>Subscription management and delivery log</t>
  </si>
  <si>
    <t>Schedule / user</t>
  </si>
  <si>
    <t>integration.admin</t>
  </si>
  <si>
    <t>Agent run begins with an identity: agent_id, scoped role and a named human owner.</t>
  </si>
  <si>
    <t>Partners</t>
  </si>
  <si>
    <t>agent_principal R</t>
  </si>
  <si>
    <t>Signed, retried, inspectable</t>
  </si>
  <si>
    <t>agent_id, scoped_role, owner_principal_id</t>
  </si>
  <si>
    <t>§ GOVERNED TOOL SURFACE (internal agents AND external MCP — build once, expose twice)</t>
  </si>
  <si>
    <t>agent.run.started</t>
  </si>
  <si>
    <t>An agent that can do something a user cannot is a security hole.</t>
  </si>
  <si>
    <t>TOOL</t>
  </si>
  <si>
    <t>read_employee</t>
  </si>
  <si>
    <t>Planner</t>
  </si>
  <si>
    <t>Employee record within the caller's scope</t>
  </si>
  <si>
    <t>people.read</t>
  </si>
  <si>
    <t>Plan the work; every capability is a declared tool with a typed schema and a side-effect class.</t>
  </si>
  <si>
    <t>tool_registry R</t>
  </si>
  <si>
    <t>Policy Assistant, Manager Coach</t>
  </si>
  <si>
    <t>tool, schema, permission, side_effect(read|propose|write|irreversible)</t>
  </si>
  <si>
    <t>Compensation fields obey RL-005</t>
  </si>
  <si>
    <t>list_exceptions</t>
  </si>
  <si>
    <t>Agents never touch the database, never call internal functions, never hold credentials.</t>
  </si>
  <si>
    <t>Open attendance exceptions for a scope</t>
  </si>
  <si>
    <t>Drives the daily triage</t>
  </si>
  <si>
    <t>Policy gate</t>
  </si>
  <si>
    <t>propose_regularisation</t>
  </si>
  <si>
    <t>Check per-tool permission, tenant policy, value and blast-radius caps and the dry-run requirement.</t>
  </si>
  <si>
    <t>propose</t>
  </si>
  <si>
    <t>Draft a regularisation with evidence</t>
  </si>
  <si>
    <t>policy_gate_decision C</t>
  </si>
  <si>
    <t>time.propose</t>
  </si>
  <si>
    <t>decision, caps_applied, reason</t>
  </si>
  <si>
    <t>Same agent, different rails per tenant.</t>
  </si>
  <si>
    <t>Human approves unless under the tenant threshold</t>
  </si>
  <si>
    <t>simulate_payroll</t>
  </si>
  <si>
    <t>Dry-run a run and return the diff</t>
  </si>
  <si>
    <t>payroll.simulate</t>
  </si>
  <si>
    <t>Never mutates</t>
  </si>
  <si>
    <t>Is the tool classified write or above?</t>
  </si>
  <si>
    <t>run_pre_audit</t>
  </si>
  <si>
    <t>Execute checks and classify flags</t>
  </si>
  <si>
    <t>payroll.audit</t>
  </si>
  <si>
    <t>Yes → produce a dry-run diff first. The diff is what the human approves.</t>
  </si>
  <si>
    <t>check_loan_eligibility</t>
  </si>
  <si>
    <t>Human</t>
  </si>
  <si>
    <t>Call the single eligibility method</t>
  </si>
  <si>
    <t>Approve the diff, or auto-approve under the tenant's configured threshold.</t>
  </si>
  <si>
    <t>threshold, decision</t>
  </si>
  <si>
    <t>Same answer as the screen and the payroll node</t>
  </si>
  <si>
    <t>draft_letter</t>
  </si>
  <si>
    <t>Nothing irreversible without a named human: disbursement, termination, offer release, statutory filing, loan sanction.</t>
  </si>
  <si>
    <t>Render a letter draft from a template</t>
  </si>
  <si>
    <t>experience.propose</t>
  </si>
  <si>
    <t>HR assistant</t>
  </si>
  <si>
    <t>Human reviews before issue</t>
  </si>
  <si>
    <t>Verifier</t>
  </si>
  <si>
    <t>assemble_filing_pack</t>
  </si>
  <si>
    <t>Post-execution rule check; write the outcome and a reversal handle.</t>
  </si>
  <si>
    <t>Build a statutory pack from posted records</t>
  </si>
  <si>
    <t>compliance.propose</t>
  </si>
  <si>
    <t>agent_id, human_principal_id, inputs, plan, simulation_result, approval, outcome, reversal_handle</t>
  </si>
  <si>
    <t>The ledger IS the product. Auditors and boards will ask what the AI did.</t>
  </si>
  <si>
    <t>A human files</t>
  </si>
  <si>
    <t>create_ticket</t>
  </si>
  <si>
    <t>Raise a helpdesk ticket</t>
  </si>
  <si>
    <t>helpdesk.write</t>
  </si>
  <si>
    <t>Low blast radius</t>
  </si>
  <si>
    <t>schedule_interview</t>
  </si>
  <si>
    <t>Book an interview slot</t>
  </si>
  <si>
    <t>Scheduling auto; candidate decisions human</t>
  </si>
  <si>
    <t>Governed query over the analytics model</t>
  </si>
  <si>
    <t>analytics.read</t>
  </si>
  <si>
    <t>Analyst agent</t>
  </si>
  <si>
    <t>Returns chart and the SQL</t>
  </si>
  <si>
    <t>apply_leave</t>
  </si>
  <si>
    <t>Apply on the employee's behalf</t>
  </si>
  <si>
    <t>Confirmation required</t>
  </si>
  <si>
    <t>INTEGRATION FLOWS</t>
  </si>
  <si>
    <t>Every boundary the product crosses, how it crosses it, and what must reconcile afterwards.</t>
  </si>
  <si>
    <t>Direction</t>
  </si>
  <si>
    <t>Mechanism</t>
  </si>
  <si>
    <t>Payload</t>
  </si>
  <si>
    <t>Ownership / rules</t>
  </si>
  <si>
    <t>Employee master</t>
  </si>
  <si>
    <t>ERP → Nucleus (configurable)</t>
  </si>
  <si>
    <t>REST upsert through integration-svc, or scheduled file</t>
  </si>
  <si>
    <t>Nightly + on-change</t>
  </si>
  <si>
    <t>External code, name, DOB, DOJ, department, cost centre</t>
  </si>
  <si>
    <t>Field ownership map; conflicts held; idempotent on external code; never last-write-wins</t>
  </si>
  <si>
    <t>employee_sync_log: received vs applied vs held vs unmatched vs duplicate</t>
  </si>
  <si>
    <t>Salary journal</t>
  </si>
  <si>
    <t>Nucleus → ERP</t>
  </si>
  <si>
    <t>API post (NetSuite, Zoho Books, QuickBooks, Dynamics, SAP), Tally XML, CSV, staging table, manual download</t>
  </si>
  <si>
    <t>Balanced journal dimensioned by cost centre, department, location, project and run type</t>
  </si>
  <si>
    <t>Every component mapped before APPROVED; posting result and document number written back</t>
  </si>
  <si>
    <t>Gross vs payslips, net vs bank file, statutory vs challans, dimension residue = 0</t>
  </si>
  <si>
    <t>Cost centre, project and department master</t>
  </si>
  <si>
    <t>ERP → Nucleus</t>
  </si>
  <si>
    <t>API or file</t>
  </si>
  <si>
    <t>Code, name, status, hierarchy</t>
  </si>
  <si>
    <t>Nucleus does not maintain a second copy of the client's cost structure</t>
  </si>
  <si>
    <t>Unmapped codes reported before a run</t>
  </si>
  <si>
    <t>Bank disbursement</t>
  </si>
  <si>
    <t>Nucleus → Bank</t>
  </si>
  <si>
    <t>Direct API with major Indian banks, plus a file fallback</t>
  </si>
  <si>
    <t>Beneficiary, account token, IFSC, amount, narration</t>
  </si>
  <si>
    <t>Dual control, out-of-band total verification, alert on bank-detail change inside the window</t>
  </si>
  <si>
    <t>File total = journal net = sum of payslip nets</t>
  </si>
  <si>
    <t>Biometric and access-control devices</t>
  </si>
  <si>
    <t>Device → Nucleus</t>
  </si>
  <si>
    <t>Device SDK, push webhook, or site agent polling the buffer</t>
  </si>
  <si>
    <t>Punch events with device ID and timestamp</t>
  </si>
  <si>
    <t>Offline buffering assumed; clock drift corrected with the raw value retained</t>
  </si>
  <si>
    <t>Device health: expected vs received event counts per shift</t>
  </si>
  <si>
    <t>Both</t>
  </si>
  <si>
    <t>Provider API</t>
  </si>
  <si>
    <t>Apply, approve, check in and out, payslip retrieval, announcements</t>
  </si>
  <si>
    <t>Same service-side rules as the app — the channel never gets its own rule path</t>
  </si>
  <si>
    <t>Message delivery log; action parity tests per channel</t>
  </si>
  <si>
    <t>EPFO / ESIC / state portals</t>
  </si>
  <si>
    <t>Nucleus → Authority</t>
  </si>
  <si>
    <t>Generated files (ECR, contribution, PT, LWF, 24Q) filed by a human</t>
  </si>
  <si>
    <t>Monthly / quarterly</t>
  </si>
  <si>
    <t>Statutory returns and challans</t>
  </si>
  <si>
    <t>Generated from posted records only; acknowledgement captured as evidence</t>
  </si>
  <si>
    <t>Statutory liability in the journal = challan amount</t>
  </si>
  <si>
    <t>Background verification</t>
  </si>
  <si>
    <t>Nucleus → Vendor</t>
  </si>
  <si>
    <t>Vendor API</t>
  </si>
  <si>
    <t>Candidate identity and consent</t>
  </si>
  <si>
    <t>Consent recorded before dispatch</t>
  </si>
  <si>
    <t>Case status back onto the pre-boarding chain</t>
  </si>
  <si>
    <t>E-signature</t>
  </si>
  <si>
    <t>Per document</t>
  </si>
  <si>
    <t>Letters, policies, contracts</t>
  </si>
  <si>
    <t>Signed artefact retained with the template version</t>
  </si>
  <si>
    <t>Issued vs signed register</t>
  </si>
  <si>
    <t>SSO / identity provider</t>
  </si>
  <si>
    <t>OIDC, SAML 2.0, SCIM</t>
  </si>
  <si>
    <t>Users, groups, deprovisioning</t>
  </si>
  <si>
    <t>Do not write authentication</t>
  </si>
  <si>
    <t>Joiner-mover-leaver parity with assignment status</t>
  </si>
  <si>
    <t>Contractor / vendor master</t>
  </si>
  <si>
    <t>Vendor codes and contracts</t>
  </si>
  <si>
    <t>Reconcilable to the client's vendor records</t>
  </si>
  <si>
    <t>Invoice vs attendance variance before payment</t>
  </si>
  <si>
    <t>MCP server</t>
  </si>
  <si>
    <t>Nucleus ↔ client AI environment</t>
  </si>
  <si>
    <t>MCP over the governed tool surface</t>
  </si>
  <si>
    <t>Scoped tool calls</t>
  </si>
  <si>
    <t>Same policy gate and action ledger as internal agents</t>
  </si>
  <si>
    <t>Every call in the ledger</t>
  </si>
  <si>
    <t>REUSE REGISTER — THE ELEVEN SHARED COMPONENTS</t>
  </si>
  <si>
    <t>READ THIS BEFORE ESTIMATING ANYTHING. Each row is one component with many consumers. A story that re-implements one of these is a design defect, not a delivery.</t>
  </si>
  <si>
    <t>Component</t>
  </si>
  <si>
    <t>Component name</t>
  </si>
  <si>
    <t>What it owns</t>
  </si>
  <si>
    <t>Built in</t>
  </si>
  <si>
    <t>Anti-pattern to avoid</t>
  </si>
  <si>
    <t>Workflow &amp; approval engine</t>
  </si>
  <si>
    <t>Chain definition, step resolution, SLA, escalation, delegation, versioning, HR override</t>
  </si>
  <si>
    <t>Leave, gate pass, overtime, regularisation, loan sanction, guarantor acceptance, requisition, letters, recognition, clearance, assignment change, payroll approval, agent approval</t>
  </si>
  <si>
    <t>Do NOT write a per-module approval table. Thirteen consumers, one engine.</t>
  </si>
  <si>
    <t>Ledger pattern</t>
  </si>
  <si>
    <t>Append-only transaction rows with credit, debit, reversal, lapse and an idempotency key; balance as a projection</t>
  </si>
  <si>
    <t>Leave balance, comp-off, loan outstanding, gate-pass minutes used, EWA accrual, late-instance counting</t>
  </si>
  <si>
    <t>Time &amp; Leave</t>
  </si>
  <si>
    <t>Do NOT add a running-balance column anywhere. v1.0 did and v1.1 removed it.</t>
  </si>
  <si>
    <t>Calculation DAG &amp; rule evaluator</t>
  </si>
  <si>
    <t>Topological node evaluation, versioned rule packs, intermediate value capture, explainability trace</t>
  </si>
  <si>
    <t>Payroll gross-to-net, wage-base simulation, F&amp;F, arrears, off-cycle OT, gratuity and bonus provisioning, encashment</t>
  </si>
  <si>
    <t>Do NOT hand-code a formula in a module. Every computation is a node.</t>
  </si>
  <si>
    <t>Template renderer</t>
  </si>
  <si>
    <t>Merge fields, version pinning, draft-then-human-review, issue register, file retention</t>
  </si>
  <si>
    <t>Letters, statutory forms, announcements, payslip PDF, offer letters, certificates, filing packs</t>
  </si>
  <si>
    <t>Do NOT build a second renderer for statutory forms. Same engine, different templates.</t>
  </si>
  <si>
    <t>Derivation &amp; recompute worker</t>
  </si>
  <si>
    <t>Idempotent projection over immutable events with as-at policy reads, delta output, isolated execution</t>
  </si>
  <si>
    <t>Attendance day, disposition, overtime, gate-pass credit, leave-linked days, contractor attendance, analytics projections</t>
  </si>
  <si>
    <t>Do NOT recompute inline in the request path, and do NOT edit derived rows by hand.</t>
  </si>
  <si>
    <t>Lock &amp; blocking-item semantics</t>
  </si>
  <si>
    <t>A gate that holds an operation while named prerequisites are open, with explicit waiver and reason</t>
  </si>
  <si>
    <t>Payroll input lock, clearance blocking F&amp;F, GL mapping blocking approval, CRITICAL audit flag blocking approval, guarantor lock blocking eligibility</t>
  </si>
  <si>
    <t>Five features, one mechanism. Implement the lock once and configure the prerequisites.</t>
  </si>
  <si>
    <t>Audit &amp; action ledger</t>
  </si>
  <si>
    <t>Append-only record of actor, agent, before, after, reason, IP; sensitive-read logging; reversal handles</t>
  </si>
  <si>
    <t>Every write in the product, every sensitive read, every agent action, every override and waiver</t>
  </si>
  <si>
    <t>Do NOT scatter module-specific history tables.</t>
  </si>
  <si>
    <t>Outbox &amp; event bus</t>
  </si>
  <si>
    <t>Transactional outbox, relay worker, idempotent consumers, CloudEvents envelope</t>
  </si>
  <si>
    <t>Recompute triggers, notifications, analytics projections, webhooks, integration dispatch, learning assignment, announcements</t>
  </si>
  <si>
    <t>Do NOT call another module synchronously for a side effect.</t>
  </si>
  <si>
    <t>Scope resolver</t>
  </si>
  <si>
    <t>Tenant ∩ entity ∩ location ∩ reporting line ∩ payroll group, evaluated at query time, with field-level nulling</t>
  </si>
  <si>
    <t>Every list, every report, every export, every API read, every tool call, team history, payslip visibility</t>
  </si>
  <si>
    <t>Do NOT filter in the UI. The plant-user test (RL-005) runs on every build.</t>
  </si>
  <si>
    <t>Rule pack interface</t>
  </si>
  <si>
    <t>Versioned, effective-dated, jurisdiction-scoped declarative packs with their own test suites and changelog</t>
  </si>
  <si>
    <t>PF, ESI, PT, LWF, TDS, gratuity, bonus, overtime multipliers, leave statutory minima, form applicability</t>
  </si>
  <si>
    <t>Do NOT branch on state inside application code. Ever.</t>
  </si>
  <si>
    <t>Effective-dated configuration &amp; temporal read</t>
  </si>
  <si>
    <t>Config objects with validity, the as-at reader, and the override-with-reason pattern</t>
  </si>
  <si>
    <t>Worker class, designation, shift, rule sets, leave policy, calendars, GL mapping, ownership map, sanctioned strength, approval chains</t>
  </si>
  <si>
    <t>Do NOT read today's configuration when computing a past date.</t>
  </si>
  <si>
    <t>Model gateway &amp; policy gate</t>
  </si>
  <si>
    <t>Provider-neutral LLM calls, prompt versioning, cost attribution, caching, plus the agent policy gate and tool registry</t>
  </si>
  <si>
    <t>Policy assistant, document extraction, duplicate detection, review drafting, candidate matching, anomaly detection, every agent</t>
  </si>
  <si>
    <t>Intelligence</t>
  </si>
  <si>
    <t>Do NOT call a vendor SDK from domain code, and do NOT give an agent a non-tool path to data.</t>
  </si>
  <si>
    <t>TEST CASES — GOLDEN, NEGATIVE AND PROPERTY</t>
  </si>
  <si>
    <t>REQUIREMENT TRACEABILITY — THE 26 DEMO POINTS</t>
  </si>
  <si>
    <t>Expected values are taken from the demo dataset's own expected-results sheets, not invented here. A single golden-case mismatch fails the build.</t>
  </si>
  <si>
    <t>Client requirement to process to screen to rule to dataset to test. Client status is the client's own tracker value, carried unchanged from the blueprint's Annexure A.</t>
  </si>
  <si>
    <t>Case ID</t>
  </si>
  <si>
    <t>Area</t>
  </si>
  <si>
    <t>Scenario</t>
  </si>
  <si>
    <t>Source record (demo dataset)</t>
  </si>
  <si>
    <t>Expected result</t>
  </si>
  <si>
    <t>Pt</t>
  </si>
  <si>
    <t>Requirement</t>
  </si>
  <si>
    <t>Client status</t>
  </si>
  <si>
    <t>§ ATTENDANCE GOLDEN CASES — expected values come from 21_Expected_Attendance, not from this workbook</t>
  </si>
  <si>
    <t>Processes</t>
  </si>
  <si>
    <t>Screens</t>
  </si>
  <si>
    <t>Rules</t>
  </si>
  <si>
    <t>Dataset sheets</t>
  </si>
  <si>
    <t>Test cases</t>
  </si>
  <si>
    <t>TC-T80</t>
  </si>
  <si>
    <t>Attendance</t>
  </si>
  <si>
    <t>Cross-midnight day stays on one attendance date</t>
  </si>
  <si>
    <t>E1018 Ravi Kulkarni, 08 Sep 2026</t>
  </si>
  <si>
    <t>Multi-punch day, 19h20m across midnight, separate dinner-break report, OT 7h20m, team history for a date range</t>
  </si>
  <si>
    <t>One attendance day dated 08 Sep, spanning 08:00 to 03:20</t>
  </si>
  <si>
    <t>WIP</t>
  </si>
  <si>
    <t>TIM-01, TIM-02, TIM-07, TIM-10</t>
  </si>
  <si>
    <t>Golden</t>
  </si>
  <si>
    <t>SCR-021, SCR-022, SCR-024, SCR-027</t>
  </si>
  <si>
    <t>RL-080 to RL-089, RL-160, RL-161</t>
  </si>
  <si>
    <t>20_Punch_Events, 21_Expected_Attendance</t>
  </si>
  <si>
    <t>TC-T80, TC-T83, TC-T84, TC-T87, TC-T161</t>
  </si>
  <si>
    <t>Four punches pair into two segments</t>
  </si>
  <si>
    <t>E1018, 08 Sep</t>
  </si>
  <si>
    <t>Segments 08:00-20:30 and 21:15-03:20</t>
  </si>
  <si>
    <t>Contractual employees have no rest days and are paid daily wages</t>
  </si>
  <si>
    <t>TC-T83</t>
  </si>
  <si>
    <t>PPL-03, TIM-04, PAY-06</t>
  </si>
  <si>
    <t>SCR-011, SCR-021, SCR-053</t>
  </si>
  <si>
    <t>Dinner gap is its own break row</t>
  </si>
  <si>
    <t>RL-101, RL-290, RL-291</t>
  </si>
  <si>
    <t>06_Worker_Classes, 12_Employees, 21_Expected_Attendance</t>
  </si>
  <si>
    <t>45-minute break, reportable independently</t>
  </si>
  <si>
    <t>TC-T101, TC-Y290</t>
  </si>
  <si>
    <t>Third-party group: employees have rest days, helpers do not, under one vendor</t>
  </si>
  <si>
    <t>Gross span</t>
  </si>
  <si>
    <t>PPL-03, TIM-04, CTG-01</t>
  </si>
  <si>
    <t>SCR-011, SCR-095</t>
  </si>
  <si>
    <t>19h 20m</t>
  </si>
  <si>
    <t>RL-101, RL-102</t>
  </si>
  <si>
    <t>06_Worker_Classes, 12_Employees</t>
  </si>
  <si>
    <t>TC-T102</t>
  </si>
  <si>
    <t>P1 (policy) / P3 (module 13)</t>
  </si>
  <si>
    <t>Overtime against the 12h shift on the gross basis</t>
  </si>
  <si>
    <t>Overtime only on rest days or holidays for some employees</t>
  </si>
  <si>
    <t>7h 20m OT</t>
  </si>
  <si>
    <t>PPL-03, TIM-07</t>
  </si>
  <si>
    <t>RL-130, RL-132</t>
  </si>
  <si>
    <t>TC-T92</t>
  </si>
  <si>
    <t>06_Worker_Classes, 21_Expected_Attendance, 23_Overtime_Register</t>
  </si>
  <si>
    <t>TC-T130, TC-T132</t>
  </si>
  <si>
    <t>Shift inference from the in-punch</t>
  </si>
  <si>
    <t>E1020 Arjun Bhat, 04 and 11 Sep</t>
  </si>
  <si>
    <t>Shift applied differs from shift assigned; 12h threshold applied against the inferred shift</t>
  </si>
  <si>
    <t>Early return from leave: mark present, re-credit balance, three-level approval, HR can update</t>
  </si>
  <si>
    <t>Done</t>
  </si>
  <si>
    <t>LVE-04, LVE-05, PLT-05</t>
  </si>
  <si>
    <t>TC-T101</t>
  </si>
  <si>
    <t>SCR-030, SCR-031, SCR-040</t>
  </si>
  <si>
    <t>RL-014, RL-015, RL-195, RL-200 to RL-203</t>
  </si>
  <si>
    <t>Daily-wage contractual worker has no rest day</t>
  </si>
  <si>
    <t>18_Leave_Requests, 17_Leave_Ledger</t>
  </si>
  <si>
    <t>E1032 Shivanna Muniyappa, 06 and 13 Sep</t>
  </si>
  <si>
    <t>TC-L200, TC-L201, TC-L15</t>
  </si>
  <si>
    <t>Sunday shows Working, not Weekly Off</t>
  </si>
  <si>
    <t>Comp-off lapses 60 days from the credit date</t>
  </si>
  <si>
    <t>LVE-06, LVE-08</t>
  </si>
  <si>
    <t>Same vendor, different classes, different rest days</t>
  </si>
  <si>
    <t>E1034 Imran Shaikh (3PE) vs E1036 Lakshmi Rao (3PH), 06 Sep</t>
  </si>
  <si>
    <t>RL-210 to RL-213</t>
  </si>
  <si>
    <t>Sunday is Weekly Off for one, Working for the other</t>
  </si>
  <si>
    <t>TC-L210, TC-L212, TC-L213</t>
  </si>
  <si>
    <t>TC-T112</t>
  </si>
  <si>
    <t>Auto leave credit: bands, monthly accrual, joiner proration, caps, combination rules, encashment, birthday leave, trainees</t>
  </si>
  <si>
    <t>Absent threshold on a 12h shift</t>
  </si>
  <si>
    <t>E1022, 02 and 09 Sep</t>
  </si>
  <si>
    <t>LVE-01, LVE-02, LVE-03, LVE-07</t>
  </si>
  <si>
    <t>Below 6:30 net → Absent</t>
  </si>
  <si>
    <t>SCR-030, SCR-031, SCR-032</t>
  </si>
  <si>
    <t>RL-170 to RL-173, RL-180 to RL-182, RL-192, RL-193, RL-220, RL-222</t>
  </si>
  <si>
    <t>14, 15, 16, 17</t>
  </si>
  <si>
    <t>TC-T113</t>
  </si>
  <si>
    <t>TC-L171, TC-L173, TC-L180, TC-L192, TC-L193</t>
  </si>
  <si>
    <t>Half-day threshold on a 10h shift</t>
  </si>
  <si>
    <t>E1041, 07 Sep</t>
  </si>
  <si>
    <t>HO-generated salary, plant attendance, plant users cannot see rate</t>
  </si>
  <si>
    <t>Below 9:30 net → Half Day</t>
  </si>
  <si>
    <t>PLT-02, PPL-01</t>
  </si>
  <si>
    <t>SCR-005, SCR-011, SCR-022</t>
  </si>
  <si>
    <t>RL-003, RL-004, RL-005, RL-036</t>
  </si>
  <si>
    <t>12_Employees, 13_Salary_Structure</t>
  </si>
  <si>
    <t>Grace-exempt designation arrives late</t>
  </si>
  <si>
    <t>TC-P03, TC-P05 (every build), TC-H36</t>
  </si>
  <si>
    <t>E1021 (Manager grade), any late day</t>
  </si>
  <si>
    <t>No late instance, no deduction</t>
  </si>
  <si>
    <t>Loan policy: one at a time, two guarantors, 4x and 6x basic, guarantor lock, director override</t>
  </si>
  <si>
    <t>TC-T117</t>
  </si>
  <si>
    <t>CMB-01 to CMB-04, PAY-08</t>
  </si>
  <si>
    <t>Fourth late instance in the month</t>
  </si>
  <si>
    <t>RL-430 to RL-434, RL-441 to RL-444, RL-450 to RL-452</t>
  </si>
  <si>
    <t>E1019 Sneha Nair, 01/03/07/10/14 Sep</t>
  </si>
  <si>
    <t>24_Loans, 25_Loan_Guarantors</t>
  </si>
  <si>
    <t>First three forgiven; fourth converts the day to Half Day</t>
  </si>
  <si>
    <t>TC-M430 to TC-M452</t>
  </si>
  <si>
    <t>P1 (eligibility + deduction) / P2 (full module)</t>
  </si>
  <si>
    <t>TC-T118</t>
  </si>
  <si>
    <t>Overtime generated and paid after salary, not with it</t>
  </si>
  <si>
    <t>Long-night relief</t>
  </si>
  <si>
    <t>TIM-07, PAY-01, PAY-10, FIN-03</t>
  </si>
  <si>
    <t>E1018, 09 Sep after a 03:20 finish</t>
  </si>
  <si>
    <t>SCR-024, SCR-050, SCR-053</t>
  </si>
  <si>
    <t>Arrival up to 09:30 still credited a full day</t>
  </si>
  <si>
    <t>RL-134, RL-240, RL-330 to RL-333</t>
  </si>
  <si>
    <t>23_Overtime_Register, 26_Payroll_Runs</t>
  </si>
  <si>
    <t>TC-Y134, TC-Y330, TC-F333</t>
  </si>
  <si>
    <t>TC-T121</t>
  </si>
  <si>
    <t>Gate-pass monthly ceiling</t>
  </si>
  <si>
    <t>Gate pass: 4 hours a month, maximum two instances, added to work hours</t>
  </si>
  <si>
    <t>TIM-06, TIM-02</t>
  </si>
  <si>
    <t>SCR-023, SCR-021</t>
  </si>
  <si>
    <t>E1023, GP-2026-0141, 0155, 0163</t>
  </si>
  <si>
    <t>RL-086, RL-120 to RL-123</t>
  </si>
  <si>
    <t>Two approved 2h passes; the third rejected on the ceiling</t>
  </si>
  <si>
    <t>22_Gate_Pass, 21_Expected_Attendance</t>
  </si>
  <si>
    <t>TC-T86, TC-T121</t>
  </si>
  <si>
    <t>TC-T86</t>
  </si>
  <si>
    <t>Half-day and absent thresholds by shift, grace, three lates, designation exemption, long-night relief</t>
  </si>
  <si>
    <t>Approved gate-pass minutes credited back</t>
  </si>
  <si>
    <t>E1023, 04 and 11 Sep</t>
  </si>
  <si>
    <t>Gap appears as a break and the same minutes credited; net hours unchanged</t>
  </si>
  <si>
    <t>SCR-021, SCR-022</t>
  </si>
  <si>
    <t>RL-111 to RL-119, RL-052</t>
  </si>
  <si>
    <t>08_Attendance_Rules, 21_Expected_Attendance</t>
  </si>
  <si>
    <t>TC-T132</t>
  </si>
  <si>
    <t>TC-T112, TC-T113, TC-T115, TC-T117, TC-T118</t>
  </si>
  <si>
    <t>Rest-day-only overtime eligibility</t>
  </si>
  <si>
    <t>E1034 Imran Shaikh, 04 Sep vs 06 Sep</t>
  </si>
  <si>
    <t>Auto shift capture from the in-punch</t>
  </si>
  <si>
    <t>Weekday OT = 0 despite a 12h+ span; rest-day span pays in full</t>
  </si>
  <si>
    <t>RL-090 to RL-094</t>
  </si>
  <si>
    <t>§ LEAVE GOLDEN CASES</t>
  </si>
  <si>
    <t>07_Shifts, 21_Expected_Attendance</t>
  </si>
  <si>
    <t>TC-T91, TC-T92, TC-T94</t>
  </si>
  <si>
    <t>Link the ERP employee master by API</t>
  </si>
  <si>
    <t>TC-L171</t>
  </si>
  <si>
    <t>FIN-01, PPL-08</t>
  </si>
  <si>
    <t>Six-month EL wait then a single credit</t>
  </si>
  <si>
    <t>SCR-100, SCR-101</t>
  </si>
  <si>
    <t>E1067 Ankita Bhargava, completes six months 16 Sep 2026</t>
  </si>
  <si>
    <t>RL-510 to RL-516</t>
  </si>
  <si>
    <t>9 EL days credited on completion, then 1.5/month</t>
  </si>
  <si>
    <t>TC-F510 to TC-F516</t>
  </si>
  <si>
    <t>P1 (direction decided in P0)</t>
  </si>
  <si>
    <t>Account posting to ERP</t>
  </si>
  <si>
    <t>Band-based annual credit</t>
  </si>
  <si>
    <t>FIN-02, FIN-03, FIN-04</t>
  </si>
  <si>
    <t>E1004 (AGM band) vs E1019 (standard)</t>
  </si>
  <si>
    <t>SCR-102, SCR-103</t>
  </si>
  <si>
    <t>18 EL on 1 Jan vs 1.5 EL per month</t>
  </si>
  <si>
    <t>RL-321, RL-520 to RL-524, RL-530, RL-531</t>
  </si>
  <si>
    <t>35_GL_Mapping, 26_Payroll_Runs</t>
  </si>
  <si>
    <t>TC-F520, TC-F521, TC-F530</t>
  </si>
  <si>
    <t>TC-L180</t>
  </si>
  <si>
    <t>Full and final on the last working day with a no-dues process</t>
  </si>
  <si>
    <t>E1060 Jayanthi Elangovan, joined 06 Apr 2026</t>
  </si>
  <si>
    <t>4 CL and 4 SL</t>
  </si>
  <si>
    <t>LCY-05, LCY-06, LCY-07, PAY-12</t>
  </si>
  <si>
    <t>SCR-061, SCR-056</t>
  </si>
  <si>
    <t>RL-400 to RL-403, RL-340 to RL-342</t>
  </si>
  <si>
    <t>TC-L192</t>
  </si>
  <si>
    <t>TC-X400, TC-X402, TC-X340</t>
  </si>
  <si>
    <t>Combination rule blocks CL with EL</t>
  </si>
  <si>
    <t>LV-2026-0802, E1019</t>
  </si>
  <si>
    <t>Rejected at validation before the chain, message names the rule</t>
  </si>
  <si>
    <t>Statutory compliance, Factory Act forms and returns</t>
  </si>
  <si>
    <t>CMP-01p, CMP-02p, CMP-03p, PAY-07</t>
  </si>
  <si>
    <t>TC-L193</t>
  </si>
  <si>
    <t>SCR-070, SCR-072, SCR-073</t>
  </si>
  <si>
    <t>RL-302, RL-360 to RL-364, RL-370 to RL-372, RL-380 to RL-383</t>
  </si>
  <si>
    <t>Monthly cap on EL</t>
  </si>
  <si>
    <t>28_Statutory_Calendar, 29_Statutory_Forms</t>
  </si>
  <si>
    <t>11th EL day in one month</t>
  </si>
  <si>
    <t>TC-Y302, TC-C380, TC-C382</t>
  </si>
  <si>
    <t>Rejected at validation with the cap named</t>
  </si>
  <si>
    <t>Star employees</t>
  </si>
  <si>
    <t>TC-L200</t>
  </si>
  <si>
    <t>Early return marks present and re-credits</t>
  </si>
  <si>
    <t>SCR-065, SCR-066</t>
  </si>
  <si>
    <t>LV-2026-0774, E1043 Neha Mishra</t>
  </si>
  <si>
    <t>RL-490 to RL-492</t>
  </si>
  <si>
    <t>Original debit plus a reversal credit for the unused days</t>
  </si>
  <si>
    <t>RL-200, RL-201</t>
  </si>
  <si>
    <t>TC-E490, TC-E491</t>
  </si>
  <si>
    <t>Referral process and awards</t>
  </si>
  <si>
    <t>HR edit on an approved request is logged</t>
  </si>
  <si>
    <t>LV-2026-0774, HR closed on 14 Sep</t>
  </si>
  <si>
    <t>TAL-03, EXP-01</t>
  </si>
  <si>
    <t>Actor, timestamp and reason recorded</t>
  </si>
  <si>
    <t>RL-470 to RL-472</t>
  </si>
  <si>
    <t>TC-R470, TC-R471, TC-R472</t>
  </si>
  <si>
    <t>TC-L210</t>
  </si>
  <si>
    <t>Two comp-off credits on separate clocks</t>
  </si>
  <si>
    <t>CO-2026-0231 and CO-2026-0288, E1028</t>
  </si>
  <si>
    <t>Announcements: birthday, star employee, new joiner, referral, management messages</t>
  </si>
  <si>
    <t>July credit lapses 10 Sep; 06 Sep credit runs to 05 Nov</t>
  </si>
  <si>
    <t>EXP-02, SSV-03</t>
  </si>
  <si>
    <t>RL-397, RL-492</t>
  </si>
  <si>
    <t>TC-X397, TC-E492</t>
  </si>
  <si>
    <t>Unconsumed comp-off lapses</t>
  </si>
  <si>
    <t>E1044 Rahul Gaikwad's lapsed credit</t>
  </si>
  <si>
    <t>Lapse row written on its own expiry date</t>
  </si>
  <si>
    <t>Appointment and other HR letters</t>
  </si>
  <si>
    <t>EXP-03, LCY-03, CMB-06</t>
  </si>
  <si>
    <t>§ PAYROLL AND FINANCE GOLDEN CASES</t>
  </si>
  <si>
    <t>RL-500 to RL-502</t>
  </si>
  <si>
    <t>TC-E500, TC-E502</t>
  </si>
  <si>
    <t>Organisation chart, department-wise hierarchy</t>
  </si>
  <si>
    <t>50% floor add-back fires</t>
  </si>
  <si>
    <t>E1014 and E1049 in 13_Salary_Structure</t>
  </si>
  <si>
    <t>SCR-012, SCR-013</t>
  </si>
  <si>
    <t>Excluded components exceed 50%; excess added back to the wage base</t>
  </si>
  <si>
    <t>RL-020, RL-055 to RL-057</t>
  </si>
  <si>
    <t>04_Org_Units, 12_Employees</t>
  </si>
  <si>
    <t>TC-H35, TC-R56</t>
  </si>
  <si>
    <t>TC-Y290</t>
  </si>
  <si>
    <t>Daily-wage earnings node selected by class</t>
  </si>
  <si>
    <t>Induction training at joining, and asset</t>
  </si>
  <si>
    <t>E1032 (WC-CONT)</t>
  </si>
  <si>
    <t>Paid on days present, not a prorated monthly rate; day count on the payslip</t>
  </si>
  <si>
    <t>LCY-02, LCY-08, TAL-05</t>
  </si>
  <si>
    <t>SCR-060, SCR-063, SCR-064</t>
  </si>
  <si>
    <t>RL-395, RL-396</t>
  </si>
  <si>
    <t>TC-Y302</t>
  </si>
  <si>
    <t>33_Assets, 34_Induction_Learning</t>
  </si>
  <si>
    <t>TC-X395, TC-X396</t>
  </si>
  <si>
    <t>PT differs by state on one run</t>
  </si>
  <si>
    <t>P1 (assets) / P3 (learning depth)</t>
  </si>
  <si>
    <t>LE-01 Karnataka vs LE-02 Tamil Nadu, Sep 2026</t>
  </si>
  <si>
    <t>Different PT amounts; one state where it does not apply</t>
  </si>
  <si>
    <t>Recruitment: position code for replacement</t>
  </si>
  <si>
    <t>TC-Y330</t>
  </si>
  <si>
    <t>SCR-012, SCR-090</t>
  </si>
  <si>
    <t>RL-058, RL-460, RL-461</t>
  </si>
  <si>
    <t>Two runs against one period</t>
  </si>
  <si>
    <t>11_Positions, 37_Requisitions</t>
  </si>
  <si>
    <t>PR-2026-09-01 and PR-2026-09-02</t>
  </si>
  <si>
    <t>TC-R461</t>
  </si>
  <si>
    <t>Regular pays 30 Sep; off-cycle OT pays 07 Oct with its own bank file and journal</t>
  </si>
  <si>
    <t>Approved manpower, department wise</t>
  </si>
  <si>
    <t>TC-F521</t>
  </si>
  <si>
    <t>Unmapped component blocks approval</t>
  </si>
  <si>
    <t>SCR-013, SCR-090</t>
  </si>
  <si>
    <t>GL-023 deliberately unmapped</t>
  </si>
  <si>
    <t>RL-055 to RL-057, RL-462, RL-463</t>
  </si>
  <si>
    <t>Run cannot reach APPROVED; message names the component</t>
  </si>
  <si>
    <t>TC-R462</t>
  </si>
  <si>
    <t>Negative</t>
  </si>
  <si>
    <t>Joining form under the Factory Act, Form F</t>
  </si>
  <si>
    <t>Reconciliation assertions</t>
  </si>
  <si>
    <t>Sep 2026 journal, both runs</t>
  </si>
  <si>
    <t>LCY-02, CMP-03p</t>
  </si>
  <si>
    <t>All seven assertions pass with zero dimension residue</t>
  </si>
  <si>
    <t>SCR-060, SCR-073</t>
  </si>
  <si>
    <t>RL-382, RL-380</t>
  </si>
  <si>
    <t>29_Statutory_Forms, 34_Induction_Learning</t>
  </si>
  <si>
    <t>TC-C382</t>
  </si>
  <si>
    <t>TC-F510</t>
  </si>
  <si>
    <t>P1 — owner still to be assigned (blueprint Annexure A)</t>
  </si>
  <si>
    <t>Integration</t>
  </si>
  <si>
    <t>ERP inbound outcomes</t>
  </si>
  <si>
    <t>Batch ERP-SYNC-2026-09-14, six rows</t>
  </si>
  <si>
    <t>Three clean upserts, one conflict held, one unmatched, one duplicate rejected on hash</t>
  </si>
  <si>
    <t>COVERAGE</t>
  </si>
  <si>
    <t>RL-513, RL-514, RL-516</t>
  </si>
  <si>
    <t>§ SCOPE, LOAN, EXIT AND TALENT CASES</t>
  </si>
  <si>
    <t>TC-P05</t>
  </si>
  <si>
    <t>Demo points covered</t>
  </si>
  <si>
    <t>Security</t>
  </si>
  <si>
    <t>Plant user reading a head-office-payrolled employee</t>
  </si>
  <si>
    <t>E1056 Anand Krishnan, LOC-CHN, payroll group HO</t>
  </si>
  <si>
    <t>Attendance fields populated; every compensation and rate field null</t>
  </si>
  <si>
    <t>Golden — RUNS ON EVERY BUILD</t>
  </si>
  <si>
    <t>BUILD BACKLOG AND SEQUENCE</t>
  </si>
  <si>
    <t>TC-M430</t>
  </si>
  <si>
    <t>Loans</t>
  </si>
  <si>
    <t>Eligibility method is the single source</t>
  </si>
  <si>
    <t>E1044, E1041, E1056, E1050, E1022</t>
  </si>
  <si>
    <t>Same answer from screen, guarantor lock, payroll node and agent tool</t>
  </si>
  <si>
    <t>Epic and story backlog by phase. Effort assumes the shared component already exists — where it does not, the component is listed as a dependency, not hidden scope.</t>
  </si>
  <si>
    <t>Guarantor lock blocks an application</t>
  </si>
  <si>
    <t>LN-APP-2026-0014, E1041</t>
  </si>
  <si>
    <t>Rejected with the guarantee named as the reason</t>
  </si>
  <si>
    <t>ID</t>
  </si>
  <si>
    <t>Ceiling rises after five years</t>
  </si>
  <si>
    <t>Epic</t>
  </si>
  <si>
    <t>E1056 Anand Krishnan, 8 years 8 months</t>
  </si>
  <si>
    <t>6x basic ceiling applied</t>
  </si>
  <si>
    <t>Story</t>
  </si>
  <si>
    <t>Director override on special terms</t>
  </si>
  <si>
    <t>LN-2026-0012, E1022</t>
  </si>
  <si>
    <t>Depends on</t>
  </si>
  <si>
    <t>Sanctioned above ceiling with approver, reason and rules waived recorded</t>
  </si>
  <si>
    <t>Effort (days)</t>
  </si>
  <si>
    <t>Definition of done</t>
  </si>
  <si>
    <t>Closure releases guarantors</t>
  </si>
  <si>
    <t>LN-2025-0112, E1050</t>
  </si>
  <si>
    <t>§ PHASE 0 — FOUNDATIONS (weeks 1-8). Exit: a tenant can be provisioned, a user signs in, an employee record is created and changed with full temporal history and audit, and a plant-scoped user cannot see a head-office pay field.</t>
  </si>
  <si>
    <t>Release rows written; guarantors eligible again</t>
  </si>
  <si>
    <t>Blocking items hold F&amp;F</t>
  </si>
  <si>
    <t>Answered in Phase 0 or 1</t>
  </si>
  <si>
    <t>E1042 Swapnil Kadam, two open blocking items</t>
  </si>
  <si>
    <t>F&amp;F held; clearing the items releases it</t>
  </si>
  <si>
    <t>BL-001</t>
  </si>
  <si>
    <t>TC-X340</t>
  </si>
  <si>
    <t>F&amp;F settles on the last working day</t>
  </si>
  <si>
    <t>E1068 Dinesh Vaidya, LWD 30 Sep</t>
  </si>
  <si>
    <t>Fully cleared; settlement on the LWD</t>
  </si>
  <si>
    <t>Repository, module boundaries, dependency-graph test in CI, preview environments</t>
  </si>
  <si>
    <t>Replacement consumes no fresh sanction</t>
  </si>
  <si>
    <t>REQ-2026-0037 against POS-2214</t>
  </si>
  <si>
    <t>Approved without consuming sanctioned strength</t>
  </si>
  <si>
    <t>A cross-module database import fails the build</t>
  </si>
  <si>
    <t>BL-002</t>
  </si>
  <si>
    <t>Addition blocked at full sanction</t>
  </si>
  <si>
    <t>REQ-2026-0041, OU-111 at Peenya, 24 of 24</t>
  </si>
  <si>
    <t>Client status: WIP</t>
  </si>
  <si>
    <t>Blocked at approval; override required</t>
  </si>
  <si>
    <t>Tenancy with RLS forced, plus the CI guard that fails any table without tenant_id and a policy</t>
  </si>
  <si>
    <t>Form F generated in the joining chain</t>
  </si>
  <si>
    <t>FRM-F-2026-0112 for E1066</t>
  </si>
  <si>
    <t>Produced as a joining step, not chased afterwards</t>
  </si>
  <si>
    <t>New table without a policy fails CI</t>
  </si>
  <si>
    <t>BL-003</t>
  </si>
  <si>
    <t>TC-E502</t>
  </si>
  <si>
    <t>Client status: Done</t>
  </si>
  <si>
    <t>Identity: OIDC, SAML, SCIM, roles</t>
  </si>
  <si>
    <t>Issued letter retains its template version</t>
  </si>
  <si>
    <t>TPL-APPT-02 issued to E1066</t>
  </si>
  <si>
    <t>Reprint two years later reproduces the original version</t>
  </si>
  <si>
    <t>SSO login and deprovisioning work end to end</t>
  </si>
  <si>
    <t>§ PROPERTY TESTS — run on every build, no fixed data</t>
  </si>
  <si>
    <t>BL-004</t>
  </si>
  <si>
    <t>Scope resolver with entity, reporting line AND location dimensions</t>
  </si>
  <si>
    <t>TC-PR01</t>
  </si>
  <si>
    <t>Net pay never exceeds gross</t>
  </si>
  <si>
    <t>TC-P05 passes: plant user sees time, pay fields null</t>
  </si>
  <si>
    <t>Any run</t>
  </si>
  <si>
    <t>Invariant holds</t>
  </si>
  <si>
    <t>BL-005</t>
  </si>
  <si>
    <t>Bi-temporal base tables and the as-at reader</t>
  </si>
  <si>
    <t>TC-PR02</t>
  </si>
  <si>
    <t>Deductions never produce negative net without an explicit flag</t>
  </si>
  <si>
    <t>'What did we believe on 3 June about her grade effective 1 April' answers in SQL</t>
  </si>
  <si>
    <t>BL-006</t>
  </si>
  <si>
    <t>TC-PR03</t>
  </si>
  <si>
    <t>Workflow engine v1 with sequential multi-level chains, SLA and versioning</t>
  </si>
  <si>
    <t>Recomputation is idempotent</t>
  </si>
  <si>
    <t>Any closed run</t>
  </si>
  <si>
    <t>Identical output from the snapshot</t>
  </si>
  <si>
    <t>Leave chain and loan chain both run on it unchanged</t>
  </si>
  <si>
    <t>TC-PR04</t>
  </si>
  <si>
    <t>BL-007</t>
  </si>
  <si>
    <t>Proration across any month boundary sums to the full-month value</t>
  </si>
  <si>
    <t>Any month</t>
  </si>
  <si>
    <t>Configuration framework with effective dating and the override-with-reason pattern</t>
  </si>
  <si>
    <t>TC-PR05</t>
  </si>
  <si>
    <t>Net minutes never exceed gross minutes</t>
  </si>
  <si>
    <t>A new leave type needs no developer</t>
  </si>
  <si>
    <t>Any day</t>
  </si>
  <si>
    <t>BL-008</t>
  </si>
  <si>
    <t>Audit projection and action ledger schema</t>
  </si>
  <si>
    <t>TC-PR06</t>
  </si>
  <si>
    <t>Recomputing an unchanged day produces an identical row</t>
  </si>
  <si>
    <t>No delta written</t>
  </si>
  <si>
    <t>Every write and sensitive read lands with actor and reason</t>
  </si>
  <si>
    <t>BL-009</t>
  </si>
  <si>
    <t>TC-PR07</t>
  </si>
  <si>
    <t>Transactional outbox and relay worker</t>
  </si>
  <si>
    <t>Segments plus breaks equal the gross span</t>
  </si>
  <si>
    <t>Consumers are idempotent under replay</t>
  </si>
  <si>
    <t>TC-PR08</t>
  </si>
  <si>
    <t>BL-010</t>
  </si>
  <si>
    <t>Accrual re-run produces no second credit</t>
  </si>
  <si>
    <t>Design system and component library</t>
  </si>
  <si>
    <t>Any period</t>
  </si>
  <si>
    <t>Idempotency key holds</t>
  </si>
  <si>
    <t>TC-PR09</t>
  </si>
  <si>
    <t>No query escapes its tenant, including a query with a bug in it</t>
  </si>
  <si>
    <t>Any query</t>
  </si>
  <si>
    <t>RLS blocks</t>
  </si>
  <si>
    <t>Employee home renders on a mid-range Android in under 2.5s on 3G</t>
  </si>
  <si>
    <t>BL-011</t>
  </si>
  <si>
    <t>ADRs started, including the master-data direction decision</t>
  </si>
  <si>
    <t>OD-07 recorded before People Core schema work</t>
  </si>
  <si>
    <t>§ PHASE 1 — CORE HRMS (weeks 9-24). Exit: one design-partner client's real payroll runs in shadow for two cycles and reconciles to zero variance, on attendance the product computed itself.</t>
  </si>
  <si>
    <t>BL-020</t>
  </si>
  <si>
    <t>person, employment, position, assignment, org_unit with effective dating</t>
  </si>
  <si>
    <t>Rehire, transfer and matrix reporting need no special cases</t>
  </si>
  <si>
    <t>BL-021</t>
  </si>
  <si>
    <t>worker_class with rest-day, wage-type and OT-eligibility policy, overridable per assignment</t>
  </si>
  <si>
    <t>All nine demo classes configured without code</t>
  </si>
  <si>
    <t>BL-022</t>
  </si>
  <si>
    <t>Designation bands with grace exemption and leave band</t>
  </si>
  <si>
    <t>Assistant Manager and above resolve grace_exempt = Y</t>
  </si>
  <si>
    <t>BL-023</t>
  </si>
  <si>
    <t>Document vault with classification and expiry</t>
  </si>
  <si>
    <t>Expiry reminders fire; files encrypted</t>
  </si>
  <si>
    <t>BL-030</t>
  </si>
  <si>
    <t>Punch ingestion: biometric plus one more source, offline buffer and catch-up</t>
  </si>
  <si>
    <t>NON-FUNCTIONAL REQUIREMENTS AND RELEASE GATES</t>
  </si>
  <si>
    <t>500 events/s sustained per tenant at shift change</t>
  </si>
  <si>
    <t>Targets with the method that measures them and the gate that enforces them. A target with no measurement is an aspiration.</t>
  </si>
  <si>
    <t>BL-031</t>
  </si>
  <si>
    <t>Attendance day derivation: pairing, segments, breaks, gross, net, OT, provenance</t>
  </si>
  <si>
    <t>TC-T80 to TC-T89 pass, including the 19h20m cross-midnight day</t>
  </si>
  <si>
    <t>How measured</t>
  </si>
  <si>
    <t>BL-032</t>
  </si>
  <si>
    <t>Gate</t>
  </si>
  <si>
    <t>Shift inference with assigned vs applied and override</t>
  </si>
  <si>
    <t>Availability</t>
  </si>
  <si>
    <t>TC-T92 passes; inference is visible to the roster owner</t>
  </si>
  <si>
    <t>99.9% monthly, maintenance outside Indian business hours</t>
  </si>
  <si>
    <t>BL-033</t>
  </si>
  <si>
    <t>Synthetic probes plus incident record</t>
  </si>
  <si>
    <t>Day type resolution from calendar plus class rest-day policy</t>
  </si>
  <si>
    <t>Monthly review</t>
  </si>
  <si>
    <t>TC-T101, TC-T102 pass</t>
  </si>
  <si>
    <t>Payroll availability</t>
  </si>
  <si>
    <t>BL-034</t>
  </si>
  <si>
    <t>Disposition rule set: thresholds, grace, late counting, exemption, long-night relief</t>
  </si>
  <si>
    <t>99.95% during the 25th to the 5th</t>
  </si>
  <si>
    <t>Probe window separated in reporting</t>
  </si>
  <si>
    <t>TC-T112 to TC-T118 pass; thresholds editable as data</t>
  </si>
  <si>
    <t>API latency</t>
  </si>
  <si>
    <t>BL-035</t>
  </si>
  <si>
    <t>p95 under 300 ms, p99 under 800 ms for interactive reads</t>
  </si>
  <si>
    <t>OpenTelemetry percentile dashboards</t>
  </si>
  <si>
    <t>Gate pass with service-enforced ceiling and credit-back</t>
  </si>
  <si>
    <t>Release gate</t>
  </si>
  <si>
    <t>Mobile cold start</t>
  </si>
  <si>
    <t>Under 2.5 s on a mid-range Android device on 3G</t>
  </si>
  <si>
    <t>Device lab run per release</t>
  </si>
  <si>
    <t>TC-T121, TC-T86 pass on app AND WhatsApp paths</t>
  </si>
  <si>
    <t>BL-036</t>
  </si>
  <si>
    <t>Payroll throughput</t>
  </si>
  <si>
    <t>10,000 employees gross-to-net in under 120 seconds</t>
  </si>
  <si>
    <t>Overtime computation, eligibility, approval, run tagging</t>
  </si>
  <si>
    <t>Load test on the payroll worker</t>
  </si>
  <si>
    <t>Payroll engineer</t>
  </si>
  <si>
    <t>Payroll accuracy</t>
  </si>
  <si>
    <t>TC-T130 to TC-T134 pass</t>
  </si>
  <si>
    <t>Zero calculation defects reaching disbursement</t>
  </si>
  <si>
    <t>BL-037</t>
  </si>
  <si>
    <t>Golden cases plus shadow runs; breach is a Sev-1</t>
  </si>
  <si>
    <t>Every build + monthly report</t>
  </si>
  <si>
    <t>Attendance ingestion</t>
  </si>
  <si>
    <t>500 events per second sustained per tenant at shift change, with offline catch-up</t>
  </si>
  <si>
    <t>Load test with device simulators</t>
  </si>
  <si>
    <t>Time engineer</t>
  </si>
  <si>
    <t>Unpaired punches surface, never disappear</t>
  </si>
  <si>
    <t>BL-038</t>
  </si>
  <si>
    <t>A full month for 5,000 employees in under 10 minutes without degrading interactive latency</t>
  </si>
  <si>
    <t>Load test with the interactive suite running concurrently</t>
  </si>
  <si>
    <t>Attendance recompute worker with as-at reads and delta output</t>
  </si>
  <si>
    <t>5,000 people, one month, under 10 minutes, interactive latency unaffected</t>
  </si>
  <si>
    <t>BL-039</t>
  </si>
  <si>
    <t>Team history view with export</t>
  </si>
  <si>
    <t>Works on a phone; scoped by reporting line at query time</t>
  </si>
  <si>
    <t>Attendance accuracy</t>
  </si>
  <si>
    <t>Zero disposition defects reaching payroll</t>
  </si>
  <si>
    <t>BL-040</t>
  </si>
  <si>
    <t>Attendance golden cases plus shadow attendance</t>
  </si>
  <si>
    <t>Every build</t>
  </si>
  <si>
    <t>Leave ledger, accrual policies, proration, eligibility waits</t>
  </si>
  <si>
    <t>Recovery</t>
  </si>
  <si>
    <t>RPO 5 minutes, RTO 1 hour</t>
  </si>
  <si>
    <t>Quarterly restore drill, documented</t>
  </si>
  <si>
    <t>TC-L171 to TC-L182 pass; accrual is idempotent under re-run</t>
  </si>
  <si>
    <t>BL-041</t>
  </si>
  <si>
    <t>Data residency</t>
  </si>
  <si>
    <t>Indian tenant data resides in India, enforced at the infrastructure layer</t>
  </si>
  <si>
    <t>Request validation: combination, caps, conflicts, with rule-naming messages</t>
  </si>
  <si>
    <t>Infrastructure policy test</t>
  </si>
  <si>
    <t>Provisioning</t>
  </si>
  <si>
    <t>A new tenant fully provisioned in under 30 minutes, automated</t>
  </si>
  <si>
    <t>TC-L192, TC-L193 pass before the chain starts</t>
  </si>
  <si>
    <t>Timed provisioning run</t>
  </si>
  <si>
    <t>BL-042</t>
  </si>
  <si>
    <t>Per release</t>
  </si>
  <si>
    <t>Sequential approval chain with HR edit right</t>
  </si>
  <si>
    <t>Standard configuration live in under 4 weeks for a 500-person client</t>
  </si>
  <si>
    <t>Implementation record per client</t>
  </si>
  <si>
    <t>Delivery</t>
  </si>
  <si>
    <t>TC-L14, TC-L15 pass</t>
  </si>
  <si>
    <t>Test coverage</t>
  </si>
  <si>
    <t>BL-043</t>
  </si>
  <si>
    <t>85%+ on payroll, attendance and compliance; 70% overall; 100% of statutory rules covered by golden cases</t>
  </si>
  <si>
    <t>CI coverage report</t>
  </si>
  <si>
    <t>Early return: reversal plus recompute in one transaction</t>
  </si>
  <si>
    <t>Accessibility</t>
  </si>
  <si>
    <t>WCAG 2.2 AA on employee-facing surfaces</t>
  </si>
  <si>
    <t>Automated plus manual audit</t>
  </si>
  <si>
    <t>TC-L201 passes; ledger and attendance never disagree</t>
  </si>
  <si>
    <t>Design</t>
  </si>
  <si>
    <t>BL-044</t>
  </si>
  <si>
    <t>Agent reversal rate</t>
  </si>
  <si>
    <t>Under 2%, tracked from day one</t>
  </si>
  <si>
    <t>Comp-off per-credit expiry and lapse job</t>
  </si>
  <si>
    <t>Action ledger metric</t>
  </si>
  <si>
    <t>Regularisations</t>
  </si>
  <si>
    <t>Falling quarter on quarter per 100 employees</t>
  </si>
  <si>
    <t>TC-L210 to TC-L213 pass</t>
  </si>
  <si>
    <t>Operational report</t>
  </si>
  <si>
    <t>BL-045</t>
  </si>
  <si>
    <t>Balance projection service and screen</t>
  </si>
  <si>
    <t>Zero critical or high vulnerabilities in production; SOC 2 Type I by month 12</t>
  </si>
  <si>
    <t>SAST, dependency scan, external pen test</t>
  </si>
  <si>
    <t>Every build + quarterly</t>
  </si>
  <si>
    <t>No stored balance column exists anywhere</t>
  </si>
  <si>
    <t>BL-050</t>
  </si>
  <si>
    <t>Run types, lifecycle states, input lock and hashed snapshot</t>
  </si>
  <si>
    <t>A run recomputes to the paisa from its snapshot</t>
  </si>
  <si>
    <t>BL-051</t>
  </si>
  <si>
    <t>Gross-to-net DAG with integer money and trace capture</t>
  </si>
  <si>
    <t>Every payslip line drills to its rule and inputs</t>
  </si>
  <si>
    <t>BL-052</t>
  </si>
  <si>
    <t>Wage-base node with the 50% floor add-back</t>
  </si>
  <si>
    <t>TC-Y280 to TC-Y282 pass; node testable in isolation</t>
  </si>
  <si>
    <t>BL-053</t>
  </si>
  <si>
    <t>Daily-wage earnings node</t>
  </si>
  <si>
    <t>TC-Y290 passes; day count visible on the payslip</t>
  </si>
  <si>
    <t>BL-054</t>
  </si>
  <si>
    <t>Central rule pack plus Karnataka: PF, ESI, PT, LWF, 24Q</t>
  </si>
  <si>
    <t>300 payroll golden cases green</t>
  </si>
  <si>
    <t>BL-055</t>
  </si>
  <si>
    <t>Pre-payroll audit with the eleven rule checks and severity gating</t>
  </si>
  <si>
    <t>A CRITICAL flag blocks approval</t>
  </si>
  <si>
    <t>BL-056</t>
  </si>
  <si>
    <t>Loan deduction node with the net-pay floor</t>
  </si>
  <si>
    <t>BL-051, BL-070</t>
  </si>
  <si>
    <t>TC-Y311, TC-Y312 pass</t>
  </si>
  <si>
    <t>BL-057</t>
  </si>
  <si>
    <t>Off-cycle overtime run with its own bank file and journal</t>
  </si>
  <si>
    <t>BL-051, BL-036</t>
  </si>
  <si>
    <t>TC-Y330, TC-F333 pass; run selector everywhere</t>
  </si>
  <si>
    <t>BL-058</t>
  </si>
  <si>
    <t>Payslip, bank file, dual control, rollback</t>
  </si>
  <si>
    <t>Rollback blocked past DISBURSEMENT_PREPARED</t>
  </si>
  <si>
    <t>BL-060</t>
  </si>
  <si>
    <t>Joining chain including statutory registrations and Form F generation</t>
  </si>
  <si>
    <t>BL-006, BL-090</t>
  </si>
  <si>
    <t>TC-C382 passes; Form F is produced inside the chain</t>
  </si>
  <si>
    <t>BL-061</t>
  </si>
  <si>
    <t>Clearance checklist templates with blocking semantics</t>
  </si>
  <si>
    <t>TC-X402 passes; F&amp;F held while a blocking item is open</t>
  </si>
  <si>
    <t>BL-062</t>
  </si>
  <si>
    <t>F&amp;F run on the last working day</t>
  </si>
  <si>
    <t>BL-061, BL-051</t>
  </si>
  <si>
    <t>TC-X340, TC-X341 pass, negative net handled</t>
  </si>
  <si>
    <t>BL-063</t>
  </si>
  <si>
    <t>Asset register and allocation-to-clearance link</t>
  </si>
  <si>
    <t>TC-X396 passes</t>
  </si>
  <si>
    <t>BL-070</t>
  </si>
  <si>
    <t>Eligibility service method with ceiling, one-at-a-time and guarantor lock</t>
  </si>
  <si>
    <t>One method; four consumers call it; TC-M430 to TC-M434 pass</t>
  </si>
  <si>
    <t>BL-080</t>
  </si>
  <si>
    <t>Self-service</t>
  </si>
  <si>
    <t>Employee mobile: punch, payslip, leave, gate pass, balances, offline</t>
  </si>
  <si>
    <t>BL-031, BL-051</t>
  </si>
  <si>
    <t>Every listed task completes in three taps or fewer</t>
  </si>
  <si>
    <t>BL-081</t>
  </si>
  <si>
    <t>Unified manager approval inbox with rule context</t>
  </si>
  <si>
    <t>One queue across every module</t>
  </si>
  <si>
    <t>BL-090</t>
  </si>
  <si>
    <t>Rule pack interface, test harness, deployment pipeline</t>
  </si>
  <si>
    <t>No pack deploys without a green suite and a named reviewer</t>
  </si>
  <si>
    <t>BL-091</t>
  </si>
  <si>
    <t>Statutory form library and generation, seeded with the client's forms</t>
  </si>
  <si>
    <t>KA and TN sets differ correctly for the same company</t>
  </si>
  <si>
    <t>BL-092</t>
  </si>
  <si>
    <t>The HR head's morning screen</t>
  </si>
  <si>
    <t>BL-100</t>
  </si>
  <si>
    <t>GL mapping, validation and the blocking check</t>
  </si>
  <si>
    <t>TC-F521 passes: unmapped component blocks APPROVED</t>
  </si>
  <si>
    <t>BL-101</t>
  </si>
  <si>
    <t>Salary journal with employee-level dimensioning and run type</t>
  </si>
  <si>
    <t>No unallocated residue in any dimension</t>
  </si>
  <si>
    <t>BL-102</t>
  </si>
  <si>
    <t>ERP employee-master inbound sync with the ownership map</t>
  </si>
  <si>
    <t>TC-F510 to TC-F516 pass, conflicts held not overwritten</t>
  </si>
  <si>
    <t>BL-103</t>
  </si>
  <si>
    <t>Reconciliation report screen</t>
  </si>
  <si>
    <t>All seven assertions shown passing</t>
  </si>
  <si>
    <t>BL-110</t>
  </si>
  <si>
    <t>Golden-case library to 300 payroll and 120 attendance cases</t>
  </si>
  <si>
    <t>ALL</t>
  </si>
  <si>
    <t>A single mismatch fails the build</t>
  </si>
  <si>
    <t>BL-111</t>
  </si>
  <si>
    <t>Shadow payroll and shadow attendance harness for design partners</t>
  </si>
  <si>
    <t>Two full cycles reconciled to the rupee before go-live</t>
  </si>
  <si>
    <t>§ PHASE 2 — PILOT AND INTELLIGENCE (weeks 25-40). Exit: three clients live and paying; the assistant deflects a measurable share of HR tickets.</t>
  </si>
  <si>
    <t>BL-120</t>
  </si>
  <si>
    <t>Two more state packs (Maharashtra, Tamil Nadu)</t>
  </si>
  <si>
    <t>PT differs correctly by state on one run</t>
  </si>
  <si>
    <t>BL-121</t>
  </si>
  <si>
    <t>Labour Codes wage-base simulator</t>
  </si>
  <si>
    <t>Per-employee and aggregate impact of a proposed structure</t>
  </si>
  <si>
    <t>BL-122</t>
  </si>
  <si>
    <t>Model gateway, prompt versioning, cost attribution</t>
  </si>
  <si>
    <t>No vendor SDK call from domain code</t>
  </si>
  <si>
    <t>BL-123</t>
  </si>
  <si>
    <t>Policy gate, tool registry, action ledger, reversal</t>
  </si>
  <si>
    <t>BL-122, BL-008</t>
  </si>
  <si>
    <t>No non-tool path from an agent to data</t>
  </si>
  <si>
    <t>BL-124</t>
  </si>
  <si>
    <t>Helpdesk and Policy Assistant with grounding</t>
  </si>
  <si>
    <t>No answer without a retrieved source</t>
  </si>
  <si>
    <t>BL-125</t>
  </si>
  <si>
    <t>BL-123, BL-037</t>
  </si>
  <si>
    <t>Proposals carry a dry-run diff; reversal rate tracked</t>
  </si>
  <si>
    <t>BL-126</t>
  </si>
  <si>
    <t>Recognition, announcements, letters and the issue register</t>
  </si>
  <si>
    <t>Awards raise payroll inputs; letters retain template versions</t>
  </si>
  <si>
    <t>BL-127</t>
  </si>
  <si>
    <t>Loan module in full: application, guarantors, sanction, override, release</t>
  </si>
  <si>
    <t>TC-M440 to TC-M452 pass</t>
  </si>
  <si>
    <t>BL-128</t>
  </si>
  <si>
    <t>Referral tracking with staged award payout through payroll</t>
  </si>
  <si>
    <t>Balance on confirmation actually pays</t>
  </si>
  <si>
    <t>BL-129</t>
  </si>
  <si>
    <t>Analytics</t>
  </si>
  <si>
    <t>Operational reports shipped configured</t>
  </si>
  <si>
    <t>Break, OT register, late summary, gate-pass utilisation, team history</t>
  </si>
  <si>
    <t>BL-130</t>
  </si>
  <si>
    <t>Journal posting proven against two accounting systems</t>
  </si>
  <si>
    <t>Tally XML and one cloud ERP both accepted</t>
  </si>
  <si>
    <t>BL-131</t>
  </si>
  <si>
    <t>WhatsApp channel for apply, approve, check in, payslip</t>
  </si>
  <si>
    <t>Same service-side rules as the app; channel parity tested</t>
  </si>
  <si>
    <t>BL-132</t>
  </si>
  <si>
    <t>PERSONAS, SCOPE AND VISIBILITY</t>
  </si>
  <si>
    <t>Performance</t>
  </si>
  <si>
    <t>Performance and goals (moved here or to P3 per OD-09)</t>
  </si>
  <si>
    <t>Who each persona is, what their scope resolves to, and — as importantly — what they must not see. The plant HR row is the one a client tests in week two.</t>
  </si>
  <si>
    <t>Weighted KRA/KPI with a calibration workbench</t>
  </si>
  <si>
    <t>§ PHASE 3 — DEPTH AND DIFFERENTIATION (weeks 41-64). Exit: ten clients live, a repeatable four-week implementation, a documented bake-off win.</t>
  </si>
  <si>
    <t>Who they are</t>
  </si>
  <si>
    <t>BL-140</t>
  </si>
  <si>
    <t>Can see</t>
  </si>
  <si>
    <t>Cannot see</t>
  </si>
  <si>
    <t>Recruiting with position control and replacement-vs-addition</t>
  </si>
  <si>
    <t>Key screens</t>
  </si>
  <si>
    <t>TC-R461, TC-R462 pass</t>
  </si>
  <si>
    <t>BL-141</t>
  </si>
  <si>
    <t>Any person with an active assignment</t>
  </si>
  <si>
    <t>Skills graph and learning module</t>
  </si>
  <si>
    <t>Own attendance, payslip, balances, documents, learning, announcements</t>
  </si>
  <si>
    <t>Anyone else's record</t>
  </si>
  <si>
    <t>SCR-042, SCR-021, SCR-030, SCR-053</t>
  </si>
  <si>
    <t>Manager / supervisor</t>
  </si>
  <si>
    <t>Holds reporting-line responsibility</t>
  </si>
  <si>
    <t>Own reporting subtree</t>
  </si>
  <si>
    <t>Team attendance, leave, approvals, team history, profile cards</t>
  </si>
  <si>
    <t>Compensation outside their line; wellbeing signals of any individual</t>
  </si>
  <si>
    <t>SCR-040, SCR-027, SCR-022</t>
  </si>
  <si>
    <t>Induction paths and compliance training assigned by event</t>
  </si>
  <si>
    <t>Plant HR / time office</t>
  </si>
  <si>
    <t>HR at a site</t>
  </si>
  <si>
    <t>BL-142</t>
  </si>
  <si>
    <t>Location grant, can_edit_time</t>
  </si>
  <si>
    <t>Attendance and time records for the site, including head-office-payrolled staff at that site</t>
  </si>
  <si>
    <t>Payroll Preparer and Compliance Watcher agents</t>
  </si>
  <si>
    <t>Any compensation or rate field for populations outside their payroll group</t>
  </si>
  <si>
    <t>SCR-022, SCR-025, SCR-061</t>
  </si>
  <si>
    <t>HR operations</t>
  </si>
  <si>
    <t>Core HR at entity level</t>
  </si>
  <si>
    <t>Entity grant</t>
  </si>
  <si>
    <t>Both propose only; filing and payroll changes stay human</t>
  </si>
  <si>
    <t>Records, lifecycle, documents, leave administration, letters</t>
  </si>
  <si>
    <t>BL-143</t>
  </si>
  <si>
    <t>Payroll computation unless separately granted</t>
  </si>
  <si>
    <t>Compensation</t>
  </si>
  <si>
    <t>SCR-010, SCR-011, SCR-060, SCR-067</t>
  </si>
  <si>
    <t>Compensation and benefits in full, revision cycle</t>
  </si>
  <si>
    <t>Runs the cycle</t>
  </si>
  <si>
    <t>OPEN DECISIONS</t>
  </si>
  <si>
    <t>Everything in the run, salary structures, audit flags</t>
  </si>
  <si>
    <t>Records outside the payroll group</t>
  </si>
  <si>
    <t>Simulation wired into the revision cycle</t>
  </si>
  <si>
    <t>SCR-050, SCR-051, SCR-055</t>
  </si>
  <si>
    <t>BL-144</t>
  </si>
  <si>
    <t>Contingent</t>
  </si>
  <si>
    <t>Owns the GL handshake</t>
  </si>
  <si>
    <t>Decisions that gate work, what each blocks and when it must close. Deciding late is how a phase quietly becomes a phase and a half.</t>
  </si>
  <si>
    <t>Contract workforce, sub-populations, invoice reconciliation</t>
  </si>
  <si>
    <t>Entity</t>
  </si>
  <si>
    <t>Journal, mapping, reconciliation, bank file</t>
  </si>
  <si>
    <t>Individual HR data beyond what the journal drills to</t>
  </si>
  <si>
    <t>SCR-102, SCR-103, SCR-055</t>
  </si>
  <si>
    <t>Variance visible before payment</t>
  </si>
  <si>
    <t>Files returns and registers</t>
  </si>
  <si>
    <t>BL-145</t>
  </si>
  <si>
    <t>Entity + state</t>
  </si>
  <si>
    <t>Decision</t>
  </si>
  <si>
    <t>Obligations, forms, registers, rule packs, evidence</t>
  </si>
  <si>
    <t>MCP surface over the governed tool registry</t>
  </si>
  <si>
    <t>Why it matters</t>
  </si>
  <si>
    <t>Compensation detail beyond statutory needs</t>
  </si>
  <si>
    <t>Blocks</t>
  </si>
  <si>
    <t>Must close by</t>
  </si>
  <si>
    <t>Configures the tenant</t>
  </si>
  <si>
    <t>Build the tool layer once, expose it twice</t>
  </si>
  <si>
    <t>Current lean</t>
  </si>
  <si>
    <t>Tenant</t>
  </si>
  <si>
    <t>BL-146</t>
  </si>
  <si>
    <t>All configuration objects, workflow builder, simulation</t>
  </si>
  <si>
    <t>Production personal data beyond what configuration requires</t>
  </si>
  <si>
    <t>SOC 2 Type I</t>
  </si>
  <si>
    <t>OD-01</t>
  </si>
  <si>
    <t>SCR-032, SCR-100, SCR-007</t>
  </si>
  <si>
    <t>Owns users and scope</t>
  </si>
  <si>
    <t>Node framework: NestJS for structure vs Fastify for speed and simplicity</t>
  </si>
  <si>
    <t>Principals, roles, grants, agent policy</t>
  </si>
  <si>
    <t>Evidence collection started in month 1, not month 11</t>
  </si>
  <si>
    <t>Shapes every module boundary and testing approach</t>
  </si>
  <si>
    <t>Payroll amounts unless separately granted</t>
  </si>
  <si>
    <t>§ PHASE 4 — SCALE (weeks 65-96)</t>
  </si>
  <si>
    <t>SCR-005, SCR-110</t>
  </si>
  <si>
    <t>Phase 0 week 2</t>
  </si>
  <si>
    <t>Engineering lead</t>
  </si>
  <si>
    <t>Director / approver</t>
  </si>
  <si>
    <t>Sanction and override authority</t>
  </si>
  <si>
    <t>Items routed to them, with the rules being waived named</t>
  </si>
  <si>
    <t>Routine operational data</t>
  </si>
  <si>
    <t>OD-02</t>
  </si>
  <si>
    <t>BL-150</t>
  </si>
  <si>
    <t>SCR-040, SCR-080</t>
  </si>
  <si>
    <t>Capability</t>
  </si>
  <si>
    <t>Auditor</t>
  </si>
  <si>
    <t>Hosting: ECS vs EKS</t>
  </si>
  <si>
    <t>Internal or external</t>
  </si>
  <si>
    <t>Capability Index and wellbeing, with the separate store and access control</t>
  </si>
  <si>
    <t>Read-only, scoped</t>
  </si>
  <si>
    <t>Operability at 2 a.m. matters more than the diagram</t>
  </si>
  <si>
    <t>Audit trail, action ledger, rule pack history, reconciliation</t>
  </si>
  <si>
    <t>P4</t>
  </si>
  <si>
    <t>Write access of any kind</t>
  </si>
  <si>
    <t>Phase 0 week 4</t>
  </si>
  <si>
    <t>SCR-110, SCR-103</t>
  </si>
  <si>
    <t>Agent principal</t>
  </si>
  <si>
    <t>Whichever the team can operate</t>
  </si>
  <si>
    <t>A Nucleus agent</t>
  </si>
  <si>
    <t>No individual wellbeing signal reaches a manager, ever</t>
  </si>
  <si>
    <t>OD-03</t>
  </si>
  <si>
    <t>Scoped role, narrower than its human owner</t>
  </si>
  <si>
    <t>One mobile app for employees and managers, or two</t>
  </si>
  <si>
    <t>Only what its tools expose</t>
  </si>
  <si>
    <t>BL-151</t>
  </si>
  <si>
    <t>Bundle size and Android-heavy audience</t>
  </si>
  <si>
    <t>Any path to data that is not a declared tool</t>
  </si>
  <si>
    <t>BL-010, BL-080</t>
  </si>
  <si>
    <t>Multi-country</t>
  </si>
  <si>
    <t>Phase 0 exit</t>
  </si>
  <si>
    <t>UAE and Singapore packs</t>
  </si>
  <si>
    <t>One app, role-aware</t>
  </si>
  <si>
    <t>OD-04</t>
  </si>
  <si>
    <t>Learning built native or delivered by an external LXP behind the Module 10 contract</t>
  </si>
  <si>
    <t>Decides P3 scope and the Magnetix relationship</t>
  </si>
  <si>
    <t>Phase 2</t>
  </si>
  <si>
    <t>Deb / Product</t>
  </si>
  <si>
    <t>Keep the contract stable either way</t>
  </si>
  <si>
    <t>Country abstraction proven by a second country</t>
  </si>
  <si>
    <t>OD-05</t>
  </si>
  <si>
    <t>BL-152</t>
  </si>
  <si>
    <t>First design partner and the industry whose playbook we optimise</t>
  </si>
  <si>
    <t>Channel</t>
  </si>
  <si>
    <t>Sets the shadow-run target and the implementation template</t>
  </si>
  <si>
    <t>White-label and partner console</t>
  </si>
  <si>
    <t>Phase 1 week 10</t>
  </si>
  <si>
    <t>Deb</t>
  </si>
  <si>
    <t>Manufacturing</t>
  </si>
  <si>
    <t>OD-06</t>
  </si>
  <si>
    <t>Register as a Consent Manager under DPDP, or stay strictly a processor</t>
  </si>
  <si>
    <t>A partner configures a tenant without engineering</t>
  </si>
  <si>
    <t>Affects the compliance build and contracts</t>
  </si>
  <si>
    <t>Phase 3</t>
  </si>
  <si>
    <t>Deb / counsel</t>
  </si>
  <si>
    <t>EFFORT SUMMARY (engineer-days, excluding QA and implementation overhead)</t>
  </si>
  <si>
    <t>Processor</t>
  </si>
  <si>
    <t>OD-07</t>
  </si>
  <si>
    <t>Master-data direction per tenant, and whether co-owned ships in Phase 1 or Phase 2</t>
  </si>
  <si>
    <t>GATES People Core schema work; cannot slip past Phase 0</t>
  </si>
  <si>
    <t>BL-011, BL-020, BL-102</t>
  </si>
  <si>
    <t>Phase 0 — hard gate</t>
  </si>
  <si>
    <t>Product + Engineering</t>
  </si>
  <si>
    <t>Support all three; ship co-owned in P1</t>
  </si>
  <si>
    <t>OD-08</t>
  </si>
  <si>
    <t>Default overtime basis: gross span or net hours</t>
  </si>
  <si>
    <t>Affects every attendance golden case and the central rule pack default</t>
  </si>
  <si>
    <t>BL-031, BL-110</t>
  </si>
  <si>
    <t>Phase 1 week 9</t>
  </si>
  <si>
    <t>Product + payroll SME</t>
  </si>
  <si>
    <t>Stories</t>
  </si>
  <si>
    <t>Gross for this client; default stated in the pack</t>
  </si>
  <si>
    <t>OD-09</t>
  </si>
  <si>
    <t>Which Phase 1 absorption option we take for the four to six engineer-weeks v1.1 added</t>
  </si>
  <si>
    <t>Deciding late is how Phase 1 quietly becomes Phase 1 and a half</t>
  </si>
  <si>
    <t>BL-034, BL-040, BL-132</t>
  </si>
  <si>
    <t>Deb / delivery lead</t>
  </si>
  <si>
    <t>Preference order: move Performance to P3; defer the second ingestion source; extend P1 by three weeks</t>
  </si>
  <si>
    <t>OD-10</t>
  </si>
  <si>
    <t>Break deduction default in the product (recorded-not-deducted vs deducted)</t>
  </si>
  <si>
    <t>Changes net minutes, disposition and OT for every client</t>
  </si>
  <si>
    <t>Configurable, no silent default</t>
  </si>
  <si>
    <t>OD-11</t>
  </si>
  <si>
    <t>Owner for the Form F joining-form item</t>
  </si>
  <si>
    <t>Named as unassigned in the blueprint's traceability annexure</t>
  </si>
  <si>
    <t>BL-060, BL-091</t>
  </si>
  <si>
    <t>Phase 1 week 12</t>
  </si>
  <si>
    <t>OD-12</t>
  </si>
  <si>
    <t>Whether the demo tenant ships as a permanent product asset (seeded from the demo dataset)</t>
  </si>
  <si>
    <t>A reusable sales and QA asset, or a one-off</t>
  </si>
  <si>
    <t>Phase 1</t>
  </si>
  <si>
    <t>Permanent, version-controlled</t>
  </si>
  <si>
    <t>OD-13</t>
  </si>
  <si>
    <t>Agent autonomy defaults for the first tenant</t>
  </si>
  <si>
    <t>Reversal rate is the number a prospect will ask for</t>
  </si>
  <si>
    <t>Propose-only at first tenant</t>
  </si>
  <si>
    <t>OD-14</t>
  </si>
  <si>
    <t>Payroll SME: hire or retain as a reviewer</t>
  </si>
  <si>
    <t>The highest-risk gap in the team; silent wrongness otherwise</t>
  </si>
  <si>
    <t>BL-054, BL-090</t>
  </si>
  <si>
    <t>Phase 0 — non-negotiable</t>
  </si>
  <si>
    <t>Retain a practising consultant</t>
  </si>
  <si>
    <t>TOTAL</t>
  </si>
  <si>
    <t>Assumption: effort is engineering days for a team of 6-7 as sized in blueprint §13. It excludes shadow-run support, implementation configuration and the payroll SME review time, all of which are real and are named in 22_Open_Decisions (OD-14).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</si>
</sst>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rgb="FF0B1B2E"/>
      <name val="Arial"/>
    </font>
    <font>
      <i/>
      <sz val="9.0"/>
      <color rgb="FF3C4E63"/>
      <name val="Arial"/>
    </font>
    <font>
      <b/>
      <sz val="9.0"/>
      <color rgb="FFFFFFFF"/>
      <name val="Arial"/>
    </font>
    <font>
      <sz val="9.0"/>
      <color rgb="FF0B1B2E"/>
      <name val="Arial"/>
    </font>
    <font>
      <b/>
      <sz val="9.0"/>
      <color rgb="FF0B1B2E"/>
      <name val="Arial"/>
    </font>
    <font>
      <b/>
      <sz val="10.0"/>
      <color rgb="FF0B1B2E"/>
      <name val="Arial"/>
    </font>
    <font>
      <i/>
      <sz val="9.0"/>
      <color rgb="FF0B1B2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B1B2E"/>
        <bgColor rgb="FF0B1B2E"/>
      </patternFill>
    </fill>
    <fill>
      <patternFill patternType="solid">
        <fgColor rgb="FF2DD4A8"/>
        <bgColor rgb="FF2DD4A8"/>
      </patternFill>
    </fill>
    <fill>
      <patternFill patternType="solid">
        <fgColor rgb="FFF2F5F8"/>
        <bgColor rgb="FFF2F5F8"/>
      </patternFill>
    </fill>
  </fills>
  <borders count="2">
    <border/>
    <border>
      <left style="thin">
        <color rgb="FFC6D0DA"/>
      </left>
      <right style="thin">
        <color rgb="FFC6D0DA"/>
      </right>
      <top style="thin">
        <color rgb="FFC6D0DA"/>
      </top>
      <bottom style="thin">
        <color rgb="FFC6D0DA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3" fontId="5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4" fontId="5" numFmtId="0" xfId="0" applyAlignment="1" applyBorder="1" applyFill="1" applyFont="1">
      <alignment shrinkToFit="0" vertical="bottom" wrapText="0"/>
    </xf>
    <xf borderId="1" fillId="3" fontId="5" numFmtId="0" xfId="0" applyAlignment="1" applyBorder="1" applyFill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1B2E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150.0"/>
    <col customWidth="1" min="3" max="26" width="8.71"/>
  </cols>
  <sheetData>
    <row r="1" ht="19.5" customHeight="1">
      <c r="A1" s="1" t="s">
        <v>1</v>
      </c>
    </row>
    <row r="2" ht="25.5" customHeight="1">
      <c r="A2" s="2" t="s">
        <v>4</v>
      </c>
    </row>
    <row r="4" ht="30.0" customHeight="1">
      <c r="A4" s="3" t="s">
        <v>7</v>
      </c>
      <c r="B4" s="3" t="s">
        <v>10</v>
      </c>
    </row>
    <row r="5">
      <c r="A5" s="4" t="s">
        <v>14</v>
      </c>
      <c r="B5" s="4"/>
    </row>
    <row r="6">
      <c r="A6" s="7" t="s">
        <v>20</v>
      </c>
      <c r="B6" s="7" t="s">
        <v>26</v>
      </c>
    </row>
    <row r="7">
      <c r="A7" s="4" t="s">
        <v>27</v>
      </c>
      <c r="B7" s="4" t="s">
        <v>28</v>
      </c>
    </row>
    <row r="8">
      <c r="A8" s="7" t="s">
        <v>32</v>
      </c>
      <c r="B8" s="7" t="s">
        <v>35</v>
      </c>
    </row>
    <row r="9">
      <c r="A9" s="4"/>
      <c r="B9" s="4"/>
    </row>
    <row r="10">
      <c r="A10" s="7" t="s">
        <v>40</v>
      </c>
      <c r="B10" s="7"/>
    </row>
    <row r="11">
      <c r="A11" s="4" t="s">
        <v>43</v>
      </c>
      <c r="B11" s="4" t="s">
        <v>47</v>
      </c>
    </row>
    <row r="12">
      <c r="A12" s="7" t="s">
        <v>49</v>
      </c>
      <c r="B12" s="7" t="s">
        <v>53</v>
      </c>
    </row>
    <row r="13">
      <c r="A13" s="4" t="s">
        <v>55</v>
      </c>
      <c r="B13" s="4" t="s">
        <v>59</v>
      </c>
    </row>
    <row r="14">
      <c r="A14" s="7" t="s">
        <v>62</v>
      </c>
      <c r="B14" s="7" t="s">
        <v>65</v>
      </c>
    </row>
    <row r="15">
      <c r="A15" s="4"/>
      <c r="B15" s="4"/>
    </row>
    <row r="16">
      <c r="A16" s="7" t="s">
        <v>72</v>
      </c>
      <c r="B16" s="7"/>
    </row>
    <row r="17">
      <c r="A17" s="4" t="s">
        <v>58</v>
      </c>
      <c r="B17" s="4" t="s">
        <v>79</v>
      </c>
    </row>
    <row r="18">
      <c r="A18" s="7" t="s">
        <v>84</v>
      </c>
      <c r="B18" s="7" t="s">
        <v>87</v>
      </c>
    </row>
    <row r="19">
      <c r="A19" s="4" t="s">
        <v>91</v>
      </c>
      <c r="B19" s="4" t="s">
        <v>94</v>
      </c>
    </row>
    <row r="20">
      <c r="A20" s="7" t="s">
        <v>98</v>
      </c>
      <c r="B20" s="7" t="s">
        <v>100</v>
      </c>
    </row>
    <row r="21" ht="15.75" customHeight="1">
      <c r="A21" s="4" t="s">
        <v>105</v>
      </c>
      <c r="B21" s="4" t="s">
        <v>108</v>
      </c>
    </row>
    <row r="22" ht="15.75" customHeight="1">
      <c r="A22" s="7" t="s">
        <v>110</v>
      </c>
      <c r="B22" s="7" t="s">
        <v>113</v>
      </c>
    </row>
    <row r="23" ht="15.75" customHeight="1">
      <c r="A23" s="4" t="s">
        <v>116</v>
      </c>
      <c r="B23" s="4" t="s">
        <v>119</v>
      </c>
    </row>
    <row r="24" ht="15.75" customHeight="1">
      <c r="A24" s="7" t="s">
        <v>122</v>
      </c>
      <c r="B24" s="7" t="s">
        <v>125</v>
      </c>
    </row>
    <row r="25" ht="15.75" customHeight="1">
      <c r="A25" s="4"/>
      <c r="B25" s="4"/>
    </row>
    <row r="26" ht="15.75" customHeight="1">
      <c r="A26" s="7" t="s">
        <v>131</v>
      </c>
      <c r="B26" s="7"/>
    </row>
    <row r="27" ht="15.75" customHeight="1">
      <c r="A27" s="4" t="s">
        <v>135</v>
      </c>
      <c r="B27" s="4" t="s">
        <v>140</v>
      </c>
    </row>
    <row r="28" ht="15.75" customHeight="1">
      <c r="A28" s="7" t="s">
        <v>143</v>
      </c>
      <c r="B28" s="7" t="s">
        <v>146</v>
      </c>
    </row>
    <row r="29" ht="15.75" customHeight="1">
      <c r="A29" s="4"/>
      <c r="B29" s="4"/>
    </row>
    <row r="30" ht="15.75" customHeight="1">
      <c r="A30" s="7" t="s">
        <v>152</v>
      </c>
      <c r="B30" s="7"/>
    </row>
    <row r="31" ht="15.75" customHeight="1">
      <c r="A31" s="4" t="s">
        <v>156</v>
      </c>
      <c r="B31" s="4" t="s">
        <v>159</v>
      </c>
    </row>
    <row r="32" ht="15.75" customHeight="1">
      <c r="A32" s="7" t="s">
        <v>161</v>
      </c>
      <c r="B32" s="7" t="s">
        <v>164</v>
      </c>
    </row>
    <row r="33" ht="15.75" customHeight="1">
      <c r="A33" s="4" t="s">
        <v>95</v>
      </c>
      <c r="B33" s="4" t="s">
        <v>170</v>
      </c>
    </row>
    <row r="34" ht="15.75" customHeight="1">
      <c r="A34" s="7" t="s">
        <v>173</v>
      </c>
      <c r="B34" s="7" t="s">
        <v>176</v>
      </c>
    </row>
    <row r="35" ht="15.75" customHeight="1">
      <c r="A35" s="4" t="s">
        <v>179</v>
      </c>
      <c r="B35" s="4" t="s">
        <v>183</v>
      </c>
    </row>
    <row r="36" ht="15.75" customHeight="1">
      <c r="A36" s="7"/>
      <c r="B36" s="7"/>
    </row>
    <row r="37" ht="15.75" customHeight="1">
      <c r="A37" s="4" t="s">
        <v>188</v>
      </c>
      <c r="B37" s="4"/>
    </row>
    <row r="38" ht="15.75" customHeight="1">
      <c r="A38" s="7" t="s">
        <v>192</v>
      </c>
      <c r="B38" s="7" t="s">
        <v>197</v>
      </c>
    </row>
    <row r="39" ht="15.75" customHeight="1">
      <c r="A39" s="4" t="s">
        <v>201</v>
      </c>
      <c r="B39" s="4" t="s">
        <v>205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B$39"/>
  <mergeCells count="2">
    <mergeCell ref="A1:B1"/>
    <mergeCell ref="A2:B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88.0"/>
    <col customWidth="1" min="3" max="3" width="30.0"/>
    <col customWidth="1" min="4" max="4" width="34.0"/>
    <col customWidth="1" min="5" max="26" width="8.71"/>
  </cols>
  <sheetData>
    <row r="1" ht="19.5" customHeight="1">
      <c r="A1" s="1" t="s">
        <v>0</v>
      </c>
    </row>
    <row r="2" ht="25.5" customHeight="1">
      <c r="A2" s="2" t="s">
        <v>3</v>
      </c>
    </row>
    <row r="4" ht="30.0" customHeight="1">
      <c r="A4" s="3" t="s">
        <v>6</v>
      </c>
      <c r="B4" s="3" t="s">
        <v>9</v>
      </c>
      <c r="C4" s="3" t="s">
        <v>11</v>
      </c>
      <c r="D4" s="3" t="s">
        <v>12</v>
      </c>
    </row>
    <row r="5">
      <c r="A5" s="5" t="s">
        <v>16</v>
      </c>
      <c r="B5" s="4" t="s">
        <v>21</v>
      </c>
      <c r="C5" s="5" t="s">
        <v>22</v>
      </c>
      <c r="D5" s="4" t="s">
        <v>23</v>
      </c>
    </row>
    <row r="6">
      <c r="A6" s="8" t="s">
        <v>24</v>
      </c>
      <c r="B6" s="7" t="s">
        <v>29</v>
      </c>
      <c r="C6" s="8" t="s">
        <v>22</v>
      </c>
      <c r="D6" s="7" t="s">
        <v>34</v>
      </c>
    </row>
    <row r="7">
      <c r="A7" s="5" t="s">
        <v>37</v>
      </c>
      <c r="B7" s="4" t="s">
        <v>39</v>
      </c>
      <c r="C7" s="5" t="s">
        <v>41</v>
      </c>
      <c r="D7" s="4" t="s">
        <v>42</v>
      </c>
    </row>
    <row r="8">
      <c r="A8" s="8" t="s">
        <v>46</v>
      </c>
      <c r="B8" s="7" t="s">
        <v>48</v>
      </c>
      <c r="C8" s="8" t="s">
        <v>51</v>
      </c>
      <c r="D8" s="7" t="s">
        <v>52</v>
      </c>
    </row>
    <row r="9">
      <c r="A9" s="5" t="s">
        <v>56</v>
      </c>
      <c r="B9" s="4" t="s">
        <v>60</v>
      </c>
      <c r="C9" s="5" t="s">
        <v>63</v>
      </c>
      <c r="D9" s="4" t="s">
        <v>67</v>
      </c>
    </row>
    <row r="10">
      <c r="A10" s="8" t="s">
        <v>70</v>
      </c>
      <c r="B10" s="7" t="s">
        <v>73</v>
      </c>
      <c r="C10" s="8" t="s">
        <v>76</v>
      </c>
      <c r="D10" s="7" t="s">
        <v>77</v>
      </c>
    </row>
    <row r="11">
      <c r="A11" s="5" t="s">
        <v>80</v>
      </c>
      <c r="B11" s="4" t="s">
        <v>83</v>
      </c>
      <c r="C11" s="5" t="s">
        <v>88</v>
      </c>
      <c r="D11" s="4" t="s">
        <v>92</v>
      </c>
    </row>
    <row r="12">
      <c r="A12" s="8" t="s">
        <v>96</v>
      </c>
      <c r="B12" s="7" t="s">
        <v>99</v>
      </c>
      <c r="C12" s="8" t="s">
        <v>102</v>
      </c>
      <c r="D12" s="7" t="s">
        <v>106</v>
      </c>
    </row>
    <row r="13">
      <c r="A13" s="5" t="s">
        <v>111</v>
      </c>
      <c r="B13" s="4" t="s">
        <v>114</v>
      </c>
      <c r="C13" s="5" t="s">
        <v>117</v>
      </c>
      <c r="D13" s="4" t="s">
        <v>120</v>
      </c>
    </row>
    <row r="14">
      <c r="A14" s="8" t="s">
        <v>124</v>
      </c>
      <c r="B14" s="7" t="s">
        <v>127</v>
      </c>
      <c r="C14" s="8" t="s">
        <v>129</v>
      </c>
      <c r="D14" s="7" t="s">
        <v>130</v>
      </c>
    </row>
    <row r="15">
      <c r="A15" s="5" t="s">
        <v>133</v>
      </c>
      <c r="B15" s="4" t="s">
        <v>136</v>
      </c>
      <c r="C15" s="5" t="s">
        <v>138</v>
      </c>
      <c r="D15" s="4" t="s">
        <v>141</v>
      </c>
    </row>
    <row r="16">
      <c r="A16" s="8" t="s">
        <v>144</v>
      </c>
      <c r="B16" s="7" t="s">
        <v>147</v>
      </c>
      <c r="C16" s="8" t="s">
        <v>63</v>
      </c>
      <c r="D16" s="7" t="s">
        <v>151</v>
      </c>
    </row>
    <row r="17">
      <c r="A17" s="5" t="s">
        <v>155</v>
      </c>
      <c r="B17" s="4" t="s">
        <v>158</v>
      </c>
      <c r="C17" s="5" t="s">
        <v>49</v>
      </c>
      <c r="D17" s="4" t="s">
        <v>163</v>
      </c>
    </row>
    <row r="18">
      <c r="A18" s="8" t="s">
        <v>166</v>
      </c>
      <c r="B18" s="7" t="s">
        <v>168</v>
      </c>
      <c r="C18" s="8" t="s">
        <v>171</v>
      </c>
      <c r="D18" s="7" t="s">
        <v>174</v>
      </c>
    </row>
    <row r="19">
      <c r="A19" s="5" t="s">
        <v>178</v>
      </c>
      <c r="B19" s="4" t="s">
        <v>181</v>
      </c>
      <c r="C19" s="5" t="s">
        <v>184</v>
      </c>
      <c r="D19" s="4" t="s">
        <v>186</v>
      </c>
    </row>
    <row r="20">
      <c r="A20" s="8" t="s">
        <v>189</v>
      </c>
      <c r="B20" s="7" t="s">
        <v>191</v>
      </c>
      <c r="C20" s="8" t="s">
        <v>193</v>
      </c>
      <c r="D20" s="7" t="s">
        <v>196</v>
      </c>
    </row>
    <row r="21" ht="15.75" customHeight="1">
      <c r="A21" s="5" t="s">
        <v>199</v>
      </c>
      <c r="B21" s="4" t="s">
        <v>202</v>
      </c>
      <c r="C21" s="5" t="s">
        <v>22</v>
      </c>
      <c r="D21" s="4" t="s">
        <v>208</v>
      </c>
    </row>
    <row r="22" ht="15.75" customHeight="1">
      <c r="A22" s="8" t="s">
        <v>211</v>
      </c>
      <c r="B22" s="7" t="s">
        <v>214</v>
      </c>
      <c r="C22" s="8" t="s">
        <v>216</v>
      </c>
      <c r="D22" s="7" t="s">
        <v>219</v>
      </c>
    </row>
    <row r="23" ht="15.75" customHeight="1">
      <c r="A23" s="5" t="s">
        <v>222</v>
      </c>
      <c r="B23" s="4" t="s">
        <v>225</v>
      </c>
      <c r="C23" s="5" t="s">
        <v>227</v>
      </c>
      <c r="D23" s="4" t="s">
        <v>229</v>
      </c>
    </row>
    <row r="24" ht="15.75" customHeight="1">
      <c r="A24" s="8" t="s">
        <v>232</v>
      </c>
      <c r="B24" s="7" t="s">
        <v>234</v>
      </c>
      <c r="C24" s="8" t="s">
        <v>235</v>
      </c>
      <c r="D24" s="7" t="s">
        <v>244</v>
      </c>
    </row>
    <row r="25" ht="15.75" customHeight="1">
      <c r="A25" s="5" t="s">
        <v>247</v>
      </c>
      <c r="B25" s="4" t="s">
        <v>249</v>
      </c>
      <c r="C25" s="5" t="s">
        <v>252</v>
      </c>
      <c r="D25" s="4" t="s">
        <v>253</v>
      </c>
    </row>
    <row r="26" ht="15.75" customHeight="1">
      <c r="A26" s="8" t="s">
        <v>256</v>
      </c>
      <c r="B26" s="7" t="s">
        <v>258</v>
      </c>
      <c r="C26" s="8" t="s">
        <v>261</v>
      </c>
      <c r="D26" s="7" t="s">
        <v>263</v>
      </c>
    </row>
    <row r="27" ht="15.75" customHeight="1">
      <c r="A27" s="5" t="s">
        <v>266</v>
      </c>
      <c r="B27" s="4" t="s">
        <v>267</v>
      </c>
      <c r="C27" s="5" t="s">
        <v>269</v>
      </c>
      <c r="D27" s="4" t="s">
        <v>271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D$27"/>
  <mergeCells count="2">
    <mergeCell ref="A1:D1"/>
    <mergeCell ref="A2:D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78.0"/>
    <col customWidth="1" min="4" max="4" width="30.0"/>
    <col customWidth="1" min="5" max="5" width="14.0"/>
    <col customWidth="1" min="6" max="26" width="8.71"/>
  </cols>
  <sheetData>
    <row r="1" ht="19.5" customHeight="1">
      <c r="A1" s="1" t="s">
        <v>2</v>
      </c>
    </row>
    <row r="2" ht="25.5" customHeight="1">
      <c r="A2" s="2" t="s">
        <v>5</v>
      </c>
    </row>
    <row r="4" ht="30.0" customHeight="1">
      <c r="A4" s="3" t="s">
        <v>8</v>
      </c>
      <c r="B4" s="3" t="s">
        <v>13</v>
      </c>
      <c r="C4" s="3" t="s">
        <v>15</v>
      </c>
      <c r="D4" s="3" t="s">
        <v>17</v>
      </c>
      <c r="E4" s="3" t="s">
        <v>18</v>
      </c>
    </row>
    <row r="5">
      <c r="A5" s="6" t="s">
        <v>19</v>
      </c>
      <c r="B5" s="6"/>
      <c r="C5" s="6"/>
      <c r="D5" s="6"/>
      <c r="E5" s="6"/>
    </row>
    <row r="6">
      <c r="A6" s="8" t="s">
        <v>25</v>
      </c>
      <c r="B6" s="7" t="s">
        <v>31</v>
      </c>
      <c r="C6" s="7" t="s">
        <v>33</v>
      </c>
      <c r="D6" s="8" t="s">
        <v>36</v>
      </c>
      <c r="E6" s="8" t="s">
        <v>38</v>
      </c>
    </row>
    <row r="7">
      <c r="A7" s="5" t="s">
        <v>44</v>
      </c>
      <c r="B7" s="4" t="s">
        <v>50</v>
      </c>
      <c r="C7" s="4" t="s">
        <v>54</v>
      </c>
      <c r="D7" s="5" t="s">
        <v>57</v>
      </c>
      <c r="E7" s="5" t="s">
        <v>61</v>
      </c>
    </row>
    <row r="8">
      <c r="A8" s="8" t="s">
        <v>64</v>
      </c>
      <c r="B8" s="7" t="s">
        <v>68</v>
      </c>
      <c r="C8" s="7" t="s">
        <v>71</v>
      </c>
      <c r="D8" s="8" t="s">
        <v>75</v>
      </c>
      <c r="E8" s="8" t="s">
        <v>61</v>
      </c>
    </row>
    <row r="9">
      <c r="A9" s="5" t="s">
        <v>82</v>
      </c>
      <c r="B9" s="4" t="s">
        <v>85</v>
      </c>
      <c r="C9" s="4" t="s">
        <v>89</v>
      </c>
      <c r="D9" s="5" t="s">
        <v>93</v>
      </c>
      <c r="E9" s="5" t="s">
        <v>61</v>
      </c>
    </row>
    <row r="10">
      <c r="A10" s="8" t="s">
        <v>103</v>
      </c>
      <c r="B10" s="7" t="s">
        <v>107</v>
      </c>
      <c r="C10" s="7" t="s">
        <v>109</v>
      </c>
      <c r="D10" s="8" t="s">
        <v>112</v>
      </c>
      <c r="E10" s="8" t="s">
        <v>61</v>
      </c>
    </row>
    <row r="11">
      <c r="A11" s="5" t="s">
        <v>118</v>
      </c>
      <c r="B11" s="4" t="s">
        <v>121</v>
      </c>
      <c r="C11" s="4" t="s">
        <v>123</v>
      </c>
      <c r="D11" s="5" t="s">
        <v>126</v>
      </c>
      <c r="E11" s="5" t="s">
        <v>128</v>
      </c>
    </row>
    <row r="12">
      <c r="A12" s="8" t="s">
        <v>132</v>
      </c>
      <c r="B12" s="7" t="s">
        <v>134</v>
      </c>
      <c r="C12" s="7" t="s">
        <v>137</v>
      </c>
      <c r="D12" s="8" t="s">
        <v>139</v>
      </c>
      <c r="E12" s="8" t="s">
        <v>61</v>
      </c>
    </row>
    <row r="13">
      <c r="A13" s="5" t="s">
        <v>145</v>
      </c>
      <c r="B13" s="4" t="s">
        <v>148</v>
      </c>
      <c r="C13" s="4" t="s">
        <v>150</v>
      </c>
      <c r="D13" s="5" t="s">
        <v>153</v>
      </c>
      <c r="E13" s="5" t="s">
        <v>61</v>
      </c>
    </row>
    <row r="14">
      <c r="A14" s="8"/>
      <c r="B14" s="7"/>
      <c r="C14" s="7"/>
      <c r="D14" s="8"/>
      <c r="E14" s="8"/>
    </row>
    <row r="15">
      <c r="A15" s="6" t="s">
        <v>167</v>
      </c>
      <c r="B15" s="6"/>
      <c r="C15" s="6"/>
      <c r="D15" s="6"/>
      <c r="E15" s="6"/>
    </row>
    <row r="16">
      <c r="A16" s="8" t="s">
        <v>154</v>
      </c>
      <c r="B16" s="7" t="s">
        <v>177</v>
      </c>
      <c r="C16" s="7" t="s">
        <v>182</v>
      </c>
      <c r="D16" s="8" t="s">
        <v>185</v>
      </c>
      <c r="E16" s="8" t="s">
        <v>172</v>
      </c>
    </row>
    <row r="17">
      <c r="A17" s="5" t="s">
        <v>190</v>
      </c>
      <c r="B17" s="4" t="s">
        <v>195</v>
      </c>
      <c r="C17" s="4" t="s">
        <v>198</v>
      </c>
      <c r="D17" s="5" t="s">
        <v>203</v>
      </c>
      <c r="E17" s="5" t="s">
        <v>207</v>
      </c>
    </row>
    <row r="18">
      <c r="A18" s="8" t="s">
        <v>210</v>
      </c>
      <c r="B18" s="7" t="s">
        <v>213</v>
      </c>
      <c r="C18" s="7" t="s">
        <v>215</v>
      </c>
      <c r="D18" s="8" t="s">
        <v>218</v>
      </c>
      <c r="E18" s="8" t="s">
        <v>221</v>
      </c>
    </row>
    <row r="19">
      <c r="A19" s="5" t="s">
        <v>224</v>
      </c>
      <c r="B19" s="4" t="s">
        <v>226</v>
      </c>
      <c r="C19" s="4" t="s">
        <v>230</v>
      </c>
      <c r="D19" s="5" t="s">
        <v>218</v>
      </c>
      <c r="E19" s="5" t="s">
        <v>221</v>
      </c>
    </row>
    <row r="20">
      <c r="A20" s="8" t="s">
        <v>85</v>
      </c>
      <c r="B20" s="7" t="s">
        <v>236</v>
      </c>
      <c r="C20" s="7" t="s">
        <v>237</v>
      </c>
      <c r="D20" s="8" t="s">
        <v>239</v>
      </c>
      <c r="E20" s="8" t="s">
        <v>221</v>
      </c>
    </row>
    <row r="21" ht="15.75" customHeight="1">
      <c r="A21" s="5" t="s">
        <v>112</v>
      </c>
      <c r="B21" s="4" t="s">
        <v>245</v>
      </c>
      <c r="C21" s="4" t="s">
        <v>248</v>
      </c>
      <c r="D21" s="5" t="s">
        <v>251</v>
      </c>
      <c r="E21" s="5" t="s">
        <v>254</v>
      </c>
    </row>
    <row r="22" ht="15.75" customHeight="1">
      <c r="A22" s="8" t="s">
        <v>257</v>
      </c>
      <c r="B22" s="7" t="s">
        <v>260</v>
      </c>
      <c r="C22" s="7" t="s">
        <v>264</v>
      </c>
      <c r="D22" s="8" t="s">
        <v>255</v>
      </c>
      <c r="E22" s="8" t="s">
        <v>221</v>
      </c>
    </row>
    <row r="23" ht="15.75" customHeight="1">
      <c r="A23" s="5" t="s">
        <v>272</v>
      </c>
      <c r="B23" s="4" t="s">
        <v>274</v>
      </c>
      <c r="C23" s="4" t="s">
        <v>276</v>
      </c>
      <c r="D23" s="5" t="s">
        <v>277</v>
      </c>
      <c r="E23" s="5" t="s">
        <v>254</v>
      </c>
    </row>
    <row r="24" ht="15.75" customHeight="1">
      <c r="A24" s="8" t="s">
        <v>279</v>
      </c>
      <c r="B24" s="7" t="s">
        <v>281</v>
      </c>
      <c r="C24" s="7" t="s">
        <v>284</v>
      </c>
      <c r="D24" s="8" t="s">
        <v>286</v>
      </c>
      <c r="E24" s="8" t="s">
        <v>288</v>
      </c>
    </row>
    <row r="25" ht="15.75" customHeight="1">
      <c r="A25" s="5" t="s">
        <v>290</v>
      </c>
      <c r="B25" s="4" t="s">
        <v>292</v>
      </c>
      <c r="C25" s="4" t="s">
        <v>294</v>
      </c>
      <c r="D25" s="5" t="s">
        <v>296</v>
      </c>
      <c r="E25" s="5" t="s">
        <v>298</v>
      </c>
    </row>
    <row r="26" ht="15.75" customHeight="1">
      <c r="A26" s="8" t="s">
        <v>300</v>
      </c>
      <c r="B26" s="7" t="s">
        <v>301</v>
      </c>
      <c r="C26" s="7" t="s">
        <v>303</v>
      </c>
      <c r="D26" s="8" t="s">
        <v>305</v>
      </c>
      <c r="E26" s="8" t="s">
        <v>298</v>
      </c>
    </row>
    <row r="27" ht="15.75" customHeight="1">
      <c r="A27" s="5" t="s">
        <v>308</v>
      </c>
      <c r="B27" s="4" t="s">
        <v>310</v>
      </c>
      <c r="C27" s="4" t="s">
        <v>312</v>
      </c>
      <c r="D27" s="5" t="s">
        <v>313</v>
      </c>
      <c r="E27" s="5" t="s">
        <v>315</v>
      </c>
    </row>
    <row r="28" ht="15.75" customHeight="1">
      <c r="A28" s="8" t="s">
        <v>317</v>
      </c>
      <c r="B28" s="7" t="s">
        <v>320</v>
      </c>
      <c r="C28" s="7" t="s">
        <v>322</v>
      </c>
      <c r="D28" s="8" t="s">
        <v>323</v>
      </c>
      <c r="E28" s="8" t="s">
        <v>254</v>
      </c>
    </row>
    <row r="29" ht="15.75" customHeight="1">
      <c r="A29" s="5" t="s">
        <v>324</v>
      </c>
      <c r="B29" s="4" t="s">
        <v>325</v>
      </c>
      <c r="C29" s="4" t="s">
        <v>326</v>
      </c>
      <c r="D29" s="5" t="s">
        <v>328</v>
      </c>
      <c r="E29" s="5" t="s">
        <v>298</v>
      </c>
    </row>
    <row r="30" ht="15.75" customHeight="1">
      <c r="A30" s="8"/>
      <c r="B30" s="7"/>
      <c r="C30" s="7"/>
      <c r="D30" s="8"/>
      <c r="E30" s="8"/>
    </row>
    <row r="31" ht="15.75" customHeight="1">
      <c r="A31" s="6" t="s">
        <v>334</v>
      </c>
      <c r="B31" s="6"/>
      <c r="C31" s="6"/>
      <c r="D31" s="6"/>
      <c r="E31" s="6"/>
    </row>
    <row r="32" ht="15.75" customHeight="1">
      <c r="A32" s="8" t="s">
        <v>338</v>
      </c>
      <c r="B32" s="7" t="s">
        <v>340</v>
      </c>
      <c r="C32" s="7" t="s">
        <v>342</v>
      </c>
      <c r="D32" s="8" t="s">
        <v>343</v>
      </c>
      <c r="E32" s="8" t="s">
        <v>221</v>
      </c>
    </row>
    <row r="33" ht="15.75" customHeight="1">
      <c r="A33" s="5" t="s">
        <v>345</v>
      </c>
      <c r="B33" s="4" t="s">
        <v>346</v>
      </c>
      <c r="C33" s="4" t="s">
        <v>348</v>
      </c>
      <c r="D33" s="5" t="s">
        <v>349</v>
      </c>
      <c r="E33" s="5" t="s">
        <v>221</v>
      </c>
    </row>
    <row r="34" ht="15.75" customHeight="1">
      <c r="A34" s="8" t="s">
        <v>352</v>
      </c>
      <c r="B34" s="7" t="s">
        <v>354</v>
      </c>
      <c r="C34" s="7" t="s">
        <v>355</v>
      </c>
      <c r="D34" s="8" t="s">
        <v>357</v>
      </c>
      <c r="E34" s="8" t="s">
        <v>221</v>
      </c>
    </row>
    <row r="35" ht="15.75" customHeight="1">
      <c r="A35" s="5" t="s">
        <v>358</v>
      </c>
      <c r="B35" s="4" t="s">
        <v>359</v>
      </c>
      <c r="C35" s="4" t="s">
        <v>360</v>
      </c>
      <c r="D35" s="5" t="s">
        <v>362</v>
      </c>
      <c r="E35" s="5" t="s">
        <v>221</v>
      </c>
    </row>
    <row r="36" ht="15.75" customHeight="1">
      <c r="A36" s="8" t="s">
        <v>365</v>
      </c>
      <c r="B36" s="7" t="s">
        <v>367</v>
      </c>
      <c r="C36" s="7" t="s">
        <v>368</v>
      </c>
      <c r="D36" s="8" t="s">
        <v>370</v>
      </c>
      <c r="E36" s="8" t="s">
        <v>221</v>
      </c>
    </row>
    <row r="37" ht="15.75" customHeight="1">
      <c r="A37" s="5" t="s">
        <v>373</v>
      </c>
      <c r="B37" s="4" t="s">
        <v>374</v>
      </c>
      <c r="C37" s="4" t="s">
        <v>376</v>
      </c>
      <c r="D37" s="5" t="s">
        <v>377</v>
      </c>
      <c r="E37" s="5" t="s">
        <v>221</v>
      </c>
    </row>
    <row r="38" ht="15.75" customHeight="1">
      <c r="A38" s="8" t="s">
        <v>380</v>
      </c>
      <c r="B38" s="7" t="s">
        <v>382</v>
      </c>
      <c r="C38" s="7" t="s">
        <v>384</v>
      </c>
      <c r="D38" s="8" t="s">
        <v>385</v>
      </c>
      <c r="E38" s="8" t="s">
        <v>221</v>
      </c>
    </row>
    <row r="39" ht="15.75" customHeight="1">
      <c r="A39" s="5" t="s">
        <v>387</v>
      </c>
      <c r="B39" s="4" t="s">
        <v>389</v>
      </c>
      <c r="C39" s="4" t="s">
        <v>390</v>
      </c>
      <c r="D39" s="5" t="s">
        <v>391</v>
      </c>
      <c r="E39" s="5" t="s">
        <v>221</v>
      </c>
    </row>
    <row r="40" ht="15.75" customHeight="1">
      <c r="A40" s="8" t="s">
        <v>393</v>
      </c>
      <c r="B40" s="7" t="s">
        <v>394</v>
      </c>
      <c r="C40" s="7" t="s">
        <v>396</v>
      </c>
      <c r="D40" s="8" t="s">
        <v>398</v>
      </c>
      <c r="E40" s="8" t="s">
        <v>375</v>
      </c>
    </row>
    <row r="41" ht="15.75" customHeight="1">
      <c r="A41" s="5" t="s">
        <v>401</v>
      </c>
      <c r="B41" s="4" t="s">
        <v>402</v>
      </c>
      <c r="C41" s="4" t="s">
        <v>403</v>
      </c>
      <c r="D41" s="5" t="s">
        <v>404</v>
      </c>
      <c r="E41" s="5" t="s">
        <v>315</v>
      </c>
    </row>
    <row r="42" ht="15.75" customHeight="1">
      <c r="A42" s="8" t="s">
        <v>406</v>
      </c>
      <c r="B42" s="7" t="s">
        <v>408</v>
      </c>
      <c r="C42" s="7" t="s">
        <v>410</v>
      </c>
      <c r="D42" s="8" t="s">
        <v>412</v>
      </c>
      <c r="E42" s="8" t="s">
        <v>315</v>
      </c>
    </row>
    <row r="43" ht="15.75" customHeight="1">
      <c r="A43" s="5" t="s">
        <v>414</v>
      </c>
      <c r="B43" s="4" t="s">
        <v>415</v>
      </c>
      <c r="C43" s="4" t="s">
        <v>416</v>
      </c>
      <c r="D43" s="5" t="s">
        <v>187</v>
      </c>
      <c r="E43" s="5" t="s">
        <v>172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43"/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8.0"/>
    <col customWidth="1" min="4" max="4" width="26.0"/>
    <col customWidth="1" min="5" max="5" width="18.0"/>
    <col customWidth="1" min="6" max="6" width="14.0"/>
    <col customWidth="1" min="7" max="7" width="10.0"/>
    <col customWidth="1" min="8" max="8" width="16.0"/>
    <col customWidth="1" min="9" max="9" width="7.0"/>
    <col customWidth="1" min="10" max="10" width="13.0"/>
    <col customWidth="1" min="11" max="11" width="9.0"/>
    <col customWidth="1" min="12" max="12" width="62.0"/>
    <col customWidth="1" min="13" max="26" width="8.71"/>
  </cols>
  <sheetData>
    <row r="1" ht="19.5" customHeight="1">
      <c r="A1" s="1" t="s">
        <v>30</v>
      </c>
    </row>
    <row r="2" ht="25.5" customHeight="1">
      <c r="A2" s="2" t="s">
        <v>45</v>
      </c>
    </row>
    <row r="4" ht="30.0" customHeight="1">
      <c r="A4" s="3" t="s">
        <v>58</v>
      </c>
      <c r="B4" s="3" t="s">
        <v>66</v>
      </c>
      <c r="C4" s="3" t="s">
        <v>69</v>
      </c>
      <c r="D4" s="3" t="s">
        <v>74</v>
      </c>
      <c r="E4" s="3" t="s">
        <v>78</v>
      </c>
      <c r="F4" s="3" t="s">
        <v>81</v>
      </c>
      <c r="G4" s="3" t="s">
        <v>86</v>
      </c>
      <c r="H4" s="3" t="s">
        <v>90</v>
      </c>
      <c r="I4" s="3" t="s">
        <v>95</v>
      </c>
      <c r="J4" s="3" t="s">
        <v>97</v>
      </c>
      <c r="K4" s="3" t="s">
        <v>101</v>
      </c>
      <c r="L4" s="3" t="s">
        <v>104</v>
      </c>
    </row>
    <row r="5">
      <c r="A5" s="6" t="s">
        <v>115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>
      <c r="A6" s="8" t="s">
        <v>142</v>
      </c>
      <c r="B6" s="7" t="s">
        <v>149</v>
      </c>
      <c r="C6" s="8" t="s">
        <v>154</v>
      </c>
      <c r="D6" s="7" t="s">
        <v>157</v>
      </c>
      <c r="E6" s="7" t="s">
        <v>160</v>
      </c>
      <c r="F6" s="8" t="s">
        <v>162</v>
      </c>
      <c r="G6" s="8" t="s">
        <v>165</v>
      </c>
      <c r="H6" s="8" t="s">
        <v>169</v>
      </c>
      <c r="I6" s="8" t="s">
        <v>172</v>
      </c>
      <c r="J6" s="8" t="s">
        <v>175</v>
      </c>
      <c r="K6" s="8"/>
      <c r="L6" s="7" t="s">
        <v>180</v>
      </c>
    </row>
    <row r="7">
      <c r="A7" s="5" t="s">
        <v>187</v>
      </c>
      <c r="B7" s="4" t="s">
        <v>194</v>
      </c>
      <c r="C7" s="5" t="s">
        <v>154</v>
      </c>
      <c r="D7" s="4" t="s">
        <v>200</v>
      </c>
      <c r="E7" s="4" t="s">
        <v>204</v>
      </c>
      <c r="F7" s="5" t="s">
        <v>206</v>
      </c>
      <c r="G7" s="5" t="s">
        <v>209</v>
      </c>
      <c r="H7" s="5" t="s">
        <v>212</v>
      </c>
      <c r="I7" s="5" t="s">
        <v>172</v>
      </c>
      <c r="J7" s="5" t="s">
        <v>217</v>
      </c>
      <c r="K7" s="5" t="s">
        <v>220</v>
      </c>
      <c r="L7" s="4" t="s">
        <v>223</v>
      </c>
    </row>
    <row r="8">
      <c r="A8" s="8" t="s">
        <v>228</v>
      </c>
      <c r="B8" s="7" t="s">
        <v>231</v>
      </c>
      <c r="C8" s="8" t="s">
        <v>154</v>
      </c>
      <c r="D8" s="7" t="s">
        <v>233</v>
      </c>
      <c r="E8" s="7" t="s">
        <v>160</v>
      </c>
      <c r="F8" s="8" t="s">
        <v>206</v>
      </c>
      <c r="G8" s="8" t="s">
        <v>209</v>
      </c>
      <c r="H8" s="8" t="s">
        <v>169</v>
      </c>
      <c r="I8" s="8" t="s">
        <v>172</v>
      </c>
      <c r="J8" s="8" t="s">
        <v>238</v>
      </c>
      <c r="K8" s="8" t="s">
        <v>240</v>
      </c>
      <c r="L8" s="7" t="s">
        <v>241</v>
      </c>
    </row>
    <row r="9">
      <c r="A9" s="5" t="s">
        <v>242</v>
      </c>
      <c r="B9" s="4" t="s">
        <v>243</v>
      </c>
      <c r="C9" s="5" t="s">
        <v>154</v>
      </c>
      <c r="D9" s="4" t="s">
        <v>246</v>
      </c>
      <c r="E9" s="4" t="s">
        <v>160</v>
      </c>
      <c r="F9" s="5" t="s">
        <v>250</v>
      </c>
      <c r="G9" s="5" t="s">
        <v>165</v>
      </c>
      <c r="H9" s="5" t="s">
        <v>255</v>
      </c>
      <c r="I9" s="5" t="s">
        <v>172</v>
      </c>
      <c r="J9" s="5" t="s">
        <v>259</v>
      </c>
      <c r="K9" s="5" t="s">
        <v>262</v>
      </c>
      <c r="L9" s="4" t="s">
        <v>265</v>
      </c>
    </row>
    <row r="10">
      <c r="A10" s="8" t="s">
        <v>268</v>
      </c>
      <c r="B10" s="7" t="s">
        <v>270</v>
      </c>
      <c r="C10" s="8" t="s">
        <v>154</v>
      </c>
      <c r="D10" s="7" t="s">
        <v>273</v>
      </c>
      <c r="E10" s="7" t="s">
        <v>275</v>
      </c>
      <c r="F10" s="8" t="s">
        <v>206</v>
      </c>
      <c r="G10" s="8" t="s">
        <v>209</v>
      </c>
      <c r="H10" s="8" t="s">
        <v>255</v>
      </c>
      <c r="I10" s="8" t="s">
        <v>172</v>
      </c>
      <c r="J10" s="8" t="s">
        <v>259</v>
      </c>
      <c r="K10" s="8" t="s">
        <v>278</v>
      </c>
      <c r="L10" s="7" t="s">
        <v>280</v>
      </c>
    </row>
    <row r="11">
      <c r="A11" s="5" t="s">
        <v>282</v>
      </c>
      <c r="B11" s="4" t="s">
        <v>283</v>
      </c>
      <c r="C11" s="5" t="s">
        <v>154</v>
      </c>
      <c r="D11" s="4" t="s">
        <v>285</v>
      </c>
      <c r="E11" s="4" t="s">
        <v>287</v>
      </c>
      <c r="F11" s="5" t="s">
        <v>206</v>
      </c>
      <c r="G11" s="5" t="s">
        <v>209</v>
      </c>
      <c r="H11" s="5" t="s">
        <v>289</v>
      </c>
      <c r="I11" s="5" t="s">
        <v>172</v>
      </c>
      <c r="J11" s="5" t="s">
        <v>291</v>
      </c>
      <c r="K11" s="5"/>
      <c r="L11" s="4" t="s">
        <v>293</v>
      </c>
    </row>
    <row r="12">
      <c r="A12" s="8" t="s">
        <v>295</v>
      </c>
      <c r="B12" s="7" t="s">
        <v>297</v>
      </c>
      <c r="C12" s="8" t="s">
        <v>154</v>
      </c>
      <c r="D12" s="7" t="s">
        <v>299</v>
      </c>
      <c r="E12" s="7" t="s">
        <v>287</v>
      </c>
      <c r="F12" s="8" t="s">
        <v>206</v>
      </c>
      <c r="G12" s="8" t="s">
        <v>209</v>
      </c>
      <c r="H12" s="8" t="s">
        <v>302</v>
      </c>
      <c r="I12" s="8" t="s">
        <v>172</v>
      </c>
      <c r="J12" s="8" t="s">
        <v>304</v>
      </c>
      <c r="K12" s="8"/>
      <c r="L12" s="7" t="s">
        <v>306</v>
      </c>
    </row>
    <row r="13">
      <c r="A13" s="5" t="s">
        <v>307</v>
      </c>
      <c r="B13" s="4" t="s">
        <v>309</v>
      </c>
      <c r="C13" s="5" t="s">
        <v>154</v>
      </c>
      <c r="D13" s="4" t="s">
        <v>311</v>
      </c>
      <c r="E13" s="4" t="s">
        <v>287</v>
      </c>
      <c r="F13" s="5" t="s">
        <v>206</v>
      </c>
      <c r="G13" s="5" t="s">
        <v>209</v>
      </c>
      <c r="H13" s="5" t="s">
        <v>314</v>
      </c>
      <c r="I13" s="5" t="s">
        <v>172</v>
      </c>
      <c r="J13" s="5" t="s">
        <v>316</v>
      </c>
      <c r="K13" s="5" t="s">
        <v>318</v>
      </c>
      <c r="L13" s="4" t="s">
        <v>319</v>
      </c>
    </row>
    <row r="14">
      <c r="A14" s="6" t="s">
        <v>321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>
      <c r="A15" s="5" t="s">
        <v>327</v>
      </c>
      <c r="B15" s="4" t="s">
        <v>329</v>
      </c>
      <c r="C15" s="5" t="s">
        <v>190</v>
      </c>
      <c r="D15" s="4" t="s">
        <v>330</v>
      </c>
      <c r="E15" s="4" t="s">
        <v>331</v>
      </c>
      <c r="F15" s="5" t="s">
        <v>332</v>
      </c>
      <c r="G15" s="5" t="s">
        <v>209</v>
      </c>
      <c r="H15" s="5" t="s">
        <v>203</v>
      </c>
      <c r="I15" s="5" t="s">
        <v>221</v>
      </c>
      <c r="J15" s="5" t="s">
        <v>333</v>
      </c>
      <c r="K15" s="5" t="s">
        <v>335</v>
      </c>
      <c r="L15" s="4" t="s">
        <v>336</v>
      </c>
    </row>
    <row r="16">
      <c r="A16" s="8" t="s">
        <v>337</v>
      </c>
      <c r="B16" s="7" t="s">
        <v>339</v>
      </c>
      <c r="C16" s="8" t="s">
        <v>190</v>
      </c>
      <c r="D16" s="7" t="s">
        <v>341</v>
      </c>
      <c r="E16" s="7" t="s">
        <v>331</v>
      </c>
      <c r="F16" s="8" t="s">
        <v>344</v>
      </c>
      <c r="G16" s="8" t="s">
        <v>209</v>
      </c>
      <c r="H16" s="8" t="s">
        <v>203</v>
      </c>
      <c r="I16" s="8" t="s">
        <v>221</v>
      </c>
      <c r="J16" s="8" t="s">
        <v>347</v>
      </c>
      <c r="K16" s="8"/>
      <c r="L16" s="7" t="s">
        <v>350</v>
      </c>
    </row>
    <row r="17">
      <c r="A17" s="5" t="s">
        <v>351</v>
      </c>
      <c r="B17" s="4" t="s">
        <v>353</v>
      </c>
      <c r="C17" s="5" t="s">
        <v>190</v>
      </c>
      <c r="D17" s="4" t="s">
        <v>356</v>
      </c>
      <c r="E17" s="4" t="s">
        <v>287</v>
      </c>
      <c r="F17" s="5" t="s">
        <v>206</v>
      </c>
      <c r="G17" s="5" t="s">
        <v>209</v>
      </c>
      <c r="H17" s="5" t="s">
        <v>203</v>
      </c>
      <c r="I17" s="5" t="s">
        <v>221</v>
      </c>
      <c r="J17" s="5" t="s">
        <v>316</v>
      </c>
      <c r="K17" s="5" t="s">
        <v>361</v>
      </c>
      <c r="L17" s="4" t="s">
        <v>363</v>
      </c>
    </row>
    <row r="18">
      <c r="A18" s="8" t="s">
        <v>364</v>
      </c>
      <c r="B18" s="7" t="s">
        <v>366</v>
      </c>
      <c r="C18" s="8" t="s">
        <v>190</v>
      </c>
      <c r="D18" s="7" t="s">
        <v>369</v>
      </c>
      <c r="E18" s="7" t="s">
        <v>371</v>
      </c>
      <c r="F18" s="8" t="s">
        <v>372</v>
      </c>
      <c r="G18" s="8" t="s">
        <v>165</v>
      </c>
      <c r="H18" s="8" t="s">
        <v>203</v>
      </c>
      <c r="I18" s="8" t="s">
        <v>375</v>
      </c>
      <c r="J18" s="8" t="s">
        <v>316</v>
      </c>
      <c r="K18" s="8" t="s">
        <v>378</v>
      </c>
      <c r="L18" s="7" t="s">
        <v>379</v>
      </c>
    </row>
    <row r="19">
      <c r="A19" s="5" t="s">
        <v>381</v>
      </c>
      <c r="B19" s="4" t="s">
        <v>383</v>
      </c>
      <c r="C19" s="5" t="s">
        <v>190</v>
      </c>
      <c r="D19" s="4" t="s">
        <v>386</v>
      </c>
      <c r="E19" s="4" t="s">
        <v>331</v>
      </c>
      <c r="F19" s="5" t="s">
        <v>250</v>
      </c>
      <c r="G19" s="5" t="s">
        <v>388</v>
      </c>
      <c r="H19" s="5" t="s">
        <v>203</v>
      </c>
      <c r="I19" s="5" t="s">
        <v>221</v>
      </c>
      <c r="J19" s="5" t="s">
        <v>316</v>
      </c>
      <c r="K19" s="5" t="s">
        <v>335</v>
      </c>
      <c r="L19" s="4" t="s">
        <v>392</v>
      </c>
    </row>
    <row r="20">
      <c r="A20" s="8" t="s">
        <v>395</v>
      </c>
      <c r="B20" s="7" t="s">
        <v>397</v>
      </c>
      <c r="C20" s="8" t="s">
        <v>190</v>
      </c>
      <c r="D20" s="7" t="s">
        <v>399</v>
      </c>
      <c r="E20" s="7" t="s">
        <v>400</v>
      </c>
      <c r="F20" s="8" t="s">
        <v>206</v>
      </c>
      <c r="G20" s="8" t="s">
        <v>388</v>
      </c>
      <c r="H20" s="8" t="s">
        <v>203</v>
      </c>
      <c r="I20" s="8" t="s">
        <v>221</v>
      </c>
      <c r="J20" s="8" t="s">
        <v>217</v>
      </c>
      <c r="K20" s="8" t="s">
        <v>405</v>
      </c>
      <c r="L20" s="7" t="s">
        <v>407</v>
      </c>
    </row>
    <row r="21" ht="15.75" customHeight="1">
      <c r="A21" s="5" t="s">
        <v>409</v>
      </c>
      <c r="B21" s="4" t="s">
        <v>411</v>
      </c>
      <c r="C21" s="5" t="s">
        <v>190</v>
      </c>
      <c r="D21" s="4" t="s">
        <v>413</v>
      </c>
      <c r="E21" s="4" t="s">
        <v>331</v>
      </c>
      <c r="F21" s="5" t="s">
        <v>250</v>
      </c>
      <c r="G21" s="5" t="s">
        <v>165</v>
      </c>
      <c r="H21" s="5" t="s">
        <v>203</v>
      </c>
      <c r="I21" s="5" t="s">
        <v>315</v>
      </c>
      <c r="J21" s="5" t="s">
        <v>316</v>
      </c>
      <c r="K21" s="5" t="s">
        <v>417</v>
      </c>
      <c r="L21" s="4" t="s">
        <v>418</v>
      </c>
    </row>
    <row r="22" ht="15.75" customHeight="1">
      <c r="A22" s="8" t="s">
        <v>419</v>
      </c>
      <c r="B22" s="7" t="s">
        <v>420</v>
      </c>
      <c r="C22" s="8" t="s">
        <v>190</v>
      </c>
      <c r="D22" s="7" t="s">
        <v>421</v>
      </c>
      <c r="E22" s="7" t="s">
        <v>422</v>
      </c>
      <c r="F22" s="8" t="s">
        <v>423</v>
      </c>
      <c r="G22" s="8" t="s">
        <v>165</v>
      </c>
      <c r="H22" s="8" t="s">
        <v>203</v>
      </c>
      <c r="I22" s="8" t="s">
        <v>315</v>
      </c>
      <c r="J22" s="8" t="s">
        <v>424</v>
      </c>
      <c r="K22" s="8" t="s">
        <v>425</v>
      </c>
      <c r="L22" s="7" t="s">
        <v>426</v>
      </c>
    </row>
    <row r="23" ht="15.75" customHeight="1">
      <c r="A23" s="6" t="s">
        <v>427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ht="15.75" customHeight="1">
      <c r="A24" s="8" t="s">
        <v>428</v>
      </c>
      <c r="B24" s="7" t="s">
        <v>429</v>
      </c>
      <c r="C24" s="8" t="s">
        <v>210</v>
      </c>
      <c r="D24" s="7" t="s">
        <v>430</v>
      </c>
      <c r="E24" s="7" t="s">
        <v>431</v>
      </c>
      <c r="F24" s="8" t="s">
        <v>432</v>
      </c>
      <c r="G24" s="8" t="s">
        <v>209</v>
      </c>
      <c r="H24" s="8" t="s">
        <v>218</v>
      </c>
      <c r="I24" s="8" t="s">
        <v>221</v>
      </c>
      <c r="J24" s="8" t="s">
        <v>304</v>
      </c>
      <c r="K24" s="8" t="s">
        <v>433</v>
      </c>
      <c r="L24" s="7" t="s">
        <v>434</v>
      </c>
    </row>
    <row r="25" ht="15.75" customHeight="1">
      <c r="A25" s="5" t="s">
        <v>435</v>
      </c>
      <c r="B25" s="4" t="s">
        <v>436</v>
      </c>
      <c r="C25" s="5" t="s">
        <v>210</v>
      </c>
      <c r="D25" s="4" t="s">
        <v>437</v>
      </c>
      <c r="E25" s="4" t="s">
        <v>287</v>
      </c>
      <c r="F25" s="5" t="s">
        <v>438</v>
      </c>
      <c r="G25" s="5" t="s">
        <v>209</v>
      </c>
      <c r="H25" s="5" t="s">
        <v>218</v>
      </c>
      <c r="I25" s="5" t="s">
        <v>221</v>
      </c>
      <c r="J25" s="5" t="s">
        <v>439</v>
      </c>
      <c r="K25" s="5" t="s">
        <v>433</v>
      </c>
      <c r="L25" s="4" t="s">
        <v>440</v>
      </c>
    </row>
    <row r="26" ht="15.75" customHeight="1">
      <c r="A26" s="8" t="s">
        <v>441</v>
      </c>
      <c r="B26" s="7" t="s">
        <v>442</v>
      </c>
      <c r="C26" s="8" t="s">
        <v>210</v>
      </c>
      <c r="D26" s="7" t="s">
        <v>443</v>
      </c>
      <c r="E26" s="7" t="s">
        <v>287</v>
      </c>
      <c r="F26" s="8" t="s">
        <v>444</v>
      </c>
      <c r="G26" s="8" t="s">
        <v>165</v>
      </c>
      <c r="H26" s="8" t="s">
        <v>218</v>
      </c>
      <c r="I26" s="8" t="s">
        <v>221</v>
      </c>
      <c r="J26" s="8" t="s">
        <v>445</v>
      </c>
      <c r="K26" s="8" t="s">
        <v>446</v>
      </c>
      <c r="L26" s="7" t="s">
        <v>447</v>
      </c>
    </row>
    <row r="27" ht="15.75" customHeight="1">
      <c r="A27" s="5" t="s">
        <v>448</v>
      </c>
      <c r="B27" s="4" t="s">
        <v>449</v>
      </c>
      <c r="C27" s="5" t="s">
        <v>210</v>
      </c>
      <c r="D27" s="4" t="s">
        <v>450</v>
      </c>
      <c r="E27" s="4" t="s">
        <v>287</v>
      </c>
      <c r="F27" s="5" t="s">
        <v>444</v>
      </c>
      <c r="G27" s="5" t="s">
        <v>209</v>
      </c>
      <c r="H27" s="5" t="s">
        <v>218</v>
      </c>
      <c r="I27" s="5" t="s">
        <v>221</v>
      </c>
      <c r="J27" s="5" t="s">
        <v>316</v>
      </c>
      <c r="K27" s="5" t="s">
        <v>451</v>
      </c>
      <c r="L27" s="4" t="s">
        <v>452</v>
      </c>
    </row>
    <row r="28" ht="15.75" customHeight="1">
      <c r="A28" s="8" t="s">
        <v>453</v>
      </c>
      <c r="B28" s="7" t="s">
        <v>454</v>
      </c>
      <c r="C28" s="8" t="s">
        <v>210</v>
      </c>
      <c r="D28" s="7" t="s">
        <v>455</v>
      </c>
      <c r="E28" s="7" t="s">
        <v>287</v>
      </c>
      <c r="F28" s="8" t="s">
        <v>444</v>
      </c>
      <c r="G28" s="8" t="s">
        <v>209</v>
      </c>
      <c r="H28" s="8" t="s">
        <v>218</v>
      </c>
      <c r="I28" s="8" t="s">
        <v>221</v>
      </c>
      <c r="J28" s="8" t="s">
        <v>439</v>
      </c>
      <c r="K28" s="8" t="s">
        <v>456</v>
      </c>
      <c r="L28" s="7" t="s">
        <v>457</v>
      </c>
    </row>
    <row r="29" ht="15.75" customHeight="1">
      <c r="A29" s="5" t="s">
        <v>458</v>
      </c>
      <c r="B29" s="4" t="s">
        <v>459</v>
      </c>
      <c r="C29" s="5" t="s">
        <v>210</v>
      </c>
      <c r="D29" s="4" t="s">
        <v>460</v>
      </c>
      <c r="E29" s="4" t="s">
        <v>461</v>
      </c>
      <c r="F29" s="5" t="s">
        <v>344</v>
      </c>
      <c r="G29" s="5" t="s">
        <v>165</v>
      </c>
      <c r="H29" s="5" t="s">
        <v>218</v>
      </c>
      <c r="I29" s="5" t="s">
        <v>221</v>
      </c>
      <c r="J29" s="5" t="s">
        <v>462</v>
      </c>
      <c r="K29" s="5" t="s">
        <v>463</v>
      </c>
      <c r="L29" s="4" t="s">
        <v>464</v>
      </c>
    </row>
    <row r="30" ht="15.75" customHeight="1">
      <c r="A30" s="8" t="s">
        <v>465</v>
      </c>
      <c r="B30" s="7" t="s">
        <v>466</v>
      </c>
      <c r="C30" s="8" t="s">
        <v>210</v>
      </c>
      <c r="D30" s="7" t="s">
        <v>467</v>
      </c>
      <c r="E30" s="7" t="s">
        <v>468</v>
      </c>
      <c r="F30" s="8" t="s">
        <v>332</v>
      </c>
      <c r="G30" s="8" t="s">
        <v>209</v>
      </c>
      <c r="H30" s="8" t="s">
        <v>218</v>
      </c>
      <c r="I30" s="8" t="s">
        <v>221</v>
      </c>
      <c r="J30" s="8" t="s">
        <v>469</v>
      </c>
      <c r="K30" s="8" t="s">
        <v>470</v>
      </c>
      <c r="L30" s="7" t="s">
        <v>471</v>
      </c>
    </row>
    <row r="31" ht="15.75" customHeight="1">
      <c r="A31" s="5" t="s">
        <v>472</v>
      </c>
      <c r="B31" s="4" t="s">
        <v>473</v>
      </c>
      <c r="C31" s="5" t="s">
        <v>210</v>
      </c>
      <c r="D31" s="4" t="s">
        <v>474</v>
      </c>
      <c r="E31" s="4" t="s">
        <v>475</v>
      </c>
      <c r="F31" s="5" t="s">
        <v>332</v>
      </c>
      <c r="G31" s="5" t="s">
        <v>165</v>
      </c>
      <c r="H31" s="5" t="s">
        <v>218</v>
      </c>
      <c r="I31" s="5" t="s">
        <v>221</v>
      </c>
      <c r="J31" s="5" t="s">
        <v>469</v>
      </c>
      <c r="K31" s="5" t="s">
        <v>433</v>
      </c>
      <c r="L31" s="4" t="s">
        <v>476</v>
      </c>
    </row>
    <row r="32" ht="15.75" customHeight="1">
      <c r="A32" s="8" t="s">
        <v>477</v>
      </c>
      <c r="B32" s="7" t="s">
        <v>478</v>
      </c>
      <c r="C32" s="8" t="s">
        <v>210</v>
      </c>
      <c r="D32" s="7" t="s">
        <v>479</v>
      </c>
      <c r="E32" s="7" t="s">
        <v>287</v>
      </c>
      <c r="F32" s="8" t="s">
        <v>206</v>
      </c>
      <c r="G32" s="8" t="s">
        <v>209</v>
      </c>
      <c r="H32" s="8" t="s">
        <v>218</v>
      </c>
      <c r="I32" s="8" t="s">
        <v>221</v>
      </c>
      <c r="J32" s="8" t="s">
        <v>445</v>
      </c>
      <c r="K32" s="8" t="s">
        <v>456</v>
      </c>
      <c r="L32" s="7" t="s">
        <v>480</v>
      </c>
    </row>
    <row r="33" ht="15.75" customHeight="1">
      <c r="A33" s="5" t="s">
        <v>481</v>
      </c>
      <c r="B33" s="4" t="s">
        <v>482</v>
      </c>
      <c r="C33" s="5" t="s">
        <v>210</v>
      </c>
      <c r="D33" s="4" t="s">
        <v>483</v>
      </c>
      <c r="E33" s="4" t="s">
        <v>468</v>
      </c>
      <c r="F33" s="5" t="s">
        <v>332</v>
      </c>
      <c r="G33" s="5" t="s">
        <v>165</v>
      </c>
      <c r="H33" s="5" t="s">
        <v>484</v>
      </c>
      <c r="I33" s="5" t="s">
        <v>221</v>
      </c>
      <c r="J33" s="5" t="s">
        <v>217</v>
      </c>
      <c r="K33" s="5" t="s">
        <v>433</v>
      </c>
      <c r="L33" s="4" t="s">
        <v>485</v>
      </c>
    </row>
    <row r="34" ht="15.75" customHeight="1">
      <c r="A34" s="6" t="s">
        <v>486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</row>
    <row r="35" ht="15.75" customHeight="1">
      <c r="A35" s="5" t="s">
        <v>488</v>
      </c>
      <c r="B35" s="4" t="s">
        <v>489</v>
      </c>
      <c r="C35" s="5" t="s">
        <v>224</v>
      </c>
      <c r="D35" s="4" t="s">
        <v>490</v>
      </c>
      <c r="E35" s="4" t="s">
        <v>287</v>
      </c>
      <c r="F35" s="5" t="s">
        <v>491</v>
      </c>
      <c r="G35" s="5" t="s">
        <v>209</v>
      </c>
      <c r="H35" s="5" t="s">
        <v>218</v>
      </c>
      <c r="I35" s="5" t="s">
        <v>221</v>
      </c>
      <c r="J35" s="5" t="s">
        <v>493</v>
      </c>
      <c r="K35" s="5" t="s">
        <v>494</v>
      </c>
      <c r="L35" s="4" t="s">
        <v>495</v>
      </c>
    </row>
    <row r="36" ht="15.75" customHeight="1">
      <c r="A36" s="8" t="s">
        <v>496</v>
      </c>
      <c r="B36" s="7" t="s">
        <v>497</v>
      </c>
      <c r="C36" s="8" t="s">
        <v>224</v>
      </c>
      <c r="D36" s="7" t="s">
        <v>498</v>
      </c>
      <c r="E36" s="7" t="s">
        <v>287</v>
      </c>
      <c r="F36" s="8" t="s">
        <v>423</v>
      </c>
      <c r="G36" s="8" t="s">
        <v>165</v>
      </c>
      <c r="H36" s="8" t="s">
        <v>218</v>
      </c>
      <c r="I36" s="8" t="s">
        <v>221</v>
      </c>
      <c r="J36" s="8" t="s">
        <v>493</v>
      </c>
      <c r="K36" s="8" t="s">
        <v>494</v>
      </c>
      <c r="L36" s="7" t="s">
        <v>502</v>
      </c>
    </row>
    <row r="37" ht="15.75" customHeight="1">
      <c r="A37" s="5" t="s">
        <v>504</v>
      </c>
      <c r="B37" s="4" t="s">
        <v>506</v>
      </c>
      <c r="C37" s="5" t="s">
        <v>224</v>
      </c>
      <c r="D37" s="4" t="s">
        <v>509</v>
      </c>
      <c r="E37" s="4" t="s">
        <v>287</v>
      </c>
      <c r="F37" s="5" t="s">
        <v>206</v>
      </c>
      <c r="G37" s="5" t="s">
        <v>165</v>
      </c>
      <c r="H37" s="5" t="s">
        <v>218</v>
      </c>
      <c r="I37" s="5" t="s">
        <v>221</v>
      </c>
      <c r="J37" s="5" t="s">
        <v>513</v>
      </c>
      <c r="K37" s="5" t="s">
        <v>494</v>
      </c>
      <c r="L37" s="4" t="s">
        <v>514</v>
      </c>
    </row>
    <row r="38" ht="15.75" customHeight="1">
      <c r="A38" s="8" t="s">
        <v>515</v>
      </c>
      <c r="B38" s="7" t="s">
        <v>516</v>
      </c>
      <c r="C38" s="8" t="s">
        <v>224</v>
      </c>
      <c r="D38" s="7" t="s">
        <v>517</v>
      </c>
      <c r="E38" s="7" t="s">
        <v>518</v>
      </c>
      <c r="F38" s="8" t="s">
        <v>206</v>
      </c>
      <c r="G38" s="8" t="s">
        <v>165</v>
      </c>
      <c r="H38" s="8" t="s">
        <v>218</v>
      </c>
      <c r="I38" s="8" t="s">
        <v>221</v>
      </c>
      <c r="J38" s="8" t="s">
        <v>259</v>
      </c>
      <c r="K38" s="8" t="s">
        <v>520</v>
      </c>
      <c r="L38" s="7" t="s">
        <v>521</v>
      </c>
    </row>
    <row r="39" ht="15.75" customHeight="1">
      <c r="A39" s="5" t="s">
        <v>522</v>
      </c>
      <c r="B39" s="4" t="s">
        <v>523</v>
      </c>
      <c r="C39" s="5" t="s">
        <v>224</v>
      </c>
      <c r="D39" s="4" t="s">
        <v>524</v>
      </c>
      <c r="E39" s="4" t="s">
        <v>525</v>
      </c>
      <c r="F39" s="5" t="s">
        <v>250</v>
      </c>
      <c r="G39" s="5" t="s">
        <v>209</v>
      </c>
      <c r="H39" s="5" t="s">
        <v>218</v>
      </c>
      <c r="I39" s="5" t="s">
        <v>221</v>
      </c>
      <c r="J39" s="5" t="s">
        <v>526</v>
      </c>
      <c r="K39" s="5" t="s">
        <v>520</v>
      </c>
      <c r="L39" s="4" t="s">
        <v>527</v>
      </c>
    </row>
    <row r="40" ht="15.75" customHeight="1">
      <c r="A40" s="8" t="s">
        <v>528</v>
      </c>
      <c r="B40" s="7" t="s">
        <v>529</v>
      </c>
      <c r="C40" s="8" t="s">
        <v>224</v>
      </c>
      <c r="D40" s="7" t="s">
        <v>530</v>
      </c>
      <c r="E40" s="7" t="s">
        <v>287</v>
      </c>
      <c r="F40" s="8" t="s">
        <v>491</v>
      </c>
      <c r="G40" s="8" t="s">
        <v>165</v>
      </c>
      <c r="H40" s="8" t="s">
        <v>218</v>
      </c>
      <c r="I40" s="8" t="s">
        <v>221</v>
      </c>
      <c r="J40" s="8" t="s">
        <v>513</v>
      </c>
      <c r="K40" s="8" t="s">
        <v>534</v>
      </c>
      <c r="L40" s="7" t="s">
        <v>536</v>
      </c>
    </row>
    <row r="41" ht="15.75" customHeight="1">
      <c r="A41" s="5" t="s">
        <v>538</v>
      </c>
      <c r="B41" s="4" t="s">
        <v>540</v>
      </c>
      <c r="C41" s="5" t="s">
        <v>224</v>
      </c>
      <c r="D41" s="4" t="s">
        <v>543</v>
      </c>
      <c r="E41" s="4" t="s">
        <v>287</v>
      </c>
      <c r="F41" s="5" t="s">
        <v>545</v>
      </c>
      <c r="G41" s="5" t="s">
        <v>165</v>
      </c>
      <c r="H41" s="5" t="s">
        <v>218</v>
      </c>
      <c r="I41" s="5" t="s">
        <v>221</v>
      </c>
      <c r="J41" s="5" t="s">
        <v>513</v>
      </c>
      <c r="K41" s="5" t="s">
        <v>494</v>
      </c>
      <c r="L41" s="4" t="s">
        <v>546</v>
      </c>
    </row>
    <row r="42" ht="15.75" customHeight="1">
      <c r="A42" s="8" t="s">
        <v>547</v>
      </c>
      <c r="B42" s="7" t="s">
        <v>548</v>
      </c>
      <c r="C42" s="8" t="s">
        <v>224</v>
      </c>
      <c r="D42" s="7" t="s">
        <v>549</v>
      </c>
      <c r="E42" s="7" t="s">
        <v>287</v>
      </c>
      <c r="F42" s="8" t="s">
        <v>206</v>
      </c>
      <c r="G42" s="8" t="s">
        <v>209</v>
      </c>
      <c r="H42" s="8" t="s">
        <v>218</v>
      </c>
      <c r="I42" s="8" t="s">
        <v>221</v>
      </c>
      <c r="J42" s="8" t="s">
        <v>513</v>
      </c>
      <c r="K42" s="8" t="s">
        <v>554</v>
      </c>
      <c r="L42" s="7" t="s">
        <v>556</v>
      </c>
    </row>
    <row r="43" ht="15.75" customHeight="1">
      <c r="A43" s="6" t="s">
        <v>558</v>
      </c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</row>
    <row r="44" ht="15.75" customHeight="1">
      <c r="A44" s="8" t="s">
        <v>560</v>
      </c>
      <c r="B44" s="7" t="s">
        <v>563</v>
      </c>
      <c r="C44" s="8" t="s">
        <v>85</v>
      </c>
      <c r="D44" s="7" t="s">
        <v>566</v>
      </c>
      <c r="E44" s="7" t="s">
        <v>567</v>
      </c>
      <c r="F44" s="8" t="s">
        <v>568</v>
      </c>
      <c r="G44" s="8" t="s">
        <v>209</v>
      </c>
      <c r="H44" s="8" t="s">
        <v>239</v>
      </c>
      <c r="I44" s="8" t="s">
        <v>221</v>
      </c>
      <c r="J44" s="8" t="s">
        <v>316</v>
      </c>
      <c r="K44" s="8" t="s">
        <v>570</v>
      </c>
      <c r="L44" s="7" t="s">
        <v>571</v>
      </c>
    </row>
    <row r="45" ht="15.75" customHeight="1">
      <c r="A45" s="5" t="s">
        <v>573</v>
      </c>
      <c r="B45" s="4" t="s">
        <v>574</v>
      </c>
      <c r="C45" s="5" t="s">
        <v>85</v>
      </c>
      <c r="D45" s="4" t="s">
        <v>577</v>
      </c>
      <c r="E45" s="4" t="s">
        <v>567</v>
      </c>
      <c r="F45" s="5" t="s">
        <v>580</v>
      </c>
      <c r="G45" s="5" t="s">
        <v>209</v>
      </c>
      <c r="H45" s="5" t="s">
        <v>239</v>
      </c>
      <c r="I45" s="5" t="s">
        <v>221</v>
      </c>
      <c r="J45" s="5" t="s">
        <v>584</v>
      </c>
      <c r="K45" s="5"/>
      <c r="L45" s="4" t="s">
        <v>585</v>
      </c>
    </row>
    <row r="46" ht="15.75" customHeight="1">
      <c r="A46" s="8" t="s">
        <v>586</v>
      </c>
      <c r="B46" s="7" t="s">
        <v>587</v>
      </c>
      <c r="C46" s="8" t="s">
        <v>85</v>
      </c>
      <c r="D46" s="7" t="s">
        <v>588</v>
      </c>
      <c r="E46" s="7" t="s">
        <v>591</v>
      </c>
      <c r="F46" s="8" t="s">
        <v>580</v>
      </c>
      <c r="G46" s="8" t="s">
        <v>209</v>
      </c>
      <c r="H46" s="8" t="s">
        <v>239</v>
      </c>
      <c r="I46" s="8" t="s">
        <v>221</v>
      </c>
      <c r="J46" s="8" t="s">
        <v>597</v>
      </c>
      <c r="K46" s="8" t="s">
        <v>598</v>
      </c>
      <c r="L46" s="7" t="s">
        <v>600</v>
      </c>
    </row>
    <row r="47" ht="15.75" customHeight="1">
      <c r="A47" s="5" t="s">
        <v>602</v>
      </c>
      <c r="B47" s="4" t="s">
        <v>603</v>
      </c>
      <c r="C47" s="5" t="s">
        <v>85</v>
      </c>
      <c r="D47" s="4" t="s">
        <v>604</v>
      </c>
      <c r="E47" s="4" t="s">
        <v>287</v>
      </c>
      <c r="F47" s="5" t="s">
        <v>580</v>
      </c>
      <c r="G47" s="5" t="s">
        <v>209</v>
      </c>
      <c r="H47" s="5" t="s">
        <v>239</v>
      </c>
      <c r="I47" s="5" t="s">
        <v>221</v>
      </c>
      <c r="J47" s="5" t="s">
        <v>608</v>
      </c>
      <c r="K47" s="5"/>
      <c r="L47" s="4" t="s">
        <v>610</v>
      </c>
    </row>
    <row r="48" ht="15.75" customHeight="1">
      <c r="A48" s="8" t="s">
        <v>611</v>
      </c>
      <c r="B48" s="7" t="s">
        <v>612</v>
      </c>
      <c r="C48" s="8" t="s">
        <v>85</v>
      </c>
      <c r="D48" s="7" t="s">
        <v>615</v>
      </c>
      <c r="E48" s="7" t="s">
        <v>287</v>
      </c>
      <c r="F48" s="8" t="s">
        <v>580</v>
      </c>
      <c r="G48" s="8" t="s">
        <v>209</v>
      </c>
      <c r="H48" s="8" t="s">
        <v>620</v>
      </c>
      <c r="I48" s="8" t="s">
        <v>221</v>
      </c>
      <c r="J48" s="8" t="s">
        <v>608</v>
      </c>
      <c r="K48" s="8"/>
      <c r="L48" s="7" t="s">
        <v>624</v>
      </c>
    </row>
    <row r="49" ht="15.75" customHeight="1">
      <c r="A49" s="5" t="s">
        <v>627</v>
      </c>
      <c r="B49" s="4" t="s">
        <v>629</v>
      </c>
      <c r="C49" s="5" t="s">
        <v>85</v>
      </c>
      <c r="D49" s="4" t="s">
        <v>632</v>
      </c>
      <c r="E49" s="4" t="s">
        <v>287</v>
      </c>
      <c r="F49" s="5" t="s">
        <v>580</v>
      </c>
      <c r="G49" s="5" t="s">
        <v>209</v>
      </c>
      <c r="H49" s="5" t="s">
        <v>239</v>
      </c>
      <c r="I49" s="5" t="s">
        <v>221</v>
      </c>
      <c r="J49" s="5" t="s">
        <v>608</v>
      </c>
      <c r="K49" s="5" t="s">
        <v>633</v>
      </c>
      <c r="L49" s="4" t="s">
        <v>636</v>
      </c>
    </row>
    <row r="50" ht="15.75" customHeight="1">
      <c r="A50" s="8" t="s">
        <v>638</v>
      </c>
      <c r="B50" s="7" t="s">
        <v>640</v>
      </c>
      <c r="C50" s="8" t="s">
        <v>85</v>
      </c>
      <c r="D50" s="7" t="s">
        <v>615</v>
      </c>
      <c r="E50" s="7" t="s">
        <v>287</v>
      </c>
      <c r="F50" s="8" t="s">
        <v>580</v>
      </c>
      <c r="G50" s="8" t="s">
        <v>209</v>
      </c>
      <c r="H50" s="8" t="s">
        <v>620</v>
      </c>
      <c r="I50" s="8" t="s">
        <v>221</v>
      </c>
      <c r="J50" s="8" t="s">
        <v>648</v>
      </c>
      <c r="K50" s="8" t="s">
        <v>649</v>
      </c>
      <c r="L50" s="7" t="s">
        <v>650</v>
      </c>
    </row>
    <row r="51" ht="15.75" customHeight="1">
      <c r="A51" s="5" t="s">
        <v>651</v>
      </c>
      <c r="B51" s="4" t="s">
        <v>652</v>
      </c>
      <c r="C51" s="5" t="s">
        <v>85</v>
      </c>
      <c r="D51" s="4" t="s">
        <v>615</v>
      </c>
      <c r="E51" s="4" t="s">
        <v>287</v>
      </c>
      <c r="F51" s="5" t="s">
        <v>580</v>
      </c>
      <c r="G51" s="5" t="s">
        <v>165</v>
      </c>
      <c r="H51" s="5" t="s">
        <v>659</v>
      </c>
      <c r="I51" s="5" t="s">
        <v>221</v>
      </c>
      <c r="J51" s="5" t="s">
        <v>608</v>
      </c>
      <c r="K51" s="5" t="s">
        <v>665</v>
      </c>
      <c r="L51" s="4" t="s">
        <v>668</v>
      </c>
    </row>
    <row r="52" ht="15.75" customHeight="1">
      <c r="A52" s="8" t="s">
        <v>669</v>
      </c>
      <c r="B52" s="7" t="s">
        <v>670</v>
      </c>
      <c r="C52" s="8" t="s">
        <v>85</v>
      </c>
      <c r="D52" s="7" t="s">
        <v>672</v>
      </c>
      <c r="E52" s="7" t="s">
        <v>673</v>
      </c>
      <c r="F52" s="8" t="s">
        <v>580</v>
      </c>
      <c r="G52" s="8" t="s">
        <v>209</v>
      </c>
      <c r="H52" s="8" t="s">
        <v>239</v>
      </c>
      <c r="I52" s="8" t="s">
        <v>221</v>
      </c>
      <c r="J52" s="8" t="s">
        <v>676</v>
      </c>
      <c r="K52" s="8" t="s">
        <v>598</v>
      </c>
      <c r="L52" s="7" t="s">
        <v>680</v>
      </c>
    </row>
    <row r="53" ht="15.75" customHeight="1">
      <c r="A53" s="5" t="s">
        <v>681</v>
      </c>
      <c r="B53" s="4" t="s">
        <v>684</v>
      </c>
      <c r="C53" s="5" t="s">
        <v>85</v>
      </c>
      <c r="D53" s="4" t="s">
        <v>686</v>
      </c>
      <c r="E53" s="4" t="s">
        <v>567</v>
      </c>
      <c r="F53" s="5" t="s">
        <v>372</v>
      </c>
      <c r="G53" s="5" t="s">
        <v>165</v>
      </c>
      <c r="H53" s="5" t="s">
        <v>239</v>
      </c>
      <c r="I53" s="5" t="s">
        <v>221</v>
      </c>
      <c r="J53" s="5" t="s">
        <v>608</v>
      </c>
      <c r="K53" s="5" t="s">
        <v>570</v>
      </c>
      <c r="L53" s="4" t="s">
        <v>690</v>
      </c>
    </row>
    <row r="54" ht="15.75" customHeight="1">
      <c r="A54" s="8" t="s">
        <v>692</v>
      </c>
      <c r="B54" s="7" t="s">
        <v>695</v>
      </c>
      <c r="C54" s="8" t="s">
        <v>85</v>
      </c>
      <c r="D54" s="7" t="s">
        <v>697</v>
      </c>
      <c r="E54" s="7" t="s">
        <v>287</v>
      </c>
      <c r="F54" s="8" t="s">
        <v>372</v>
      </c>
      <c r="G54" s="8" t="s">
        <v>209</v>
      </c>
      <c r="H54" s="8" t="s">
        <v>239</v>
      </c>
      <c r="I54" s="8" t="s">
        <v>315</v>
      </c>
      <c r="J54" s="8" t="s">
        <v>701</v>
      </c>
      <c r="K54" s="8"/>
      <c r="L54" s="7" t="s">
        <v>703</v>
      </c>
    </row>
    <row r="55" ht="15.75" customHeight="1">
      <c r="A55" s="5" t="s">
        <v>705</v>
      </c>
      <c r="B55" s="4" t="s">
        <v>706</v>
      </c>
      <c r="C55" s="5" t="s">
        <v>85</v>
      </c>
      <c r="D55" s="4" t="s">
        <v>709</v>
      </c>
      <c r="E55" s="4" t="s">
        <v>567</v>
      </c>
      <c r="F55" s="5" t="s">
        <v>712</v>
      </c>
      <c r="G55" s="5" t="s">
        <v>209</v>
      </c>
      <c r="H55" s="5" t="s">
        <v>714</v>
      </c>
      <c r="I55" s="5" t="s">
        <v>221</v>
      </c>
      <c r="J55" s="5" t="s">
        <v>718</v>
      </c>
      <c r="K55" s="5" t="s">
        <v>719</v>
      </c>
      <c r="L55" s="4" t="s">
        <v>720</v>
      </c>
    </row>
    <row r="56" ht="15.75" customHeight="1">
      <c r="A56" s="8" t="s">
        <v>721</v>
      </c>
      <c r="B56" s="7" t="s">
        <v>724</v>
      </c>
      <c r="C56" s="8" t="s">
        <v>85</v>
      </c>
      <c r="D56" s="7" t="s">
        <v>725</v>
      </c>
      <c r="E56" s="7" t="s">
        <v>461</v>
      </c>
      <c r="F56" s="8" t="s">
        <v>372</v>
      </c>
      <c r="G56" s="8" t="s">
        <v>165</v>
      </c>
      <c r="H56" s="8" t="s">
        <v>726</v>
      </c>
      <c r="I56" s="8" t="s">
        <v>221</v>
      </c>
      <c r="J56" s="8" t="s">
        <v>217</v>
      </c>
      <c r="K56" s="8" t="s">
        <v>570</v>
      </c>
      <c r="L56" s="7" t="s">
        <v>728</v>
      </c>
    </row>
    <row r="57" ht="15.75" customHeight="1">
      <c r="A57" s="5" t="s">
        <v>729</v>
      </c>
      <c r="B57" s="4" t="s">
        <v>730</v>
      </c>
      <c r="C57" s="5" t="s">
        <v>85</v>
      </c>
      <c r="D57" s="4" t="s">
        <v>732</v>
      </c>
      <c r="E57" s="4" t="s">
        <v>567</v>
      </c>
      <c r="F57" s="5" t="s">
        <v>734</v>
      </c>
      <c r="G57" s="5" t="s">
        <v>209</v>
      </c>
      <c r="H57" s="5" t="s">
        <v>239</v>
      </c>
      <c r="I57" s="5" t="s">
        <v>221</v>
      </c>
      <c r="J57" s="5" t="s">
        <v>597</v>
      </c>
      <c r="K57" s="5"/>
      <c r="L57" s="4" t="s">
        <v>740</v>
      </c>
    </row>
    <row r="58" ht="15.75" customHeight="1">
      <c r="A58" s="6" t="s">
        <v>741</v>
      </c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ht="15.75" customHeight="1">
      <c r="A59" s="5" t="s">
        <v>746</v>
      </c>
      <c r="B59" s="4" t="s">
        <v>748</v>
      </c>
      <c r="C59" s="5" t="s">
        <v>112</v>
      </c>
      <c r="D59" s="4" t="s">
        <v>750</v>
      </c>
      <c r="E59" s="4" t="s">
        <v>752</v>
      </c>
      <c r="F59" s="5" t="s">
        <v>753</v>
      </c>
      <c r="G59" s="5" t="s">
        <v>209</v>
      </c>
      <c r="H59" s="5" t="s">
        <v>251</v>
      </c>
      <c r="I59" s="5" t="s">
        <v>221</v>
      </c>
      <c r="J59" s="5" t="s">
        <v>175</v>
      </c>
      <c r="K59" s="5" t="s">
        <v>649</v>
      </c>
      <c r="L59" s="4" t="s">
        <v>756</v>
      </c>
    </row>
    <row r="60" ht="15.75" customHeight="1">
      <c r="A60" s="8" t="s">
        <v>757</v>
      </c>
      <c r="B60" s="7" t="s">
        <v>759</v>
      </c>
      <c r="C60" s="8" t="s">
        <v>112</v>
      </c>
      <c r="D60" s="7" t="s">
        <v>762</v>
      </c>
      <c r="E60" s="7" t="s">
        <v>765</v>
      </c>
      <c r="F60" s="8" t="s">
        <v>372</v>
      </c>
      <c r="G60" s="8" t="s">
        <v>209</v>
      </c>
      <c r="H60" s="8" t="s">
        <v>251</v>
      </c>
      <c r="I60" s="8" t="s">
        <v>221</v>
      </c>
      <c r="J60" s="8" t="s">
        <v>259</v>
      </c>
      <c r="K60" s="8" t="s">
        <v>649</v>
      </c>
      <c r="L60" s="7" t="s">
        <v>771</v>
      </c>
    </row>
    <row r="61" ht="15.75" customHeight="1">
      <c r="A61" s="5" t="s">
        <v>773</v>
      </c>
      <c r="B61" s="4" t="s">
        <v>775</v>
      </c>
      <c r="C61" s="5" t="s">
        <v>112</v>
      </c>
      <c r="D61" s="4" t="s">
        <v>776</v>
      </c>
      <c r="E61" s="4" t="s">
        <v>287</v>
      </c>
      <c r="F61" s="5" t="s">
        <v>780</v>
      </c>
      <c r="G61" s="5" t="s">
        <v>209</v>
      </c>
      <c r="H61" s="5" t="s">
        <v>251</v>
      </c>
      <c r="I61" s="5" t="s">
        <v>221</v>
      </c>
      <c r="J61" s="5" t="s">
        <v>785</v>
      </c>
      <c r="K61" s="5" t="s">
        <v>787</v>
      </c>
      <c r="L61" s="4" t="s">
        <v>788</v>
      </c>
    </row>
    <row r="62" ht="15.75" customHeight="1">
      <c r="A62" s="8" t="s">
        <v>789</v>
      </c>
      <c r="B62" s="7" t="s">
        <v>791</v>
      </c>
      <c r="C62" s="8" t="s">
        <v>112</v>
      </c>
      <c r="D62" s="7" t="s">
        <v>792</v>
      </c>
      <c r="E62" s="7" t="s">
        <v>795</v>
      </c>
      <c r="F62" s="8" t="s">
        <v>250</v>
      </c>
      <c r="G62" s="8" t="s">
        <v>165</v>
      </c>
      <c r="H62" s="8" t="s">
        <v>797</v>
      </c>
      <c r="I62" s="8" t="s">
        <v>315</v>
      </c>
      <c r="J62" s="8" t="s">
        <v>608</v>
      </c>
      <c r="K62" s="8"/>
      <c r="L62" s="7" t="s">
        <v>801</v>
      </c>
    </row>
    <row r="63" ht="15.75" customHeight="1">
      <c r="A63" s="5" t="s">
        <v>804</v>
      </c>
      <c r="B63" s="4" t="s">
        <v>806</v>
      </c>
      <c r="C63" s="5" t="s">
        <v>112</v>
      </c>
      <c r="D63" s="4" t="s">
        <v>807</v>
      </c>
      <c r="E63" s="4" t="s">
        <v>287</v>
      </c>
      <c r="F63" s="5" t="s">
        <v>206</v>
      </c>
      <c r="G63" s="5" t="s">
        <v>165</v>
      </c>
      <c r="H63" s="5" t="s">
        <v>251</v>
      </c>
      <c r="I63" s="5" t="s">
        <v>315</v>
      </c>
      <c r="J63" s="5" t="s">
        <v>291</v>
      </c>
      <c r="K63" s="5"/>
      <c r="L63" s="4" t="s">
        <v>812</v>
      </c>
    </row>
    <row r="64" ht="15.75" customHeight="1">
      <c r="A64" s="8" t="s">
        <v>816</v>
      </c>
      <c r="B64" s="7" t="s">
        <v>819</v>
      </c>
      <c r="C64" s="8" t="s">
        <v>112</v>
      </c>
      <c r="D64" s="7" t="s">
        <v>822</v>
      </c>
      <c r="E64" s="7" t="s">
        <v>825</v>
      </c>
      <c r="F64" s="8" t="s">
        <v>206</v>
      </c>
      <c r="G64" s="8" t="s">
        <v>165</v>
      </c>
      <c r="H64" s="8" t="s">
        <v>251</v>
      </c>
      <c r="I64" s="8" t="s">
        <v>375</v>
      </c>
      <c r="J64" s="8" t="s">
        <v>291</v>
      </c>
      <c r="K64" s="8"/>
      <c r="L64" s="7" t="s">
        <v>830</v>
      </c>
    </row>
    <row r="65" ht="15.75" customHeight="1">
      <c r="A65" s="6" t="s">
        <v>833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ht="15.75" customHeight="1">
      <c r="A66" s="8" t="s">
        <v>843</v>
      </c>
      <c r="B66" s="7" t="s">
        <v>844</v>
      </c>
      <c r="C66" s="8" t="s">
        <v>257</v>
      </c>
      <c r="D66" s="7" t="s">
        <v>845</v>
      </c>
      <c r="E66" s="7" t="s">
        <v>847</v>
      </c>
      <c r="F66" s="8" t="s">
        <v>423</v>
      </c>
      <c r="G66" s="8" t="s">
        <v>165</v>
      </c>
      <c r="H66" s="8" t="s">
        <v>255</v>
      </c>
      <c r="I66" s="8" t="s">
        <v>221</v>
      </c>
      <c r="J66" s="8" t="s">
        <v>259</v>
      </c>
      <c r="K66" s="8" t="s">
        <v>853</v>
      </c>
      <c r="L66" s="7" t="s">
        <v>855</v>
      </c>
    </row>
    <row r="67" ht="15.75" customHeight="1">
      <c r="A67" s="5" t="s">
        <v>858</v>
      </c>
      <c r="B67" s="4" t="s">
        <v>860</v>
      </c>
      <c r="C67" s="5" t="s">
        <v>257</v>
      </c>
      <c r="D67" s="4" t="s">
        <v>864</v>
      </c>
      <c r="E67" s="4" t="s">
        <v>331</v>
      </c>
      <c r="F67" s="5" t="s">
        <v>423</v>
      </c>
      <c r="G67" s="5" t="s">
        <v>209</v>
      </c>
      <c r="H67" s="5" t="s">
        <v>255</v>
      </c>
      <c r="I67" s="5" t="s">
        <v>221</v>
      </c>
      <c r="J67" s="5" t="s">
        <v>868</v>
      </c>
      <c r="K67" s="5" t="s">
        <v>870</v>
      </c>
      <c r="L67" s="4" t="s">
        <v>872</v>
      </c>
    </row>
    <row r="68" ht="15.75" customHeight="1">
      <c r="A68" s="8" t="s">
        <v>875</v>
      </c>
      <c r="B68" s="7" t="s">
        <v>876</v>
      </c>
      <c r="C68" s="8" t="s">
        <v>257</v>
      </c>
      <c r="D68" s="7" t="s">
        <v>879</v>
      </c>
      <c r="E68" s="7" t="s">
        <v>882</v>
      </c>
      <c r="F68" s="8" t="s">
        <v>423</v>
      </c>
      <c r="G68" s="8" t="s">
        <v>388</v>
      </c>
      <c r="H68" s="8" t="s">
        <v>255</v>
      </c>
      <c r="I68" s="8" t="s">
        <v>315</v>
      </c>
      <c r="J68" s="8" t="s">
        <v>868</v>
      </c>
      <c r="K68" s="8" t="s">
        <v>887</v>
      </c>
      <c r="L68" s="7" t="s">
        <v>889</v>
      </c>
    </row>
    <row r="69" ht="15.75" customHeight="1">
      <c r="A69" s="5" t="s">
        <v>891</v>
      </c>
      <c r="B69" s="4" t="s">
        <v>892</v>
      </c>
      <c r="C69" s="5" t="s">
        <v>257</v>
      </c>
      <c r="D69" s="4" t="s">
        <v>895</v>
      </c>
      <c r="E69" s="4" t="s">
        <v>331</v>
      </c>
      <c r="F69" s="5" t="s">
        <v>372</v>
      </c>
      <c r="G69" s="5" t="s">
        <v>165</v>
      </c>
      <c r="H69" s="5" t="s">
        <v>255</v>
      </c>
      <c r="I69" s="5" t="s">
        <v>315</v>
      </c>
      <c r="J69" s="5" t="s">
        <v>903</v>
      </c>
      <c r="K69" s="5"/>
      <c r="L69" s="4" t="s">
        <v>906</v>
      </c>
    </row>
    <row r="70" ht="15.75" customHeight="1">
      <c r="A70" s="8" t="s">
        <v>907</v>
      </c>
      <c r="B70" s="7" t="s">
        <v>908</v>
      </c>
      <c r="C70" s="8" t="s">
        <v>257</v>
      </c>
      <c r="D70" s="7" t="s">
        <v>912</v>
      </c>
      <c r="E70" s="7" t="s">
        <v>914</v>
      </c>
      <c r="F70" s="8" t="s">
        <v>712</v>
      </c>
      <c r="G70" s="8" t="s">
        <v>165</v>
      </c>
      <c r="H70" s="8" t="s">
        <v>255</v>
      </c>
      <c r="I70" s="8" t="s">
        <v>221</v>
      </c>
      <c r="J70" s="8" t="s">
        <v>259</v>
      </c>
      <c r="K70" s="8" t="s">
        <v>719</v>
      </c>
      <c r="L70" s="7" t="s">
        <v>925</v>
      </c>
    </row>
    <row r="71" ht="15.75" customHeight="1">
      <c r="A71" s="5" t="s">
        <v>926</v>
      </c>
      <c r="B71" s="4" t="s">
        <v>928</v>
      </c>
      <c r="C71" s="5" t="s">
        <v>257</v>
      </c>
      <c r="D71" s="4" t="s">
        <v>929</v>
      </c>
      <c r="E71" s="4" t="s">
        <v>930</v>
      </c>
      <c r="F71" s="5" t="s">
        <v>712</v>
      </c>
      <c r="G71" s="5" t="s">
        <v>209</v>
      </c>
      <c r="H71" s="5" t="s">
        <v>255</v>
      </c>
      <c r="I71" s="5" t="s">
        <v>221</v>
      </c>
      <c r="J71" s="5" t="s">
        <v>676</v>
      </c>
      <c r="K71" s="5" t="s">
        <v>719</v>
      </c>
      <c r="L71" s="4" t="s">
        <v>936</v>
      </c>
    </row>
    <row r="72" ht="15.75" customHeight="1">
      <c r="A72" s="8" t="s">
        <v>938</v>
      </c>
      <c r="B72" s="7" t="s">
        <v>939</v>
      </c>
      <c r="C72" s="8" t="s">
        <v>257</v>
      </c>
      <c r="D72" s="7" t="s">
        <v>941</v>
      </c>
      <c r="E72" s="7" t="s">
        <v>236</v>
      </c>
      <c r="F72" s="8" t="s">
        <v>712</v>
      </c>
      <c r="G72" s="8" t="s">
        <v>209</v>
      </c>
      <c r="H72" s="8" t="s">
        <v>714</v>
      </c>
      <c r="I72" s="8" t="s">
        <v>221</v>
      </c>
      <c r="J72" s="8" t="s">
        <v>718</v>
      </c>
      <c r="K72" s="8" t="s">
        <v>719</v>
      </c>
      <c r="L72" s="7" t="s">
        <v>950</v>
      </c>
    </row>
    <row r="73" ht="15.75" customHeight="1">
      <c r="A73" s="5" t="s">
        <v>953</v>
      </c>
      <c r="B73" s="4" t="s">
        <v>957</v>
      </c>
      <c r="C73" s="5" t="s">
        <v>257</v>
      </c>
      <c r="D73" s="4" t="s">
        <v>959</v>
      </c>
      <c r="E73" s="4" t="s">
        <v>961</v>
      </c>
      <c r="F73" s="5" t="s">
        <v>963</v>
      </c>
      <c r="G73" s="5" t="s">
        <v>388</v>
      </c>
      <c r="H73" s="5" t="s">
        <v>255</v>
      </c>
      <c r="I73" s="5" t="s">
        <v>221</v>
      </c>
      <c r="J73" s="5" t="s">
        <v>259</v>
      </c>
      <c r="K73" s="5" t="s">
        <v>853</v>
      </c>
      <c r="L73" s="4" t="s">
        <v>967</v>
      </c>
    </row>
    <row r="74" ht="15.75" customHeight="1">
      <c r="A74" s="6" t="s">
        <v>969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ht="15.75" customHeight="1">
      <c r="A75" s="5" t="s">
        <v>976</v>
      </c>
      <c r="B75" s="4" t="s">
        <v>977</v>
      </c>
      <c r="C75" s="5" t="s">
        <v>272</v>
      </c>
      <c r="D75" s="4" t="s">
        <v>980</v>
      </c>
      <c r="E75" s="4" t="s">
        <v>461</v>
      </c>
      <c r="F75" s="5" t="s">
        <v>206</v>
      </c>
      <c r="G75" s="5" t="s">
        <v>165</v>
      </c>
      <c r="H75" s="5" t="s">
        <v>985</v>
      </c>
      <c r="I75" s="5" t="s">
        <v>221</v>
      </c>
      <c r="J75" s="5" t="s">
        <v>217</v>
      </c>
      <c r="K75" s="5" t="s">
        <v>987</v>
      </c>
      <c r="L75" s="4" t="s">
        <v>989</v>
      </c>
    </row>
    <row r="76" ht="15.75" customHeight="1">
      <c r="A76" s="8" t="s">
        <v>991</v>
      </c>
      <c r="B76" s="7" t="s">
        <v>994</v>
      </c>
      <c r="C76" s="8" t="s">
        <v>272</v>
      </c>
      <c r="D76" s="7" t="s">
        <v>996</v>
      </c>
      <c r="E76" s="7" t="s">
        <v>468</v>
      </c>
      <c r="F76" s="8" t="s">
        <v>332</v>
      </c>
      <c r="G76" s="8" t="s">
        <v>165</v>
      </c>
      <c r="H76" s="8" t="s">
        <v>985</v>
      </c>
      <c r="I76" s="8" t="s">
        <v>221</v>
      </c>
      <c r="J76" s="8" t="s">
        <v>1000</v>
      </c>
      <c r="K76" s="8" t="s">
        <v>520</v>
      </c>
      <c r="L76" s="7" t="s">
        <v>1001</v>
      </c>
    </row>
    <row r="77" ht="15.75" customHeight="1">
      <c r="A77" s="5" t="s">
        <v>1002</v>
      </c>
      <c r="B77" s="4" t="s">
        <v>1003</v>
      </c>
      <c r="C77" s="5" t="s">
        <v>272</v>
      </c>
      <c r="D77" s="4" t="s">
        <v>1006</v>
      </c>
      <c r="E77" s="4" t="s">
        <v>461</v>
      </c>
      <c r="F77" s="5" t="s">
        <v>206</v>
      </c>
      <c r="G77" s="5" t="s">
        <v>165</v>
      </c>
      <c r="H77" s="5" t="s">
        <v>277</v>
      </c>
      <c r="I77" s="5" t="s">
        <v>315</v>
      </c>
      <c r="J77" s="5" t="s">
        <v>1009</v>
      </c>
      <c r="K77" s="5" t="s">
        <v>1012</v>
      </c>
      <c r="L77" s="4" t="s">
        <v>1013</v>
      </c>
    </row>
    <row r="78" ht="15.75" customHeight="1">
      <c r="A78" s="8" t="s">
        <v>1014</v>
      </c>
      <c r="B78" s="7" t="s">
        <v>1015</v>
      </c>
      <c r="C78" s="8" t="s">
        <v>272</v>
      </c>
      <c r="D78" s="7" t="s">
        <v>1017</v>
      </c>
      <c r="E78" s="7" t="s">
        <v>461</v>
      </c>
      <c r="F78" s="8" t="s">
        <v>206</v>
      </c>
      <c r="G78" s="8" t="s">
        <v>388</v>
      </c>
      <c r="H78" s="8" t="s">
        <v>1020</v>
      </c>
      <c r="I78" s="8" t="s">
        <v>315</v>
      </c>
      <c r="J78" s="8" t="s">
        <v>259</v>
      </c>
      <c r="K78" s="8"/>
      <c r="L78" s="7" t="s">
        <v>1023</v>
      </c>
    </row>
    <row r="79" ht="15.75" customHeight="1">
      <c r="A79" s="5" t="s">
        <v>1026</v>
      </c>
      <c r="B79" s="4" t="s">
        <v>1027</v>
      </c>
      <c r="C79" s="5" t="s">
        <v>272</v>
      </c>
      <c r="D79" s="4" t="s">
        <v>1030</v>
      </c>
      <c r="E79" s="4" t="s">
        <v>1032</v>
      </c>
      <c r="F79" s="5" t="s">
        <v>206</v>
      </c>
      <c r="G79" s="5" t="s">
        <v>388</v>
      </c>
      <c r="H79" s="5" t="s">
        <v>1020</v>
      </c>
      <c r="I79" s="5" t="s">
        <v>315</v>
      </c>
      <c r="J79" s="5" t="s">
        <v>1038</v>
      </c>
      <c r="K79" s="5" t="s">
        <v>494</v>
      </c>
      <c r="L79" s="4" t="s">
        <v>1057</v>
      </c>
    </row>
    <row r="80" ht="15.75" customHeight="1">
      <c r="A80" s="6" t="s">
        <v>1058</v>
      </c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ht="15.75" customHeight="1">
      <c r="A81" s="5" t="s">
        <v>1062</v>
      </c>
      <c r="B81" s="4" t="s">
        <v>1064</v>
      </c>
      <c r="C81" s="5" t="s">
        <v>279</v>
      </c>
      <c r="D81" s="4" t="s">
        <v>1068</v>
      </c>
      <c r="E81" s="4" t="s">
        <v>287</v>
      </c>
      <c r="F81" s="5" t="s">
        <v>206</v>
      </c>
      <c r="G81" s="5" t="s">
        <v>209</v>
      </c>
      <c r="H81" s="5" t="s">
        <v>286</v>
      </c>
      <c r="I81" s="5" t="s">
        <v>221</v>
      </c>
      <c r="J81" s="5" t="s">
        <v>513</v>
      </c>
      <c r="K81" s="5" t="s">
        <v>665</v>
      </c>
      <c r="L81" s="4" t="s">
        <v>1073</v>
      </c>
    </row>
    <row r="82" ht="15.75" customHeight="1">
      <c r="A82" s="8" t="s">
        <v>1075</v>
      </c>
      <c r="B82" s="7" t="s">
        <v>1076</v>
      </c>
      <c r="C82" s="8" t="s">
        <v>279</v>
      </c>
      <c r="D82" s="7" t="s">
        <v>509</v>
      </c>
      <c r="E82" s="7" t="s">
        <v>1080</v>
      </c>
      <c r="F82" s="8" t="s">
        <v>372</v>
      </c>
      <c r="G82" s="8" t="s">
        <v>165</v>
      </c>
      <c r="H82" s="8" t="s">
        <v>286</v>
      </c>
      <c r="I82" s="8" t="s">
        <v>315</v>
      </c>
      <c r="J82" s="8" t="s">
        <v>462</v>
      </c>
      <c r="K82" s="8" t="s">
        <v>665</v>
      </c>
      <c r="L82" s="7" t="s">
        <v>1089</v>
      </c>
    </row>
    <row r="83" ht="15.75" customHeight="1">
      <c r="A83" s="5" t="s">
        <v>1092</v>
      </c>
      <c r="B83" s="4" t="s">
        <v>1095</v>
      </c>
      <c r="C83" s="5" t="s">
        <v>279</v>
      </c>
      <c r="D83" s="4" t="s">
        <v>1097</v>
      </c>
      <c r="E83" s="4" t="s">
        <v>1099</v>
      </c>
      <c r="F83" s="5" t="s">
        <v>372</v>
      </c>
      <c r="G83" s="5" t="s">
        <v>165</v>
      </c>
      <c r="H83" s="5" t="s">
        <v>286</v>
      </c>
      <c r="I83" s="5" t="s">
        <v>315</v>
      </c>
      <c r="J83" s="5" t="s">
        <v>259</v>
      </c>
      <c r="K83" s="5" t="s">
        <v>665</v>
      </c>
      <c r="L83" s="4" t="s">
        <v>1106</v>
      </c>
    </row>
    <row r="84" ht="15.75" customHeight="1">
      <c r="A84" s="8" t="s">
        <v>1108</v>
      </c>
      <c r="B84" s="7" t="s">
        <v>1111</v>
      </c>
      <c r="C84" s="8" t="s">
        <v>279</v>
      </c>
      <c r="D84" s="7" t="s">
        <v>1116</v>
      </c>
      <c r="E84" s="7" t="s">
        <v>287</v>
      </c>
      <c r="F84" s="8" t="s">
        <v>372</v>
      </c>
      <c r="G84" s="8" t="s">
        <v>209</v>
      </c>
      <c r="H84" s="8" t="s">
        <v>659</v>
      </c>
      <c r="I84" s="8" t="s">
        <v>315</v>
      </c>
      <c r="J84" s="8" t="s">
        <v>513</v>
      </c>
      <c r="K84" s="8" t="s">
        <v>665</v>
      </c>
      <c r="L84" s="7" t="s">
        <v>1120</v>
      </c>
    </row>
    <row r="85" ht="15.75" customHeight="1">
      <c r="A85" s="5" t="s">
        <v>1123</v>
      </c>
      <c r="B85" s="4" t="s">
        <v>1124</v>
      </c>
      <c r="C85" s="5" t="s">
        <v>279</v>
      </c>
      <c r="D85" s="4" t="s">
        <v>460</v>
      </c>
      <c r="E85" s="4" t="s">
        <v>461</v>
      </c>
      <c r="F85" s="5" t="s">
        <v>372</v>
      </c>
      <c r="G85" s="5" t="s">
        <v>388</v>
      </c>
      <c r="H85" s="5" t="s">
        <v>659</v>
      </c>
      <c r="I85" s="5" t="s">
        <v>375</v>
      </c>
      <c r="J85" s="5" t="s">
        <v>1132</v>
      </c>
      <c r="K85" s="5"/>
      <c r="L85" s="4" t="s">
        <v>1134</v>
      </c>
    </row>
    <row r="86" ht="15.75" customHeight="1">
      <c r="A86" s="8" t="s">
        <v>1137</v>
      </c>
      <c r="B86" s="7" t="s">
        <v>1139</v>
      </c>
      <c r="C86" s="8" t="s">
        <v>279</v>
      </c>
      <c r="D86" s="7" t="s">
        <v>1140</v>
      </c>
      <c r="E86" s="7" t="s">
        <v>1142</v>
      </c>
      <c r="F86" s="8" t="s">
        <v>545</v>
      </c>
      <c r="G86" s="8" t="s">
        <v>165</v>
      </c>
      <c r="H86" s="8" t="s">
        <v>286</v>
      </c>
      <c r="I86" s="8" t="s">
        <v>375</v>
      </c>
      <c r="J86" s="8" t="s">
        <v>868</v>
      </c>
      <c r="K86" s="8" t="s">
        <v>887</v>
      </c>
      <c r="L86" s="7" t="s">
        <v>1147</v>
      </c>
    </row>
    <row r="87" ht="15.75" customHeight="1">
      <c r="A87" s="6" t="s">
        <v>1150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ht="15.75" customHeight="1">
      <c r="A88" s="8" t="s">
        <v>1161</v>
      </c>
      <c r="B88" s="7" t="s">
        <v>1163</v>
      </c>
      <c r="C88" s="8" t="s">
        <v>290</v>
      </c>
      <c r="D88" s="7" t="s">
        <v>1166</v>
      </c>
      <c r="E88" s="7" t="s">
        <v>1167</v>
      </c>
      <c r="F88" s="8" t="s">
        <v>344</v>
      </c>
      <c r="G88" s="8" t="s">
        <v>165</v>
      </c>
      <c r="H88" s="8" t="s">
        <v>1170</v>
      </c>
      <c r="I88" s="8" t="s">
        <v>375</v>
      </c>
      <c r="J88" s="8" t="s">
        <v>462</v>
      </c>
      <c r="K88" s="8" t="s">
        <v>378</v>
      </c>
      <c r="L88" s="7" t="s">
        <v>1176</v>
      </c>
    </row>
    <row r="89" ht="15.75" customHeight="1">
      <c r="A89" s="5" t="s">
        <v>1178</v>
      </c>
      <c r="B89" s="4" t="s">
        <v>1181</v>
      </c>
      <c r="C89" s="5" t="s">
        <v>290</v>
      </c>
      <c r="D89" s="4" t="s">
        <v>1183</v>
      </c>
      <c r="E89" s="4" t="s">
        <v>1185</v>
      </c>
      <c r="F89" s="5" t="s">
        <v>206</v>
      </c>
      <c r="G89" s="5" t="s">
        <v>388</v>
      </c>
      <c r="H89" s="5" t="s">
        <v>1187</v>
      </c>
      <c r="I89" s="5" t="s">
        <v>375</v>
      </c>
      <c r="J89" s="5" t="s">
        <v>259</v>
      </c>
      <c r="K89" s="5"/>
      <c r="L89" s="4" t="s">
        <v>1188</v>
      </c>
    </row>
    <row r="90" ht="15.75" customHeight="1">
      <c r="A90" s="8" t="s">
        <v>1192</v>
      </c>
      <c r="B90" s="7" t="s">
        <v>1193</v>
      </c>
      <c r="C90" s="8" t="s">
        <v>290</v>
      </c>
      <c r="D90" s="7" t="s">
        <v>1196</v>
      </c>
      <c r="E90" s="7" t="s">
        <v>914</v>
      </c>
      <c r="F90" s="8" t="s">
        <v>372</v>
      </c>
      <c r="G90" s="8" t="s">
        <v>388</v>
      </c>
      <c r="H90" s="8" t="s">
        <v>1199</v>
      </c>
      <c r="I90" s="8" t="s">
        <v>315</v>
      </c>
      <c r="J90" s="8" t="s">
        <v>513</v>
      </c>
      <c r="K90" s="8" t="s">
        <v>1204</v>
      </c>
      <c r="L90" s="7" t="s">
        <v>1205</v>
      </c>
    </row>
    <row r="91" ht="15.75" customHeight="1">
      <c r="A91" s="5" t="s">
        <v>1207</v>
      </c>
      <c r="B91" s="4" t="s">
        <v>1208</v>
      </c>
      <c r="C91" s="5" t="s">
        <v>290</v>
      </c>
      <c r="D91" s="4" t="s">
        <v>1210</v>
      </c>
      <c r="E91" s="4" t="s">
        <v>1211</v>
      </c>
      <c r="F91" s="5" t="s">
        <v>1214</v>
      </c>
      <c r="G91" s="5" t="s">
        <v>388</v>
      </c>
      <c r="H91" s="5" t="s">
        <v>1216</v>
      </c>
      <c r="I91" s="5" t="s">
        <v>315</v>
      </c>
      <c r="J91" s="5" t="s">
        <v>1218</v>
      </c>
      <c r="K91" s="5"/>
      <c r="L91" s="4" t="s">
        <v>1220</v>
      </c>
    </row>
    <row r="92" ht="15.75" customHeight="1">
      <c r="A92" s="8" t="s">
        <v>1222</v>
      </c>
      <c r="B92" s="7" t="s">
        <v>1225</v>
      </c>
      <c r="C92" s="8" t="s">
        <v>290</v>
      </c>
      <c r="D92" s="7" t="s">
        <v>1229</v>
      </c>
      <c r="E92" s="7" t="s">
        <v>287</v>
      </c>
      <c r="F92" s="8" t="s">
        <v>206</v>
      </c>
      <c r="G92" s="8" t="s">
        <v>388</v>
      </c>
      <c r="H92" s="8" t="s">
        <v>1235</v>
      </c>
      <c r="I92" s="8" t="s">
        <v>375</v>
      </c>
      <c r="J92" s="8" t="s">
        <v>1237</v>
      </c>
      <c r="K92" s="8" t="s">
        <v>853</v>
      </c>
      <c r="L92" s="7" t="s">
        <v>1240</v>
      </c>
    </row>
    <row r="93" ht="15.75" customHeight="1">
      <c r="A93" s="6" t="s">
        <v>1241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ht="15.75" customHeight="1">
      <c r="A94" s="8" t="s">
        <v>1249</v>
      </c>
      <c r="B94" s="7" t="s">
        <v>1250</v>
      </c>
      <c r="C94" s="8" t="s">
        <v>300</v>
      </c>
      <c r="D94" s="7" t="s">
        <v>1254</v>
      </c>
      <c r="E94" s="7" t="s">
        <v>1255</v>
      </c>
      <c r="F94" s="8" t="s">
        <v>1258</v>
      </c>
      <c r="G94" s="8" t="s">
        <v>165</v>
      </c>
      <c r="H94" s="8" t="s">
        <v>305</v>
      </c>
      <c r="I94" s="8" t="s">
        <v>375</v>
      </c>
      <c r="J94" s="8" t="s">
        <v>316</v>
      </c>
      <c r="K94" s="8" t="s">
        <v>417</v>
      </c>
      <c r="L94" s="7" t="s">
        <v>1267</v>
      </c>
    </row>
    <row r="95" ht="15.75" customHeight="1">
      <c r="A95" s="5" t="s">
        <v>1269</v>
      </c>
      <c r="B95" s="4" t="s">
        <v>1270</v>
      </c>
      <c r="C95" s="5" t="s">
        <v>300</v>
      </c>
      <c r="D95" s="4" t="s">
        <v>1273</v>
      </c>
      <c r="E95" s="4" t="s">
        <v>1276</v>
      </c>
      <c r="F95" s="5" t="s">
        <v>372</v>
      </c>
      <c r="G95" s="5" t="s">
        <v>165</v>
      </c>
      <c r="H95" s="5" t="s">
        <v>305</v>
      </c>
      <c r="I95" s="5" t="s">
        <v>375</v>
      </c>
      <c r="J95" s="5" t="s">
        <v>445</v>
      </c>
      <c r="K95" s="5" t="s">
        <v>417</v>
      </c>
      <c r="L95" s="4" t="s">
        <v>1285</v>
      </c>
    </row>
    <row r="96" ht="15.75" customHeight="1">
      <c r="A96" s="8" t="s">
        <v>1288</v>
      </c>
      <c r="B96" s="7" t="s">
        <v>1290</v>
      </c>
      <c r="C96" s="8" t="s">
        <v>300</v>
      </c>
      <c r="D96" s="7" t="s">
        <v>1291</v>
      </c>
      <c r="E96" s="7" t="s">
        <v>1292</v>
      </c>
      <c r="F96" s="8" t="s">
        <v>372</v>
      </c>
      <c r="G96" s="8" t="s">
        <v>165</v>
      </c>
      <c r="H96" s="8" t="s">
        <v>1296</v>
      </c>
      <c r="I96" s="8" t="s">
        <v>375</v>
      </c>
      <c r="J96" s="8" t="s">
        <v>259</v>
      </c>
      <c r="K96" s="8" t="s">
        <v>649</v>
      </c>
      <c r="L96" s="7" t="s">
        <v>1299</v>
      </c>
    </row>
    <row r="97" ht="15.75" customHeight="1">
      <c r="A97" s="6" t="s">
        <v>1302</v>
      </c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ht="15.75" customHeight="1">
      <c r="A98" s="8" t="s">
        <v>1310</v>
      </c>
      <c r="B98" s="7" t="s">
        <v>1312</v>
      </c>
      <c r="C98" s="8" t="s">
        <v>308</v>
      </c>
      <c r="D98" s="7" t="s">
        <v>1314</v>
      </c>
      <c r="E98" s="7" t="s">
        <v>882</v>
      </c>
      <c r="F98" s="8" t="s">
        <v>372</v>
      </c>
      <c r="G98" s="8" t="s">
        <v>388</v>
      </c>
      <c r="H98" s="8" t="s">
        <v>313</v>
      </c>
      <c r="I98" s="8" t="s">
        <v>315</v>
      </c>
      <c r="J98" s="8" t="s">
        <v>1319</v>
      </c>
      <c r="K98" s="8" t="s">
        <v>1321</v>
      </c>
      <c r="L98" s="7" t="s">
        <v>1322</v>
      </c>
    </row>
    <row r="99" ht="15.75" customHeight="1">
      <c r="A99" s="5" t="s">
        <v>1324</v>
      </c>
      <c r="B99" s="4" t="s">
        <v>1325</v>
      </c>
      <c r="C99" s="5" t="s">
        <v>308</v>
      </c>
      <c r="D99" s="4" t="s">
        <v>1328</v>
      </c>
      <c r="E99" s="4" t="s">
        <v>422</v>
      </c>
      <c r="F99" s="5" t="s">
        <v>332</v>
      </c>
      <c r="G99" s="5" t="s">
        <v>1334</v>
      </c>
      <c r="H99" s="5" t="s">
        <v>313</v>
      </c>
      <c r="I99" s="5" t="s">
        <v>315</v>
      </c>
      <c r="J99" s="5" t="s">
        <v>1338</v>
      </c>
      <c r="K99" s="5" t="s">
        <v>1012</v>
      </c>
      <c r="L99" s="4" t="s">
        <v>1340</v>
      </c>
    </row>
    <row r="100" ht="15.75" customHeight="1">
      <c r="A100" s="8" t="s">
        <v>1341</v>
      </c>
      <c r="B100" s="7" t="s">
        <v>1343</v>
      </c>
      <c r="C100" s="8" t="s">
        <v>308</v>
      </c>
      <c r="D100" s="7" t="s">
        <v>1345</v>
      </c>
      <c r="E100" s="7" t="s">
        <v>331</v>
      </c>
      <c r="F100" s="8" t="s">
        <v>344</v>
      </c>
      <c r="G100" s="8" t="s">
        <v>388</v>
      </c>
      <c r="H100" s="8" t="s">
        <v>313</v>
      </c>
      <c r="I100" s="8" t="s">
        <v>315</v>
      </c>
      <c r="J100" s="8" t="s">
        <v>1354</v>
      </c>
      <c r="K100" s="8" t="s">
        <v>887</v>
      </c>
      <c r="L100" s="7" t="s">
        <v>1358</v>
      </c>
    </row>
    <row r="101" ht="15.75" customHeight="1">
      <c r="A101" s="6" t="s">
        <v>1361</v>
      </c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ht="15.75" customHeight="1">
      <c r="A102" s="8" t="s">
        <v>1366</v>
      </c>
      <c r="B102" s="7" t="s">
        <v>1368</v>
      </c>
      <c r="C102" s="8" t="s">
        <v>317</v>
      </c>
      <c r="D102" s="7" t="s">
        <v>1372</v>
      </c>
      <c r="E102" s="7" t="s">
        <v>287</v>
      </c>
      <c r="F102" s="8" t="s">
        <v>491</v>
      </c>
      <c r="G102" s="8" t="s">
        <v>209</v>
      </c>
      <c r="H102" s="8" t="s">
        <v>1375</v>
      </c>
      <c r="I102" s="8" t="s">
        <v>221</v>
      </c>
      <c r="J102" s="8" t="s">
        <v>1376</v>
      </c>
      <c r="K102" s="8" t="s">
        <v>425</v>
      </c>
      <c r="L102" s="7" t="s">
        <v>1377</v>
      </c>
    </row>
    <row r="103" ht="15.75" customHeight="1">
      <c r="A103" s="5" t="s">
        <v>1380</v>
      </c>
      <c r="B103" s="4" t="s">
        <v>1381</v>
      </c>
      <c r="C103" s="5" t="s">
        <v>317</v>
      </c>
      <c r="D103" s="4" t="s">
        <v>1384</v>
      </c>
      <c r="E103" s="4" t="s">
        <v>1387</v>
      </c>
      <c r="F103" s="5" t="s">
        <v>250</v>
      </c>
      <c r="G103" s="5" t="s">
        <v>209</v>
      </c>
      <c r="H103" s="5" t="s">
        <v>1391</v>
      </c>
      <c r="I103" s="5" t="s">
        <v>221</v>
      </c>
      <c r="J103" s="5" t="s">
        <v>316</v>
      </c>
      <c r="K103" s="5" t="s">
        <v>598</v>
      </c>
      <c r="L103" s="4" t="s">
        <v>1394</v>
      </c>
    </row>
    <row r="104" ht="15.75" customHeight="1">
      <c r="A104" s="8" t="s">
        <v>1395</v>
      </c>
      <c r="B104" s="7" t="s">
        <v>1398</v>
      </c>
      <c r="C104" s="8" t="s">
        <v>317</v>
      </c>
      <c r="D104" s="7" t="s">
        <v>1400</v>
      </c>
      <c r="E104" s="7" t="s">
        <v>287</v>
      </c>
      <c r="F104" s="8" t="s">
        <v>580</v>
      </c>
      <c r="G104" s="8" t="s">
        <v>209</v>
      </c>
      <c r="H104" s="8" t="s">
        <v>1391</v>
      </c>
      <c r="I104" s="8" t="s">
        <v>221</v>
      </c>
      <c r="J104" s="8" t="s">
        <v>608</v>
      </c>
      <c r="K104" s="8" t="s">
        <v>598</v>
      </c>
      <c r="L104" s="7" t="s">
        <v>1404</v>
      </c>
    </row>
    <row r="105" ht="15.75" customHeight="1">
      <c r="A105" s="5" t="s">
        <v>1406</v>
      </c>
      <c r="B105" s="4" t="s">
        <v>1408</v>
      </c>
      <c r="C105" s="5" t="s">
        <v>317</v>
      </c>
      <c r="D105" s="4" t="s">
        <v>1410</v>
      </c>
      <c r="E105" s="4" t="s">
        <v>1276</v>
      </c>
      <c r="F105" s="5" t="s">
        <v>580</v>
      </c>
      <c r="G105" s="5" t="s">
        <v>209</v>
      </c>
      <c r="H105" s="5" t="s">
        <v>1416</v>
      </c>
      <c r="I105" s="5" t="s">
        <v>221</v>
      </c>
      <c r="J105" s="5" t="s">
        <v>217</v>
      </c>
      <c r="K105" s="5" t="s">
        <v>598</v>
      </c>
      <c r="L105" s="4" t="s">
        <v>1421</v>
      </c>
    </row>
    <row r="106" ht="15.75" customHeight="1">
      <c r="A106" s="8" t="s">
        <v>1422</v>
      </c>
      <c r="B106" s="7" t="s">
        <v>1423</v>
      </c>
      <c r="C106" s="8" t="s">
        <v>317</v>
      </c>
      <c r="D106" s="7" t="s">
        <v>1400</v>
      </c>
      <c r="E106" s="7" t="s">
        <v>1276</v>
      </c>
      <c r="F106" s="8" t="s">
        <v>580</v>
      </c>
      <c r="G106" s="8" t="s">
        <v>209</v>
      </c>
      <c r="H106" s="8" t="s">
        <v>239</v>
      </c>
      <c r="I106" s="8" t="s">
        <v>221</v>
      </c>
      <c r="J106" s="8" t="s">
        <v>597</v>
      </c>
      <c r="K106" s="8"/>
      <c r="L106" s="7" t="s">
        <v>1434</v>
      </c>
    </row>
    <row r="107" ht="15.75" customHeight="1">
      <c r="A107" s="6" t="s">
        <v>1435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ht="15.75" customHeight="1">
      <c r="A108" s="8" t="s">
        <v>1444</v>
      </c>
      <c r="B108" s="7" t="s">
        <v>1446</v>
      </c>
      <c r="C108" s="8" t="s">
        <v>324</v>
      </c>
      <c r="D108" s="7" t="s">
        <v>1451</v>
      </c>
      <c r="E108" s="7" t="s">
        <v>616</v>
      </c>
      <c r="F108" s="8" t="s">
        <v>206</v>
      </c>
      <c r="G108" s="8" t="s">
        <v>209</v>
      </c>
      <c r="H108" s="8" t="s">
        <v>1456</v>
      </c>
      <c r="I108" s="8" t="s">
        <v>315</v>
      </c>
      <c r="J108" s="8" t="s">
        <v>1038</v>
      </c>
      <c r="K108" s="8"/>
      <c r="L108" s="7" t="s">
        <v>1458</v>
      </c>
    </row>
    <row r="109" ht="15.75" customHeight="1">
      <c r="A109" s="5" t="s">
        <v>1461</v>
      </c>
      <c r="B109" s="4" t="s">
        <v>1463</v>
      </c>
      <c r="C109" s="5" t="s">
        <v>324</v>
      </c>
      <c r="D109" s="4" t="s">
        <v>1466</v>
      </c>
      <c r="E109" s="4" t="s">
        <v>287</v>
      </c>
      <c r="F109" s="5" t="s">
        <v>206</v>
      </c>
      <c r="G109" s="5" t="s">
        <v>209</v>
      </c>
      <c r="H109" s="5" t="s">
        <v>1456</v>
      </c>
      <c r="I109" s="5" t="s">
        <v>315</v>
      </c>
      <c r="J109" s="5" t="s">
        <v>291</v>
      </c>
      <c r="K109" s="5"/>
      <c r="L109" s="4" t="s">
        <v>1473</v>
      </c>
    </row>
    <row r="110" ht="15.75" customHeight="1">
      <c r="A110" s="8" t="s">
        <v>1474</v>
      </c>
      <c r="B110" s="7" t="s">
        <v>1477</v>
      </c>
      <c r="C110" s="8" t="s">
        <v>324</v>
      </c>
      <c r="D110" s="7" t="s">
        <v>1480</v>
      </c>
      <c r="E110" s="7" t="s">
        <v>287</v>
      </c>
      <c r="F110" s="8" t="s">
        <v>206</v>
      </c>
      <c r="G110" s="8" t="s">
        <v>165</v>
      </c>
      <c r="H110" s="8" t="s">
        <v>1484</v>
      </c>
      <c r="I110" s="8" t="s">
        <v>315</v>
      </c>
      <c r="J110" s="8" t="s">
        <v>1487</v>
      </c>
      <c r="K110" s="8" t="s">
        <v>433</v>
      </c>
      <c r="L110" s="7" t="s">
        <v>1490</v>
      </c>
    </row>
    <row r="111" ht="15.75" customHeight="1">
      <c r="A111" s="5" t="s">
        <v>1493</v>
      </c>
      <c r="B111" s="4" t="s">
        <v>1494</v>
      </c>
      <c r="C111" s="5" t="s">
        <v>324</v>
      </c>
      <c r="D111" s="4" t="s">
        <v>1497</v>
      </c>
      <c r="E111" s="4" t="s">
        <v>287</v>
      </c>
      <c r="F111" s="5" t="s">
        <v>372</v>
      </c>
      <c r="G111" s="5" t="s">
        <v>388</v>
      </c>
      <c r="H111" s="5" t="s">
        <v>1484</v>
      </c>
      <c r="I111" s="5" t="s">
        <v>375</v>
      </c>
      <c r="J111" s="5" t="s">
        <v>424</v>
      </c>
      <c r="K111" s="5"/>
      <c r="L111" s="4" t="s">
        <v>1507</v>
      </c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L$111"/>
  <mergeCells count="2">
    <mergeCell ref="A1:L1"/>
    <mergeCell ref="A2:L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0.0"/>
    <col customWidth="1" min="3" max="3" width="6.0"/>
    <col customWidth="1" min="4" max="4" width="11.0"/>
    <col customWidth="1" min="5" max="5" width="17.0"/>
    <col customWidth="1" min="6" max="6" width="7.0"/>
    <col customWidth="1" min="7" max="7" width="66.0"/>
    <col customWidth="1" min="8" max="8" width="13.0"/>
    <col customWidth="1" min="9" max="9" width="26.0"/>
    <col customWidth="1" min="10" max="10" width="40.0"/>
    <col customWidth="1" min="11" max="11" width="10.0"/>
    <col customWidth="1" min="12" max="12" width="28.0"/>
    <col customWidth="1" min="13" max="13" width="60.0"/>
    <col customWidth="1" min="14" max="15" width="9.0"/>
    <col customWidth="1" min="16" max="16" width="7.0"/>
    <col customWidth="1" min="17" max="26" width="8.71"/>
  </cols>
  <sheetData>
    <row r="1" ht="19.5" customHeight="1">
      <c r="A1" s="1" t="s">
        <v>487</v>
      </c>
    </row>
    <row r="2" ht="25.5" customHeight="1">
      <c r="A2" s="2" t="s">
        <v>492</v>
      </c>
    </row>
    <row r="4" ht="30.0" customHeight="1">
      <c r="A4" s="3" t="s">
        <v>58</v>
      </c>
      <c r="B4" s="3" t="s">
        <v>66</v>
      </c>
      <c r="C4" s="3" t="s">
        <v>499</v>
      </c>
      <c r="D4" s="3" t="s">
        <v>84</v>
      </c>
      <c r="E4" s="3" t="s">
        <v>500</v>
      </c>
      <c r="F4" s="3" t="s">
        <v>501</v>
      </c>
      <c r="G4" s="3" t="s">
        <v>503</v>
      </c>
      <c r="H4" s="3" t="s">
        <v>505</v>
      </c>
      <c r="I4" s="3" t="s">
        <v>507</v>
      </c>
      <c r="J4" s="3" t="s">
        <v>508</v>
      </c>
      <c r="K4" s="3" t="s">
        <v>510</v>
      </c>
      <c r="L4" s="3" t="s">
        <v>511</v>
      </c>
      <c r="M4" s="3" t="s">
        <v>512</v>
      </c>
      <c r="N4" s="3" t="s">
        <v>97</v>
      </c>
      <c r="O4" s="3" t="s">
        <v>101</v>
      </c>
      <c r="P4" s="3" t="s">
        <v>95</v>
      </c>
    </row>
    <row r="5">
      <c r="A5" s="6" t="s">
        <v>519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>
      <c r="A6" s="8" t="s">
        <v>187</v>
      </c>
      <c r="B6" s="7" t="s">
        <v>194</v>
      </c>
      <c r="C6" s="8">
        <v>1.0</v>
      </c>
      <c r="D6" s="8" t="s">
        <v>531</v>
      </c>
      <c r="E6" s="8" t="s">
        <v>204</v>
      </c>
      <c r="F6" s="8" t="s">
        <v>532</v>
      </c>
      <c r="G6" s="7" t="s">
        <v>533</v>
      </c>
      <c r="H6" s="8" t="s">
        <v>535</v>
      </c>
      <c r="I6" s="7" t="s">
        <v>537</v>
      </c>
      <c r="J6" s="7" t="s">
        <v>539</v>
      </c>
      <c r="K6" s="8" t="s">
        <v>541</v>
      </c>
      <c r="L6" s="7" t="s">
        <v>542</v>
      </c>
      <c r="M6" s="7" t="s">
        <v>544</v>
      </c>
      <c r="N6" s="8" t="s">
        <v>217</v>
      </c>
      <c r="O6" s="8" t="s">
        <v>220</v>
      </c>
      <c r="P6" s="8" t="s">
        <v>172</v>
      </c>
    </row>
    <row r="7">
      <c r="A7" s="5" t="s">
        <v>187</v>
      </c>
      <c r="B7" s="4" t="s">
        <v>194</v>
      </c>
      <c r="C7" s="5">
        <v>2.0</v>
      </c>
      <c r="D7" s="5" t="s">
        <v>550</v>
      </c>
      <c r="E7" s="5" t="s">
        <v>204</v>
      </c>
      <c r="F7" s="5" t="s">
        <v>532</v>
      </c>
      <c r="G7" s="4" t="s">
        <v>551</v>
      </c>
      <c r="H7" s="5" t="s">
        <v>552</v>
      </c>
      <c r="I7" s="4" t="s">
        <v>553</v>
      </c>
      <c r="J7" s="4" t="s">
        <v>555</v>
      </c>
      <c r="K7" s="5" t="s">
        <v>541</v>
      </c>
      <c r="L7" s="4" t="s">
        <v>557</v>
      </c>
      <c r="M7" s="4"/>
      <c r="N7" s="5"/>
      <c r="O7" s="5" t="s">
        <v>220</v>
      </c>
      <c r="P7" s="5" t="s">
        <v>172</v>
      </c>
    </row>
    <row r="8">
      <c r="A8" s="8" t="s">
        <v>187</v>
      </c>
      <c r="B8" s="7" t="s">
        <v>194</v>
      </c>
      <c r="C8" s="8">
        <v>3.0</v>
      </c>
      <c r="D8" s="8" t="s">
        <v>559</v>
      </c>
      <c r="E8" s="8" t="s">
        <v>204</v>
      </c>
      <c r="F8" s="8" t="s">
        <v>532</v>
      </c>
      <c r="G8" s="7" t="s">
        <v>561</v>
      </c>
      <c r="H8" s="8" t="s">
        <v>562</v>
      </c>
      <c r="I8" s="7" t="s">
        <v>564</v>
      </c>
      <c r="J8" s="7" t="s">
        <v>565</v>
      </c>
      <c r="K8" s="8" t="s">
        <v>541</v>
      </c>
      <c r="L8" s="7" t="s">
        <v>557</v>
      </c>
      <c r="M8" s="7" t="s">
        <v>569</v>
      </c>
      <c r="N8" s="8" t="s">
        <v>217</v>
      </c>
      <c r="O8" s="8" t="s">
        <v>220</v>
      </c>
      <c r="P8" s="8" t="s">
        <v>172</v>
      </c>
    </row>
    <row r="9">
      <c r="A9" s="5" t="s">
        <v>187</v>
      </c>
      <c r="B9" s="4" t="s">
        <v>194</v>
      </c>
      <c r="C9" s="5">
        <v>4.0</v>
      </c>
      <c r="D9" s="5" t="s">
        <v>572</v>
      </c>
      <c r="E9" s="5" t="s">
        <v>287</v>
      </c>
      <c r="F9" s="5" t="s">
        <v>575</v>
      </c>
      <c r="G9" s="4" t="s">
        <v>576</v>
      </c>
      <c r="H9" s="5" t="s">
        <v>578</v>
      </c>
      <c r="I9" s="4" t="s">
        <v>579</v>
      </c>
      <c r="J9" s="4" t="s">
        <v>581</v>
      </c>
      <c r="K9" s="5" t="s">
        <v>582</v>
      </c>
      <c r="L9" s="4"/>
      <c r="M9" s="4" t="s">
        <v>583</v>
      </c>
      <c r="N9" s="5" t="s">
        <v>217</v>
      </c>
      <c r="O9" s="5" t="s">
        <v>220</v>
      </c>
      <c r="P9" s="5" t="s">
        <v>172</v>
      </c>
    </row>
    <row r="10">
      <c r="A10" s="8" t="s">
        <v>187</v>
      </c>
      <c r="B10" s="7" t="s">
        <v>194</v>
      </c>
      <c r="C10" s="8">
        <v>5.0</v>
      </c>
      <c r="D10" s="8" t="s">
        <v>589</v>
      </c>
      <c r="E10" s="8" t="s">
        <v>287</v>
      </c>
      <c r="F10" s="8" t="s">
        <v>592</v>
      </c>
      <c r="G10" s="7" t="s">
        <v>593</v>
      </c>
      <c r="H10" s="8" t="s">
        <v>594</v>
      </c>
      <c r="I10" s="7" t="s">
        <v>595</v>
      </c>
      <c r="J10" s="7" t="s">
        <v>596</v>
      </c>
      <c r="K10" s="8" t="s">
        <v>582</v>
      </c>
      <c r="L10" s="7"/>
      <c r="M10" s="7" t="s">
        <v>601</v>
      </c>
      <c r="N10" s="8" t="s">
        <v>217</v>
      </c>
      <c r="O10" s="8" t="s">
        <v>220</v>
      </c>
      <c r="P10" s="8" t="s">
        <v>172</v>
      </c>
    </row>
    <row r="11">
      <c r="A11" s="6" t="s">
        <v>605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>
      <c r="A12" s="8" t="s">
        <v>268</v>
      </c>
      <c r="B12" s="7" t="s">
        <v>270</v>
      </c>
      <c r="C12" s="8">
        <v>1.0</v>
      </c>
      <c r="D12" s="8" t="s">
        <v>617</v>
      </c>
      <c r="E12" s="8" t="s">
        <v>619</v>
      </c>
      <c r="F12" s="8" t="s">
        <v>532</v>
      </c>
      <c r="G12" s="7" t="s">
        <v>621</v>
      </c>
      <c r="H12" s="8" t="s">
        <v>622</v>
      </c>
      <c r="I12" s="7" t="s">
        <v>623</v>
      </c>
      <c r="J12" s="7" t="s">
        <v>626</v>
      </c>
      <c r="K12" s="8" t="s">
        <v>628</v>
      </c>
      <c r="L12" s="7" t="s">
        <v>630</v>
      </c>
      <c r="M12" s="7" t="s">
        <v>631</v>
      </c>
      <c r="N12" s="8" t="s">
        <v>259</v>
      </c>
      <c r="O12" s="8" t="s">
        <v>278</v>
      </c>
      <c r="P12" s="8" t="s">
        <v>172</v>
      </c>
    </row>
    <row r="13">
      <c r="A13" s="5" t="s">
        <v>268</v>
      </c>
      <c r="B13" s="4" t="s">
        <v>270</v>
      </c>
      <c r="C13" s="5">
        <v>2.0</v>
      </c>
      <c r="D13" s="5" t="s">
        <v>635</v>
      </c>
      <c r="E13" s="5" t="s">
        <v>287</v>
      </c>
      <c r="F13" s="5" t="s">
        <v>575</v>
      </c>
      <c r="G13" s="4" t="s">
        <v>639</v>
      </c>
      <c r="H13" s="5" t="s">
        <v>641</v>
      </c>
      <c r="I13" s="4" t="s">
        <v>642</v>
      </c>
      <c r="J13" s="4" t="s">
        <v>644</v>
      </c>
      <c r="K13" s="5" t="s">
        <v>582</v>
      </c>
      <c r="L13" s="4" t="s">
        <v>645</v>
      </c>
      <c r="M13" s="4" t="s">
        <v>646</v>
      </c>
      <c r="N13" s="5" t="s">
        <v>259</v>
      </c>
      <c r="O13" s="5" t="s">
        <v>278</v>
      </c>
      <c r="P13" s="5" t="s">
        <v>172</v>
      </c>
    </row>
    <row r="14">
      <c r="A14" s="8" t="s">
        <v>268</v>
      </c>
      <c r="B14" s="7" t="s">
        <v>270</v>
      </c>
      <c r="C14" s="8">
        <v>3.0</v>
      </c>
      <c r="D14" s="8" t="s">
        <v>653</v>
      </c>
      <c r="E14" s="8" t="s">
        <v>654</v>
      </c>
      <c r="F14" s="8" t="s">
        <v>655</v>
      </c>
      <c r="G14" s="7" t="s">
        <v>656</v>
      </c>
      <c r="H14" s="8" t="s">
        <v>657</v>
      </c>
      <c r="I14" s="7" t="s">
        <v>658</v>
      </c>
      <c r="J14" s="7" t="s">
        <v>661</v>
      </c>
      <c r="K14" s="8" t="s">
        <v>662</v>
      </c>
      <c r="L14" s="7" t="s">
        <v>664</v>
      </c>
      <c r="M14" s="7" t="s">
        <v>667</v>
      </c>
      <c r="N14" s="8" t="s">
        <v>259</v>
      </c>
      <c r="O14" s="8" t="s">
        <v>278</v>
      </c>
      <c r="P14" s="8" t="s">
        <v>172</v>
      </c>
    </row>
    <row r="15">
      <c r="A15" s="5" t="s">
        <v>268</v>
      </c>
      <c r="B15" s="4" t="s">
        <v>270</v>
      </c>
      <c r="C15" s="5">
        <v>4.0</v>
      </c>
      <c r="D15" s="5" t="s">
        <v>674</v>
      </c>
      <c r="E15" s="5" t="s">
        <v>287</v>
      </c>
      <c r="F15" s="5" t="s">
        <v>592</v>
      </c>
      <c r="G15" s="4" t="s">
        <v>675</v>
      </c>
      <c r="H15" s="5" t="s">
        <v>622</v>
      </c>
      <c r="I15" s="4" t="s">
        <v>677</v>
      </c>
      <c r="J15" s="4" t="s">
        <v>679</v>
      </c>
      <c r="K15" s="5" t="s">
        <v>582</v>
      </c>
      <c r="L15" s="4"/>
      <c r="M15" s="4" t="s">
        <v>683</v>
      </c>
      <c r="N15" s="5" t="s">
        <v>259</v>
      </c>
      <c r="O15" s="5" t="s">
        <v>278</v>
      </c>
      <c r="P15" s="5" t="s">
        <v>172</v>
      </c>
    </row>
    <row r="16">
      <c r="A16" s="8" t="s">
        <v>268</v>
      </c>
      <c r="B16" s="7" t="s">
        <v>270</v>
      </c>
      <c r="C16" s="8">
        <v>5.0</v>
      </c>
      <c r="D16" s="8" t="s">
        <v>687</v>
      </c>
      <c r="E16" s="8" t="s">
        <v>287</v>
      </c>
      <c r="F16" s="8" t="s">
        <v>575</v>
      </c>
      <c r="G16" s="7" t="s">
        <v>689</v>
      </c>
      <c r="H16" s="8" t="s">
        <v>691</v>
      </c>
      <c r="I16" s="7" t="s">
        <v>693</v>
      </c>
      <c r="J16" s="7" t="s">
        <v>696</v>
      </c>
      <c r="K16" s="8" t="s">
        <v>582</v>
      </c>
      <c r="L16" s="7" t="s">
        <v>698</v>
      </c>
      <c r="M16" s="7" t="s">
        <v>699</v>
      </c>
      <c r="N16" s="8" t="s">
        <v>259</v>
      </c>
      <c r="O16" s="8" t="s">
        <v>278</v>
      </c>
      <c r="P16" s="8" t="s">
        <v>172</v>
      </c>
    </row>
    <row r="17">
      <c r="A17" s="5" t="s">
        <v>268</v>
      </c>
      <c r="B17" s="4" t="s">
        <v>270</v>
      </c>
      <c r="C17" s="5">
        <v>6.0</v>
      </c>
      <c r="D17" s="5" t="s">
        <v>704</v>
      </c>
      <c r="E17" s="5" t="s">
        <v>525</v>
      </c>
      <c r="F17" s="5" t="s">
        <v>532</v>
      </c>
      <c r="G17" s="4" t="s">
        <v>707</v>
      </c>
      <c r="H17" s="5" t="s">
        <v>708</v>
      </c>
      <c r="I17" s="4" t="s">
        <v>710</v>
      </c>
      <c r="J17" s="4" t="s">
        <v>713</v>
      </c>
      <c r="K17" s="5" t="s">
        <v>662</v>
      </c>
      <c r="L17" s="4" t="s">
        <v>716</v>
      </c>
      <c r="M17" s="4" t="s">
        <v>717</v>
      </c>
      <c r="N17" s="5" t="s">
        <v>291</v>
      </c>
      <c r="O17" s="5" t="s">
        <v>278</v>
      </c>
      <c r="P17" s="5" t="s">
        <v>172</v>
      </c>
    </row>
    <row r="18">
      <c r="A18" s="6" t="s">
        <v>722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5" t="s">
        <v>307</v>
      </c>
      <c r="B19" s="4" t="s">
        <v>309</v>
      </c>
      <c r="C19" s="5">
        <v>1.0</v>
      </c>
      <c r="D19" s="5" t="s">
        <v>731</v>
      </c>
      <c r="E19" s="5" t="s">
        <v>287</v>
      </c>
      <c r="F19" s="5" t="s">
        <v>575</v>
      </c>
      <c r="G19" s="4" t="s">
        <v>733</v>
      </c>
      <c r="H19" s="5" t="s">
        <v>735</v>
      </c>
      <c r="I19" s="4" t="s">
        <v>737</v>
      </c>
      <c r="J19" s="4" t="s">
        <v>738</v>
      </c>
      <c r="K19" s="5" t="s">
        <v>582</v>
      </c>
      <c r="L19" s="4" t="s">
        <v>739</v>
      </c>
      <c r="M19" s="4"/>
      <c r="N19" s="5"/>
      <c r="O19" s="5" t="s">
        <v>318</v>
      </c>
      <c r="P19" s="5" t="s">
        <v>172</v>
      </c>
    </row>
    <row r="20">
      <c r="A20" s="8" t="s">
        <v>307</v>
      </c>
      <c r="B20" s="7" t="s">
        <v>309</v>
      </c>
      <c r="C20" s="8">
        <v>2.0</v>
      </c>
      <c r="D20" s="8" t="s">
        <v>742</v>
      </c>
      <c r="E20" s="8" t="s">
        <v>287</v>
      </c>
      <c r="F20" s="8" t="s">
        <v>575</v>
      </c>
      <c r="G20" s="7" t="s">
        <v>744</v>
      </c>
      <c r="H20" s="8" t="s">
        <v>735</v>
      </c>
      <c r="I20" s="7" t="s">
        <v>745</v>
      </c>
      <c r="J20" s="7" t="s">
        <v>747</v>
      </c>
      <c r="K20" s="8" t="s">
        <v>582</v>
      </c>
      <c r="L20" s="7"/>
      <c r="M20" s="7"/>
      <c r="N20" s="8"/>
      <c r="O20" s="8" t="s">
        <v>318</v>
      </c>
      <c r="P20" s="8" t="s">
        <v>172</v>
      </c>
    </row>
    <row r="21" ht="15.75" customHeight="1">
      <c r="A21" s="5" t="s">
        <v>307</v>
      </c>
      <c r="B21" s="4" t="s">
        <v>309</v>
      </c>
      <c r="C21" s="5">
        <v>3.0</v>
      </c>
      <c r="D21" s="5" t="s">
        <v>755</v>
      </c>
      <c r="E21" s="5" t="s">
        <v>287</v>
      </c>
      <c r="F21" s="5" t="s">
        <v>575</v>
      </c>
      <c r="G21" s="4" t="s">
        <v>758</v>
      </c>
      <c r="H21" s="5" t="s">
        <v>760</v>
      </c>
      <c r="I21" s="4" t="s">
        <v>761</v>
      </c>
      <c r="J21" s="4" t="s">
        <v>763</v>
      </c>
      <c r="K21" s="5" t="s">
        <v>582</v>
      </c>
      <c r="L21" s="4"/>
      <c r="M21" s="4" t="s">
        <v>767</v>
      </c>
      <c r="N21" s="5" t="s">
        <v>316</v>
      </c>
      <c r="O21" s="5" t="s">
        <v>318</v>
      </c>
      <c r="P21" s="5" t="s">
        <v>172</v>
      </c>
    </row>
    <row r="22" ht="15.75" customHeight="1">
      <c r="A22" s="6" t="s">
        <v>768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ht="15.75" customHeight="1">
      <c r="A23" s="5" t="s">
        <v>327</v>
      </c>
      <c r="B23" s="4" t="s">
        <v>329</v>
      </c>
      <c r="C23" s="5">
        <v>1.0</v>
      </c>
      <c r="D23" s="5" t="s">
        <v>774</v>
      </c>
      <c r="E23" s="5" t="s">
        <v>331</v>
      </c>
      <c r="F23" s="5" t="s">
        <v>532</v>
      </c>
      <c r="G23" s="4" t="s">
        <v>777</v>
      </c>
      <c r="H23" s="5" t="s">
        <v>779</v>
      </c>
      <c r="I23" s="4" t="s">
        <v>781</v>
      </c>
      <c r="J23" s="4" t="s">
        <v>782</v>
      </c>
      <c r="K23" s="5" t="s">
        <v>783</v>
      </c>
      <c r="L23" s="4"/>
      <c r="M23" s="4" t="s">
        <v>786</v>
      </c>
      <c r="N23" s="5" t="s">
        <v>424</v>
      </c>
      <c r="O23" s="5" t="s">
        <v>335</v>
      </c>
      <c r="P23" s="5" t="s">
        <v>221</v>
      </c>
    </row>
    <row r="24" ht="15.75" customHeight="1">
      <c r="A24" s="8" t="s">
        <v>327</v>
      </c>
      <c r="B24" s="7" t="s">
        <v>329</v>
      </c>
      <c r="C24" s="8">
        <v>2.0</v>
      </c>
      <c r="D24" s="8" t="s">
        <v>793</v>
      </c>
      <c r="E24" s="8" t="s">
        <v>287</v>
      </c>
      <c r="F24" s="8" t="s">
        <v>592</v>
      </c>
      <c r="G24" s="7" t="s">
        <v>796</v>
      </c>
      <c r="H24" s="8" t="s">
        <v>798</v>
      </c>
      <c r="I24" s="7" t="s">
        <v>781</v>
      </c>
      <c r="J24" s="7" t="s">
        <v>799</v>
      </c>
      <c r="K24" s="8" t="s">
        <v>783</v>
      </c>
      <c r="L24" s="7" t="s">
        <v>802</v>
      </c>
      <c r="M24" s="7" t="s">
        <v>805</v>
      </c>
      <c r="N24" s="8" t="s">
        <v>424</v>
      </c>
      <c r="O24" s="8" t="s">
        <v>335</v>
      </c>
      <c r="P24" s="8" t="s">
        <v>221</v>
      </c>
    </row>
    <row r="25" ht="15.75" customHeight="1">
      <c r="A25" s="5" t="s">
        <v>327</v>
      </c>
      <c r="B25" s="4" t="s">
        <v>329</v>
      </c>
      <c r="C25" s="5">
        <v>3.0</v>
      </c>
      <c r="D25" s="5" t="s">
        <v>809</v>
      </c>
      <c r="E25" s="5" t="s">
        <v>331</v>
      </c>
      <c r="F25" s="5" t="s">
        <v>532</v>
      </c>
      <c r="G25" s="4" t="s">
        <v>813</v>
      </c>
      <c r="H25" s="5" t="s">
        <v>815</v>
      </c>
      <c r="I25" s="4" t="s">
        <v>817</v>
      </c>
      <c r="J25" s="4" t="s">
        <v>820</v>
      </c>
      <c r="K25" s="5" t="s">
        <v>783</v>
      </c>
      <c r="L25" s="4" t="s">
        <v>823</v>
      </c>
      <c r="M25" s="4" t="s">
        <v>826</v>
      </c>
      <c r="N25" s="5" t="s">
        <v>316</v>
      </c>
      <c r="O25" s="5" t="s">
        <v>335</v>
      </c>
      <c r="P25" s="5" t="s">
        <v>221</v>
      </c>
    </row>
    <row r="26" ht="15.75" customHeight="1">
      <c r="A26" s="8" t="s">
        <v>327</v>
      </c>
      <c r="B26" s="7" t="s">
        <v>329</v>
      </c>
      <c r="C26" s="8">
        <v>4.0</v>
      </c>
      <c r="D26" s="8" t="s">
        <v>831</v>
      </c>
      <c r="E26" s="8" t="s">
        <v>331</v>
      </c>
      <c r="F26" s="8" t="s">
        <v>532</v>
      </c>
      <c r="G26" s="7" t="s">
        <v>834</v>
      </c>
      <c r="H26" s="8" t="s">
        <v>835</v>
      </c>
      <c r="I26" s="7" t="s">
        <v>836</v>
      </c>
      <c r="J26" s="7" t="s">
        <v>837</v>
      </c>
      <c r="K26" s="8" t="s">
        <v>838</v>
      </c>
      <c r="L26" s="7" t="s">
        <v>840</v>
      </c>
      <c r="M26" s="7" t="s">
        <v>841</v>
      </c>
      <c r="N26" s="8"/>
      <c r="O26" s="8" t="s">
        <v>335</v>
      </c>
      <c r="P26" s="8" t="s">
        <v>221</v>
      </c>
    </row>
    <row r="27" ht="15.75" customHeight="1">
      <c r="A27" s="5" t="s">
        <v>327</v>
      </c>
      <c r="B27" s="4" t="s">
        <v>329</v>
      </c>
      <c r="C27" s="5">
        <v>5.0</v>
      </c>
      <c r="D27" s="5" t="s">
        <v>848</v>
      </c>
      <c r="E27" s="5" t="s">
        <v>331</v>
      </c>
      <c r="F27" s="5" t="s">
        <v>532</v>
      </c>
      <c r="G27" s="4" t="s">
        <v>850</v>
      </c>
      <c r="H27" s="5" t="s">
        <v>851</v>
      </c>
      <c r="I27" s="4" t="s">
        <v>852</v>
      </c>
      <c r="J27" s="4" t="s">
        <v>854</v>
      </c>
      <c r="K27" s="5" t="s">
        <v>783</v>
      </c>
      <c r="L27" s="4" t="s">
        <v>859</v>
      </c>
      <c r="M27" s="4"/>
      <c r="N27" s="5"/>
      <c r="O27" s="5" t="s">
        <v>335</v>
      </c>
      <c r="P27" s="5" t="s">
        <v>221</v>
      </c>
    </row>
    <row r="28" ht="15.75" customHeight="1">
      <c r="A28" s="8" t="s">
        <v>327</v>
      </c>
      <c r="B28" s="7" t="s">
        <v>329</v>
      </c>
      <c r="C28" s="8">
        <v>6.0</v>
      </c>
      <c r="D28" s="8" t="s">
        <v>866</v>
      </c>
      <c r="E28" s="8" t="s">
        <v>331</v>
      </c>
      <c r="F28" s="8" t="s">
        <v>532</v>
      </c>
      <c r="G28" s="7" t="s">
        <v>871</v>
      </c>
      <c r="H28" s="8" t="s">
        <v>873</v>
      </c>
      <c r="I28" s="7" t="s">
        <v>874</v>
      </c>
      <c r="J28" s="7" t="s">
        <v>877</v>
      </c>
      <c r="K28" s="8" t="s">
        <v>878</v>
      </c>
      <c r="L28" s="7" t="s">
        <v>881</v>
      </c>
      <c r="M28" s="7" t="s">
        <v>883</v>
      </c>
      <c r="N28" s="8" t="s">
        <v>316</v>
      </c>
      <c r="O28" s="8" t="s">
        <v>335</v>
      </c>
      <c r="P28" s="8" t="s">
        <v>221</v>
      </c>
    </row>
    <row r="29" ht="15.75" customHeight="1">
      <c r="A29" s="5" t="s">
        <v>327</v>
      </c>
      <c r="B29" s="4" t="s">
        <v>329</v>
      </c>
      <c r="C29" s="5">
        <v>7.0</v>
      </c>
      <c r="D29" s="5" t="s">
        <v>890</v>
      </c>
      <c r="E29" s="5" t="s">
        <v>287</v>
      </c>
      <c r="F29" s="5" t="s">
        <v>575</v>
      </c>
      <c r="G29" s="4" t="s">
        <v>894</v>
      </c>
      <c r="H29" s="5" t="s">
        <v>896</v>
      </c>
      <c r="I29" s="4" t="s">
        <v>898</v>
      </c>
      <c r="J29" s="4" t="s">
        <v>899</v>
      </c>
      <c r="K29" s="5" t="s">
        <v>878</v>
      </c>
      <c r="L29" s="4" t="s">
        <v>902</v>
      </c>
      <c r="M29" s="4" t="s">
        <v>904</v>
      </c>
      <c r="N29" s="5" t="s">
        <v>316</v>
      </c>
      <c r="O29" s="5" t="s">
        <v>335</v>
      </c>
      <c r="P29" s="5" t="s">
        <v>221</v>
      </c>
    </row>
    <row r="30" ht="15.75" customHeight="1">
      <c r="A30" s="8" t="s">
        <v>327</v>
      </c>
      <c r="B30" s="7" t="s">
        <v>329</v>
      </c>
      <c r="C30" s="8">
        <v>8.0</v>
      </c>
      <c r="D30" s="8" t="s">
        <v>917</v>
      </c>
      <c r="E30" s="8" t="s">
        <v>287</v>
      </c>
      <c r="F30" s="8" t="s">
        <v>575</v>
      </c>
      <c r="G30" s="7" t="s">
        <v>919</v>
      </c>
      <c r="H30" s="8" t="s">
        <v>920</v>
      </c>
      <c r="I30" s="7" t="s">
        <v>923</v>
      </c>
      <c r="J30" s="7" t="s">
        <v>924</v>
      </c>
      <c r="K30" s="8" t="s">
        <v>582</v>
      </c>
      <c r="L30" s="7" t="s">
        <v>927</v>
      </c>
      <c r="M30" s="7"/>
      <c r="N30" s="8"/>
      <c r="O30" s="8" t="s">
        <v>335</v>
      </c>
      <c r="P30" s="8" t="s">
        <v>221</v>
      </c>
    </row>
    <row r="31" ht="15.75" customHeight="1">
      <c r="A31" s="6" t="s">
        <v>932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 ht="15.75" customHeight="1">
      <c r="A32" s="8" t="s">
        <v>337</v>
      </c>
      <c r="B32" s="7" t="s">
        <v>339</v>
      </c>
      <c r="C32" s="8">
        <v>1.0</v>
      </c>
      <c r="D32" s="8" t="s">
        <v>944</v>
      </c>
      <c r="E32" s="8" t="s">
        <v>947</v>
      </c>
      <c r="F32" s="8" t="s">
        <v>532</v>
      </c>
      <c r="G32" s="7" t="s">
        <v>948</v>
      </c>
      <c r="H32" s="8" t="s">
        <v>952</v>
      </c>
      <c r="I32" s="7" t="s">
        <v>954</v>
      </c>
      <c r="J32" s="7" t="s">
        <v>956</v>
      </c>
      <c r="K32" s="8" t="s">
        <v>878</v>
      </c>
      <c r="L32" s="7"/>
      <c r="M32" s="7" t="s">
        <v>960</v>
      </c>
      <c r="N32" s="8"/>
      <c r="O32" s="8"/>
      <c r="P32" s="8" t="s">
        <v>221</v>
      </c>
    </row>
    <row r="33" ht="15.75" customHeight="1">
      <c r="A33" s="5" t="s">
        <v>337</v>
      </c>
      <c r="B33" s="4" t="s">
        <v>339</v>
      </c>
      <c r="C33" s="5">
        <v>2.0</v>
      </c>
      <c r="D33" s="5" t="s">
        <v>966</v>
      </c>
      <c r="E33" s="5" t="s">
        <v>654</v>
      </c>
      <c r="F33" s="5" t="s">
        <v>655</v>
      </c>
      <c r="G33" s="4" t="s">
        <v>971</v>
      </c>
      <c r="H33" s="5" t="s">
        <v>622</v>
      </c>
      <c r="I33" s="4" t="s">
        <v>972</v>
      </c>
      <c r="J33" s="4" t="s">
        <v>973</v>
      </c>
      <c r="K33" s="5" t="s">
        <v>662</v>
      </c>
      <c r="L33" s="4" t="s">
        <v>698</v>
      </c>
      <c r="M33" s="4"/>
      <c r="N33" s="5" t="s">
        <v>259</v>
      </c>
      <c r="O33" s="5"/>
      <c r="P33" s="5" t="s">
        <v>221</v>
      </c>
    </row>
    <row r="34" ht="15.75" customHeight="1">
      <c r="A34" s="8" t="s">
        <v>337</v>
      </c>
      <c r="B34" s="7" t="s">
        <v>339</v>
      </c>
      <c r="C34" s="8">
        <v>3.0</v>
      </c>
      <c r="D34" s="8" t="s">
        <v>981</v>
      </c>
      <c r="E34" s="8" t="s">
        <v>287</v>
      </c>
      <c r="F34" s="8" t="s">
        <v>575</v>
      </c>
      <c r="G34" s="7" t="s">
        <v>986</v>
      </c>
      <c r="H34" s="8" t="s">
        <v>735</v>
      </c>
      <c r="I34" s="7" t="s">
        <v>988</v>
      </c>
      <c r="J34" s="7" t="s">
        <v>990</v>
      </c>
      <c r="K34" s="8" t="s">
        <v>582</v>
      </c>
      <c r="L34" s="7" t="s">
        <v>993</v>
      </c>
      <c r="M34" s="7"/>
      <c r="N34" s="8" t="s">
        <v>316</v>
      </c>
      <c r="O34" s="8"/>
      <c r="P34" s="8" t="s">
        <v>221</v>
      </c>
    </row>
    <row r="35" ht="15.75" customHeight="1">
      <c r="A35" s="5" t="s">
        <v>337</v>
      </c>
      <c r="B35" s="4" t="s">
        <v>339</v>
      </c>
      <c r="C35" s="5">
        <v>4.0</v>
      </c>
      <c r="D35" s="5" t="s">
        <v>1025</v>
      </c>
      <c r="E35" s="5" t="s">
        <v>287</v>
      </c>
      <c r="F35" s="5" t="s">
        <v>592</v>
      </c>
      <c r="G35" s="4" t="s">
        <v>1028</v>
      </c>
      <c r="H35" s="5" t="s">
        <v>1029</v>
      </c>
      <c r="I35" s="4" t="s">
        <v>1031</v>
      </c>
      <c r="J35" s="4" t="s">
        <v>1034</v>
      </c>
      <c r="K35" s="5" t="s">
        <v>582</v>
      </c>
      <c r="L35" s="4" t="s">
        <v>1035</v>
      </c>
      <c r="M35" s="4" t="s">
        <v>1037</v>
      </c>
      <c r="N35" s="5" t="s">
        <v>445</v>
      </c>
      <c r="O35" s="5"/>
      <c r="P35" s="5" t="s">
        <v>221</v>
      </c>
    </row>
    <row r="36" ht="15.75" customHeight="1">
      <c r="A36" s="8" t="s">
        <v>337</v>
      </c>
      <c r="B36" s="7" t="s">
        <v>339</v>
      </c>
      <c r="C36" s="8">
        <v>5.0</v>
      </c>
      <c r="D36" s="8" t="s">
        <v>1042</v>
      </c>
      <c r="E36" s="8" t="s">
        <v>287</v>
      </c>
      <c r="F36" s="8" t="s">
        <v>592</v>
      </c>
      <c r="G36" s="7" t="s">
        <v>1044</v>
      </c>
      <c r="H36" s="8" t="s">
        <v>1045</v>
      </c>
      <c r="I36" s="7" t="s">
        <v>1047</v>
      </c>
      <c r="J36" s="7" t="s">
        <v>1049</v>
      </c>
      <c r="K36" s="8" t="s">
        <v>582</v>
      </c>
      <c r="L36" s="7" t="s">
        <v>1052</v>
      </c>
      <c r="M36" s="7" t="s">
        <v>1053</v>
      </c>
      <c r="N36" s="8"/>
      <c r="O36" s="8"/>
      <c r="P36" s="8" t="s">
        <v>221</v>
      </c>
    </row>
    <row r="37" ht="15.75" customHeight="1">
      <c r="A37" s="6" t="s">
        <v>1055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 ht="15.75" customHeight="1">
      <c r="A38" s="8" t="s">
        <v>351</v>
      </c>
      <c r="B38" s="7" t="s">
        <v>353</v>
      </c>
      <c r="C38" s="8">
        <v>1.0</v>
      </c>
      <c r="D38" s="8" t="s">
        <v>1063</v>
      </c>
      <c r="E38" s="8" t="s">
        <v>287</v>
      </c>
      <c r="F38" s="8" t="s">
        <v>575</v>
      </c>
      <c r="G38" s="7" t="s">
        <v>1067</v>
      </c>
      <c r="H38" s="8" t="s">
        <v>1069</v>
      </c>
      <c r="I38" s="7" t="s">
        <v>1070</v>
      </c>
      <c r="J38" s="7" t="s">
        <v>1071</v>
      </c>
      <c r="K38" s="8" t="s">
        <v>582</v>
      </c>
      <c r="L38" s="7"/>
      <c r="M38" s="7"/>
      <c r="N38" s="8" t="s">
        <v>316</v>
      </c>
      <c r="O38" s="8" t="s">
        <v>361</v>
      </c>
      <c r="P38" s="8" t="s">
        <v>221</v>
      </c>
    </row>
    <row r="39" ht="15.75" customHeight="1">
      <c r="A39" s="5" t="s">
        <v>351</v>
      </c>
      <c r="B39" s="4" t="s">
        <v>353</v>
      </c>
      <c r="C39" s="5">
        <v>2.0</v>
      </c>
      <c r="D39" s="5" t="s">
        <v>1078</v>
      </c>
      <c r="E39" s="5" t="s">
        <v>287</v>
      </c>
      <c r="F39" s="5" t="s">
        <v>575</v>
      </c>
      <c r="G39" s="4" t="s">
        <v>1082</v>
      </c>
      <c r="H39" s="5" t="s">
        <v>1084</v>
      </c>
      <c r="I39" s="4" t="s">
        <v>1087</v>
      </c>
      <c r="J39" s="4" t="s">
        <v>1088</v>
      </c>
      <c r="K39" s="5" t="s">
        <v>582</v>
      </c>
      <c r="L39" s="4"/>
      <c r="M39" s="4" t="s">
        <v>1091</v>
      </c>
      <c r="N39" s="5" t="s">
        <v>316</v>
      </c>
      <c r="O39" s="5" t="s">
        <v>361</v>
      </c>
      <c r="P39" s="5" t="s">
        <v>221</v>
      </c>
    </row>
    <row r="40" ht="15.75" customHeight="1">
      <c r="A40" s="8" t="s">
        <v>351</v>
      </c>
      <c r="B40" s="7" t="s">
        <v>353</v>
      </c>
      <c r="C40" s="8">
        <v>3.0</v>
      </c>
      <c r="D40" s="8" t="s">
        <v>1102</v>
      </c>
      <c r="E40" s="8" t="s">
        <v>287</v>
      </c>
      <c r="F40" s="8" t="s">
        <v>575</v>
      </c>
      <c r="G40" s="7" t="s">
        <v>1105</v>
      </c>
      <c r="H40" s="8" t="s">
        <v>1107</v>
      </c>
      <c r="I40" s="7" t="s">
        <v>1109</v>
      </c>
      <c r="J40" s="7" t="s">
        <v>1112</v>
      </c>
      <c r="K40" s="8" t="s">
        <v>582</v>
      </c>
      <c r="L40" s="7"/>
      <c r="M40" s="7"/>
      <c r="N40" s="8"/>
      <c r="O40" s="8" t="s">
        <v>361</v>
      </c>
      <c r="P40" s="8" t="s">
        <v>221</v>
      </c>
    </row>
    <row r="41" ht="15.75" customHeight="1">
      <c r="A41" s="5" t="s">
        <v>351</v>
      </c>
      <c r="B41" s="4" t="s">
        <v>353</v>
      </c>
      <c r="C41" s="5">
        <v>4.0</v>
      </c>
      <c r="D41" s="5" t="s">
        <v>1119</v>
      </c>
      <c r="E41" s="5" t="s">
        <v>287</v>
      </c>
      <c r="F41" s="5" t="s">
        <v>575</v>
      </c>
      <c r="G41" s="4" t="s">
        <v>1121</v>
      </c>
      <c r="H41" s="5" t="s">
        <v>1122</v>
      </c>
      <c r="I41" s="4" t="s">
        <v>582</v>
      </c>
      <c r="J41" s="4" t="s">
        <v>1125</v>
      </c>
      <c r="K41" s="5" t="s">
        <v>582</v>
      </c>
      <c r="L41" s="4"/>
      <c r="M41" s="4" t="s">
        <v>1127</v>
      </c>
      <c r="N41" s="5" t="s">
        <v>316</v>
      </c>
      <c r="O41" s="5" t="s">
        <v>361</v>
      </c>
      <c r="P41" s="5" t="s">
        <v>221</v>
      </c>
    </row>
    <row r="42" ht="15.75" customHeight="1">
      <c r="A42" s="6" t="s">
        <v>1131</v>
      </c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 ht="15.75" customHeight="1">
      <c r="A43" s="5" t="s">
        <v>364</v>
      </c>
      <c r="B43" s="4" t="s">
        <v>366</v>
      </c>
      <c r="C43" s="5">
        <v>1.0</v>
      </c>
      <c r="D43" s="5" t="s">
        <v>1144</v>
      </c>
      <c r="E43" s="5" t="s">
        <v>1145</v>
      </c>
      <c r="F43" s="5" t="s">
        <v>532</v>
      </c>
      <c r="G43" s="4" t="s">
        <v>1149</v>
      </c>
      <c r="H43" s="5" t="s">
        <v>1152</v>
      </c>
      <c r="I43" s="4" t="s">
        <v>1154</v>
      </c>
      <c r="J43" s="4" t="s">
        <v>1156</v>
      </c>
      <c r="K43" s="5" t="s">
        <v>1158</v>
      </c>
      <c r="L43" s="4" t="s">
        <v>1160</v>
      </c>
      <c r="M43" s="4"/>
      <c r="N43" s="5"/>
      <c r="O43" s="5" t="s">
        <v>378</v>
      </c>
      <c r="P43" s="5" t="s">
        <v>375</v>
      </c>
    </row>
    <row r="44" ht="15.75" customHeight="1">
      <c r="A44" s="8" t="s">
        <v>364</v>
      </c>
      <c r="B44" s="7" t="s">
        <v>366</v>
      </c>
      <c r="C44" s="8">
        <v>2.0</v>
      </c>
      <c r="D44" s="8" t="s">
        <v>1169</v>
      </c>
      <c r="E44" s="8" t="s">
        <v>287</v>
      </c>
      <c r="F44" s="8" t="s">
        <v>575</v>
      </c>
      <c r="G44" s="7" t="s">
        <v>1173</v>
      </c>
      <c r="H44" s="8" t="s">
        <v>1175</v>
      </c>
      <c r="I44" s="7" t="s">
        <v>1177</v>
      </c>
      <c r="J44" s="7" t="s">
        <v>1180</v>
      </c>
      <c r="K44" s="8" t="s">
        <v>1158</v>
      </c>
      <c r="L44" s="7"/>
      <c r="M44" s="7" t="s">
        <v>1184</v>
      </c>
      <c r="N44" s="8"/>
      <c r="O44" s="8" t="s">
        <v>378</v>
      </c>
      <c r="P44" s="8" t="s">
        <v>375</v>
      </c>
    </row>
    <row r="45" ht="15.75" customHeight="1">
      <c r="A45" s="5" t="s">
        <v>364</v>
      </c>
      <c r="B45" s="4" t="s">
        <v>366</v>
      </c>
      <c r="C45" s="5">
        <v>3.0</v>
      </c>
      <c r="D45" s="5" t="s">
        <v>1189</v>
      </c>
      <c r="E45" s="5" t="s">
        <v>287</v>
      </c>
      <c r="F45" s="5" t="s">
        <v>575</v>
      </c>
      <c r="G45" s="4" t="s">
        <v>1194</v>
      </c>
      <c r="H45" s="5" t="s">
        <v>1195</v>
      </c>
      <c r="I45" s="4" t="s">
        <v>582</v>
      </c>
      <c r="J45" s="4" t="s">
        <v>1197</v>
      </c>
      <c r="K45" s="5" t="s">
        <v>1158</v>
      </c>
      <c r="L45" s="4"/>
      <c r="M45" s="4" t="s">
        <v>1200</v>
      </c>
      <c r="N45" s="5"/>
      <c r="O45" s="5" t="s">
        <v>378</v>
      </c>
      <c r="P45" s="5" t="s">
        <v>375</v>
      </c>
    </row>
    <row r="46" ht="15.75" customHeight="1">
      <c r="A46" s="8" t="s">
        <v>364</v>
      </c>
      <c r="B46" s="7" t="s">
        <v>366</v>
      </c>
      <c r="C46" s="8">
        <v>4.0</v>
      </c>
      <c r="D46" s="8" t="s">
        <v>1209</v>
      </c>
      <c r="E46" s="8" t="s">
        <v>331</v>
      </c>
      <c r="F46" s="8" t="s">
        <v>532</v>
      </c>
      <c r="G46" s="7" t="s">
        <v>1221</v>
      </c>
      <c r="H46" s="8" t="s">
        <v>1223</v>
      </c>
      <c r="I46" s="7" t="s">
        <v>1226</v>
      </c>
      <c r="J46" s="7" t="s">
        <v>1227</v>
      </c>
      <c r="K46" s="8" t="s">
        <v>838</v>
      </c>
      <c r="L46" s="7" t="s">
        <v>1232</v>
      </c>
      <c r="M46" s="7" t="s">
        <v>1234</v>
      </c>
      <c r="N46" s="8"/>
      <c r="O46" s="8" t="s">
        <v>378</v>
      </c>
      <c r="P46" s="8" t="s">
        <v>375</v>
      </c>
    </row>
    <row r="47" ht="15.75" customHeight="1">
      <c r="A47" s="6" t="s">
        <v>1238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ht="15.75" customHeight="1">
      <c r="A48" s="8" t="s">
        <v>395</v>
      </c>
      <c r="B48" s="7" t="s">
        <v>397</v>
      </c>
      <c r="C48" s="8">
        <v>1.0</v>
      </c>
      <c r="D48" s="8" t="s">
        <v>1251</v>
      </c>
      <c r="E48" s="8" t="s">
        <v>400</v>
      </c>
      <c r="F48" s="8" t="s">
        <v>532</v>
      </c>
      <c r="G48" s="7" t="s">
        <v>1257</v>
      </c>
      <c r="H48" s="8" t="s">
        <v>1259</v>
      </c>
      <c r="I48" s="7" t="s">
        <v>1261</v>
      </c>
      <c r="J48" s="7" t="s">
        <v>1263</v>
      </c>
      <c r="K48" s="8" t="s">
        <v>1264</v>
      </c>
      <c r="L48" s="7" t="s">
        <v>1266</v>
      </c>
      <c r="M48" s="7"/>
      <c r="N48" s="8"/>
      <c r="O48" s="8" t="s">
        <v>405</v>
      </c>
      <c r="P48" s="8" t="s">
        <v>221</v>
      </c>
    </row>
    <row r="49" ht="15.75" customHeight="1">
      <c r="A49" s="5" t="s">
        <v>395</v>
      </c>
      <c r="B49" s="4" t="s">
        <v>397</v>
      </c>
      <c r="C49" s="5">
        <v>2.0</v>
      </c>
      <c r="D49" s="5" t="s">
        <v>1275</v>
      </c>
      <c r="E49" s="5" t="s">
        <v>287</v>
      </c>
      <c r="F49" s="5" t="s">
        <v>575</v>
      </c>
      <c r="G49" s="4" t="s">
        <v>1278</v>
      </c>
      <c r="H49" s="5" t="s">
        <v>1279</v>
      </c>
      <c r="I49" s="4" t="s">
        <v>1280</v>
      </c>
      <c r="J49" s="4" t="s">
        <v>1281</v>
      </c>
      <c r="K49" s="5" t="s">
        <v>1264</v>
      </c>
      <c r="L49" s="4" t="s">
        <v>1286</v>
      </c>
      <c r="M49" s="4" t="s">
        <v>1287</v>
      </c>
      <c r="N49" s="5" t="s">
        <v>424</v>
      </c>
      <c r="O49" s="5" t="s">
        <v>405</v>
      </c>
      <c r="P49" s="5" t="s">
        <v>221</v>
      </c>
    </row>
    <row r="50" ht="15.75" customHeight="1">
      <c r="A50" s="8" t="s">
        <v>395</v>
      </c>
      <c r="B50" s="7" t="s">
        <v>397</v>
      </c>
      <c r="C50" s="8">
        <v>3.0</v>
      </c>
      <c r="D50" s="8" t="s">
        <v>1295</v>
      </c>
      <c r="E50" s="8" t="s">
        <v>287</v>
      </c>
      <c r="F50" s="8" t="s">
        <v>575</v>
      </c>
      <c r="G50" s="7" t="s">
        <v>1298</v>
      </c>
      <c r="H50" s="8" t="s">
        <v>1300</v>
      </c>
      <c r="I50" s="7" t="s">
        <v>1301</v>
      </c>
      <c r="J50" s="7" t="s">
        <v>1303</v>
      </c>
      <c r="K50" s="8" t="s">
        <v>582</v>
      </c>
      <c r="L50" s="7" t="s">
        <v>1305</v>
      </c>
      <c r="M50" s="7"/>
      <c r="N50" s="8"/>
      <c r="O50" s="8" t="s">
        <v>405</v>
      </c>
      <c r="P50" s="8" t="s">
        <v>221</v>
      </c>
    </row>
    <row r="51" ht="15.75" customHeight="1">
      <c r="A51" s="6" t="s">
        <v>1309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ht="15.75" customHeight="1">
      <c r="A52" s="8" t="s">
        <v>428</v>
      </c>
      <c r="B52" s="7" t="s">
        <v>429</v>
      </c>
      <c r="C52" s="8">
        <v>1.0</v>
      </c>
      <c r="D52" s="8" t="s">
        <v>1323</v>
      </c>
      <c r="E52" s="8" t="s">
        <v>431</v>
      </c>
      <c r="F52" s="8" t="s">
        <v>532</v>
      </c>
      <c r="G52" s="7" t="s">
        <v>1327</v>
      </c>
      <c r="H52" s="8" t="s">
        <v>1329</v>
      </c>
      <c r="I52" s="7" t="s">
        <v>1331</v>
      </c>
      <c r="J52" s="7" t="s">
        <v>1333</v>
      </c>
      <c r="K52" s="8" t="s">
        <v>1335</v>
      </c>
      <c r="L52" s="7" t="s">
        <v>1337</v>
      </c>
      <c r="M52" s="7" t="s">
        <v>1339</v>
      </c>
      <c r="N52" s="8"/>
      <c r="O52" s="8" t="s">
        <v>433</v>
      </c>
      <c r="P52" s="8" t="s">
        <v>221</v>
      </c>
    </row>
    <row r="53" ht="15.75" customHeight="1">
      <c r="A53" s="5" t="s">
        <v>428</v>
      </c>
      <c r="B53" s="4" t="s">
        <v>429</v>
      </c>
      <c r="C53" s="5">
        <v>2.0</v>
      </c>
      <c r="D53" s="5" t="s">
        <v>1346</v>
      </c>
      <c r="E53" s="5" t="s">
        <v>1349</v>
      </c>
      <c r="F53" s="5" t="s">
        <v>324</v>
      </c>
      <c r="G53" s="4" t="s">
        <v>1351</v>
      </c>
      <c r="H53" s="5" t="s">
        <v>1352</v>
      </c>
      <c r="I53" s="4" t="s">
        <v>1331</v>
      </c>
      <c r="J53" s="4" t="s">
        <v>1353</v>
      </c>
      <c r="K53" s="5" t="s">
        <v>582</v>
      </c>
      <c r="L53" s="4" t="s">
        <v>1356</v>
      </c>
      <c r="M53" s="4" t="s">
        <v>1359</v>
      </c>
      <c r="N53" s="5"/>
      <c r="O53" s="5" t="s">
        <v>433</v>
      </c>
      <c r="P53" s="5" t="s">
        <v>221</v>
      </c>
    </row>
    <row r="54" ht="15.75" customHeight="1">
      <c r="A54" s="8" t="s">
        <v>428</v>
      </c>
      <c r="B54" s="7" t="s">
        <v>429</v>
      </c>
      <c r="C54" s="8">
        <v>3.0</v>
      </c>
      <c r="D54" s="8" t="s">
        <v>1364</v>
      </c>
      <c r="E54" s="8" t="s">
        <v>287</v>
      </c>
      <c r="F54" s="8" t="s">
        <v>575</v>
      </c>
      <c r="G54" s="7" t="s">
        <v>1365</v>
      </c>
      <c r="H54" s="8" t="s">
        <v>1367</v>
      </c>
      <c r="I54" s="7" t="s">
        <v>1331</v>
      </c>
      <c r="J54" s="7" t="s">
        <v>1370</v>
      </c>
      <c r="K54" s="8" t="s">
        <v>582</v>
      </c>
      <c r="L54" s="7"/>
      <c r="M54" s="7" t="s">
        <v>1373</v>
      </c>
      <c r="N54" s="8" t="s">
        <v>304</v>
      </c>
      <c r="O54" s="8" t="s">
        <v>433</v>
      </c>
      <c r="P54" s="8" t="s">
        <v>221</v>
      </c>
    </row>
    <row r="55" ht="15.75" customHeight="1">
      <c r="A55" s="5" t="s">
        <v>428</v>
      </c>
      <c r="B55" s="4" t="s">
        <v>429</v>
      </c>
      <c r="C55" s="5">
        <v>4.0</v>
      </c>
      <c r="D55" s="5" t="s">
        <v>1379</v>
      </c>
      <c r="E55" s="5" t="s">
        <v>287</v>
      </c>
      <c r="F55" s="5" t="s">
        <v>575</v>
      </c>
      <c r="G55" s="4" t="s">
        <v>1383</v>
      </c>
      <c r="H55" s="5" t="s">
        <v>1386</v>
      </c>
      <c r="I55" s="4" t="s">
        <v>1389</v>
      </c>
      <c r="J55" s="4" t="s">
        <v>1390</v>
      </c>
      <c r="K55" s="5" t="s">
        <v>582</v>
      </c>
      <c r="L55" s="4" t="s">
        <v>1035</v>
      </c>
      <c r="M55" s="4" t="s">
        <v>1392</v>
      </c>
      <c r="N55" s="5" t="s">
        <v>445</v>
      </c>
      <c r="O55" s="5" t="s">
        <v>433</v>
      </c>
      <c r="P55" s="5" t="s">
        <v>221</v>
      </c>
    </row>
    <row r="56" ht="15.75" customHeight="1">
      <c r="A56" s="6" t="s">
        <v>1396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ht="15.75" customHeight="1">
      <c r="A57" s="5" t="s">
        <v>435</v>
      </c>
      <c r="B57" s="4" t="s">
        <v>436</v>
      </c>
      <c r="C57" s="5">
        <v>1.0</v>
      </c>
      <c r="D57" s="5" t="s">
        <v>1407</v>
      </c>
      <c r="E57" s="5" t="s">
        <v>287</v>
      </c>
      <c r="F57" s="5" t="s">
        <v>575</v>
      </c>
      <c r="G57" s="4" t="s">
        <v>1411</v>
      </c>
      <c r="H57" s="5" t="s">
        <v>1412</v>
      </c>
      <c r="I57" s="4" t="s">
        <v>1414</v>
      </c>
      <c r="J57" s="4" t="s">
        <v>1415</v>
      </c>
      <c r="K57" s="5" t="s">
        <v>582</v>
      </c>
      <c r="L57" s="4"/>
      <c r="M57" s="4" t="s">
        <v>1418</v>
      </c>
      <c r="N57" s="5" t="s">
        <v>445</v>
      </c>
      <c r="O57" s="5" t="s">
        <v>433</v>
      </c>
      <c r="P57" s="5" t="s">
        <v>221</v>
      </c>
    </row>
    <row r="58" ht="15.75" customHeight="1">
      <c r="A58" s="8" t="s">
        <v>435</v>
      </c>
      <c r="B58" s="7" t="s">
        <v>436</v>
      </c>
      <c r="C58" s="8">
        <v>2.0</v>
      </c>
      <c r="D58" s="8" t="s">
        <v>1424</v>
      </c>
      <c r="E58" s="8" t="s">
        <v>287</v>
      </c>
      <c r="F58" s="8" t="s">
        <v>575</v>
      </c>
      <c r="G58" s="7" t="s">
        <v>1427</v>
      </c>
      <c r="H58" s="8" t="s">
        <v>1429</v>
      </c>
      <c r="I58" s="7" t="s">
        <v>1432</v>
      </c>
      <c r="J58" s="7" t="s">
        <v>1433</v>
      </c>
      <c r="K58" s="8" t="s">
        <v>582</v>
      </c>
      <c r="L58" s="7"/>
      <c r="M58" s="7"/>
      <c r="N58" s="8"/>
      <c r="O58" s="8" t="s">
        <v>433</v>
      </c>
      <c r="P58" s="8" t="s">
        <v>221</v>
      </c>
    </row>
    <row r="59" ht="15.75" customHeight="1">
      <c r="A59" s="5" t="s">
        <v>435</v>
      </c>
      <c r="B59" s="4" t="s">
        <v>436</v>
      </c>
      <c r="C59" s="5">
        <v>3.0</v>
      </c>
      <c r="D59" s="5" t="s">
        <v>1442</v>
      </c>
      <c r="E59" s="5" t="s">
        <v>287</v>
      </c>
      <c r="F59" s="5" t="s">
        <v>575</v>
      </c>
      <c r="G59" s="4" t="s">
        <v>1445</v>
      </c>
      <c r="H59" s="5" t="s">
        <v>1447</v>
      </c>
      <c r="I59" s="4" t="s">
        <v>1449</v>
      </c>
      <c r="J59" s="4" t="s">
        <v>1450</v>
      </c>
      <c r="K59" s="5" t="s">
        <v>582</v>
      </c>
      <c r="L59" s="4"/>
      <c r="M59" s="4" t="s">
        <v>1453</v>
      </c>
      <c r="N59" s="5" t="s">
        <v>445</v>
      </c>
      <c r="O59" s="5" t="s">
        <v>433</v>
      </c>
      <c r="P59" s="5" t="s">
        <v>221</v>
      </c>
    </row>
    <row r="60" ht="15.75" customHeight="1">
      <c r="A60" s="8" t="s">
        <v>435</v>
      </c>
      <c r="B60" s="7" t="s">
        <v>436</v>
      </c>
      <c r="C60" s="8">
        <v>4.0</v>
      </c>
      <c r="D60" s="8" t="s">
        <v>1460</v>
      </c>
      <c r="E60" s="8" t="s">
        <v>287</v>
      </c>
      <c r="F60" s="8" t="s">
        <v>575</v>
      </c>
      <c r="G60" s="7" t="s">
        <v>1465</v>
      </c>
      <c r="H60" s="8" t="s">
        <v>1468</v>
      </c>
      <c r="I60" s="7" t="s">
        <v>1470</v>
      </c>
      <c r="J60" s="7" t="s">
        <v>1471</v>
      </c>
      <c r="K60" s="8" t="s">
        <v>582</v>
      </c>
      <c r="L60" s="7"/>
      <c r="M60" s="7" t="s">
        <v>1472</v>
      </c>
      <c r="N60" s="8"/>
      <c r="O60" s="8" t="s">
        <v>433</v>
      </c>
      <c r="P60" s="8" t="s">
        <v>221</v>
      </c>
    </row>
    <row r="61" ht="15.75" customHeight="1">
      <c r="A61" s="5" t="s">
        <v>435</v>
      </c>
      <c r="B61" s="4" t="s">
        <v>436</v>
      </c>
      <c r="C61" s="5">
        <v>5.0</v>
      </c>
      <c r="D61" s="5" t="s">
        <v>1479</v>
      </c>
      <c r="E61" s="5" t="s">
        <v>287</v>
      </c>
      <c r="F61" s="5" t="s">
        <v>575</v>
      </c>
      <c r="G61" s="4" t="s">
        <v>1482</v>
      </c>
      <c r="H61" s="5" t="s">
        <v>1483</v>
      </c>
      <c r="I61" s="4" t="s">
        <v>1485</v>
      </c>
      <c r="J61" s="4" t="s">
        <v>1486</v>
      </c>
      <c r="K61" s="5" t="s">
        <v>582</v>
      </c>
      <c r="L61" s="4"/>
      <c r="M61" s="4"/>
      <c r="N61" s="5"/>
      <c r="O61" s="5" t="s">
        <v>433</v>
      </c>
      <c r="P61" s="5" t="s">
        <v>221</v>
      </c>
    </row>
    <row r="62" ht="15.75" customHeight="1">
      <c r="A62" s="8" t="s">
        <v>435</v>
      </c>
      <c r="B62" s="7" t="s">
        <v>436</v>
      </c>
      <c r="C62" s="8">
        <v>6.0</v>
      </c>
      <c r="D62" s="8" t="s">
        <v>1498</v>
      </c>
      <c r="E62" s="8" t="s">
        <v>287</v>
      </c>
      <c r="F62" s="8" t="s">
        <v>575</v>
      </c>
      <c r="G62" s="7" t="s">
        <v>1500</v>
      </c>
      <c r="H62" s="8" t="s">
        <v>1501</v>
      </c>
      <c r="I62" s="7" t="s">
        <v>1485</v>
      </c>
      <c r="J62" s="7" t="s">
        <v>1503</v>
      </c>
      <c r="K62" s="8" t="s">
        <v>582</v>
      </c>
      <c r="L62" s="7"/>
      <c r="M62" s="7" t="s">
        <v>1508</v>
      </c>
      <c r="N62" s="8" t="s">
        <v>316</v>
      </c>
      <c r="O62" s="8" t="s">
        <v>433</v>
      </c>
      <c r="P62" s="8" t="s">
        <v>221</v>
      </c>
    </row>
    <row r="63" ht="15.75" customHeight="1">
      <c r="A63" s="5" t="s">
        <v>435</v>
      </c>
      <c r="B63" s="4" t="s">
        <v>436</v>
      </c>
      <c r="C63" s="5">
        <v>7.0</v>
      </c>
      <c r="D63" s="5" t="s">
        <v>1510</v>
      </c>
      <c r="E63" s="5" t="s">
        <v>287</v>
      </c>
      <c r="F63" s="5" t="s">
        <v>575</v>
      </c>
      <c r="G63" s="4" t="s">
        <v>1512</v>
      </c>
      <c r="H63" s="5" t="s">
        <v>1514</v>
      </c>
      <c r="I63" s="4" t="s">
        <v>1515</v>
      </c>
      <c r="J63" s="4" t="s">
        <v>1517</v>
      </c>
      <c r="K63" s="5" t="s">
        <v>582</v>
      </c>
      <c r="L63" s="4"/>
      <c r="M63" s="4" t="s">
        <v>1519</v>
      </c>
      <c r="N63" s="5" t="s">
        <v>445</v>
      </c>
      <c r="O63" s="5" t="s">
        <v>433</v>
      </c>
      <c r="P63" s="5" t="s">
        <v>221</v>
      </c>
    </row>
    <row r="64" ht="15.75" customHeight="1">
      <c r="A64" s="8" t="s">
        <v>435</v>
      </c>
      <c r="B64" s="7" t="s">
        <v>436</v>
      </c>
      <c r="C64" s="8">
        <v>8.0</v>
      </c>
      <c r="D64" s="8" t="s">
        <v>1524</v>
      </c>
      <c r="E64" s="8" t="s">
        <v>287</v>
      </c>
      <c r="F64" s="8" t="s">
        <v>575</v>
      </c>
      <c r="G64" s="7" t="s">
        <v>1525</v>
      </c>
      <c r="H64" s="8" t="s">
        <v>1527</v>
      </c>
      <c r="I64" s="7" t="s">
        <v>1485</v>
      </c>
      <c r="J64" s="7" t="s">
        <v>1528</v>
      </c>
      <c r="K64" s="8" t="s">
        <v>582</v>
      </c>
      <c r="L64" s="7"/>
      <c r="M64" s="7" t="s">
        <v>1530</v>
      </c>
      <c r="N64" s="8" t="s">
        <v>316</v>
      </c>
      <c r="O64" s="8" t="s">
        <v>433</v>
      </c>
      <c r="P64" s="8" t="s">
        <v>221</v>
      </c>
    </row>
    <row r="65" ht="15.75" customHeight="1">
      <c r="A65" s="5" t="s">
        <v>435</v>
      </c>
      <c r="B65" s="4" t="s">
        <v>436</v>
      </c>
      <c r="C65" s="5">
        <v>9.0</v>
      </c>
      <c r="D65" s="5" t="s">
        <v>1532</v>
      </c>
      <c r="E65" s="5" t="s">
        <v>287</v>
      </c>
      <c r="F65" s="5" t="s">
        <v>575</v>
      </c>
      <c r="G65" s="4" t="s">
        <v>1533</v>
      </c>
      <c r="H65" s="5" t="s">
        <v>1535</v>
      </c>
      <c r="I65" s="4" t="s">
        <v>1485</v>
      </c>
      <c r="J65" s="4" t="s">
        <v>1536</v>
      </c>
      <c r="K65" s="5" t="s">
        <v>582</v>
      </c>
      <c r="L65" s="4" t="s">
        <v>1537</v>
      </c>
      <c r="M65" s="4" t="s">
        <v>1538</v>
      </c>
      <c r="N65" s="5" t="s">
        <v>445</v>
      </c>
      <c r="O65" s="5" t="s">
        <v>433</v>
      </c>
      <c r="P65" s="5" t="s">
        <v>221</v>
      </c>
    </row>
    <row r="66" ht="15.75" customHeight="1">
      <c r="A66" s="8" t="s">
        <v>435</v>
      </c>
      <c r="B66" s="7" t="s">
        <v>436</v>
      </c>
      <c r="C66" s="8">
        <v>10.0</v>
      </c>
      <c r="D66" s="8" t="s">
        <v>1541</v>
      </c>
      <c r="E66" s="8" t="s">
        <v>287</v>
      </c>
      <c r="F66" s="8" t="s">
        <v>575</v>
      </c>
      <c r="G66" s="7" t="s">
        <v>1542</v>
      </c>
      <c r="H66" s="8" t="s">
        <v>1543</v>
      </c>
      <c r="I66" s="7" t="s">
        <v>1544</v>
      </c>
      <c r="J66" s="7" t="s">
        <v>1545</v>
      </c>
      <c r="K66" s="8" t="s">
        <v>582</v>
      </c>
      <c r="L66" s="7" t="s">
        <v>1546</v>
      </c>
      <c r="M66" s="7" t="s">
        <v>1548</v>
      </c>
      <c r="N66" s="8" t="s">
        <v>445</v>
      </c>
      <c r="O66" s="8" t="s">
        <v>433</v>
      </c>
      <c r="P66" s="8" t="s">
        <v>221</v>
      </c>
    </row>
    <row r="67" ht="15.75" customHeight="1">
      <c r="A67" s="6" t="s">
        <v>1549</v>
      </c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ht="15.75" customHeight="1">
      <c r="A68" s="8" t="s">
        <v>441</v>
      </c>
      <c r="B68" s="7" t="s">
        <v>442</v>
      </c>
      <c r="C68" s="8">
        <v>1.0</v>
      </c>
      <c r="D68" s="8" t="s">
        <v>1552</v>
      </c>
      <c r="E68" s="8" t="s">
        <v>287</v>
      </c>
      <c r="F68" s="8" t="s">
        <v>575</v>
      </c>
      <c r="G68" s="7" t="s">
        <v>1553</v>
      </c>
      <c r="H68" s="8" t="s">
        <v>1554</v>
      </c>
      <c r="I68" s="7" t="s">
        <v>1555</v>
      </c>
      <c r="J68" s="7" t="s">
        <v>1556</v>
      </c>
      <c r="K68" s="8" t="s">
        <v>582</v>
      </c>
      <c r="L68" s="7"/>
      <c r="M68" s="7"/>
      <c r="N68" s="8"/>
      <c r="O68" s="8" t="s">
        <v>446</v>
      </c>
      <c r="P68" s="8" t="s">
        <v>221</v>
      </c>
    </row>
    <row r="69" ht="15.75" customHeight="1">
      <c r="A69" s="5" t="s">
        <v>441</v>
      </c>
      <c r="B69" s="4" t="s">
        <v>442</v>
      </c>
      <c r="C69" s="5">
        <v>2.0</v>
      </c>
      <c r="D69" s="5" t="s">
        <v>1560</v>
      </c>
      <c r="E69" s="5" t="s">
        <v>287</v>
      </c>
      <c r="F69" s="5" t="s">
        <v>592</v>
      </c>
      <c r="G69" s="4" t="s">
        <v>1561</v>
      </c>
      <c r="H69" s="5" t="s">
        <v>1562</v>
      </c>
      <c r="I69" s="4" t="s">
        <v>1564</v>
      </c>
      <c r="J69" s="4" t="s">
        <v>1565</v>
      </c>
      <c r="K69" s="5" t="s">
        <v>582</v>
      </c>
      <c r="L69" s="4"/>
      <c r="M69" s="4" t="s">
        <v>1568</v>
      </c>
      <c r="N69" s="5" t="s">
        <v>316</v>
      </c>
      <c r="O69" s="5" t="s">
        <v>446</v>
      </c>
      <c r="P69" s="5" t="s">
        <v>221</v>
      </c>
    </row>
    <row r="70" ht="15.75" customHeight="1">
      <c r="A70" s="8" t="s">
        <v>441</v>
      </c>
      <c r="B70" s="7" t="s">
        <v>442</v>
      </c>
      <c r="C70" s="8">
        <v>3.0</v>
      </c>
      <c r="D70" s="8" t="s">
        <v>1570</v>
      </c>
      <c r="E70" s="8" t="s">
        <v>287</v>
      </c>
      <c r="F70" s="8" t="s">
        <v>575</v>
      </c>
      <c r="G70" s="7" t="s">
        <v>1572</v>
      </c>
      <c r="H70" s="8" t="s">
        <v>1574</v>
      </c>
      <c r="I70" s="7" t="s">
        <v>1485</v>
      </c>
      <c r="J70" s="7" t="s">
        <v>1575</v>
      </c>
      <c r="K70" s="8" t="s">
        <v>1576</v>
      </c>
      <c r="L70" s="7" t="s">
        <v>1577</v>
      </c>
      <c r="M70" s="7" t="s">
        <v>1578</v>
      </c>
      <c r="N70" s="8"/>
      <c r="O70" s="8" t="s">
        <v>446</v>
      </c>
      <c r="P70" s="8" t="s">
        <v>221</v>
      </c>
    </row>
    <row r="71" ht="15.75" customHeight="1">
      <c r="A71" s="5" t="s">
        <v>441</v>
      </c>
      <c r="B71" s="4" t="s">
        <v>442</v>
      </c>
      <c r="C71" s="5">
        <v>4.0</v>
      </c>
      <c r="D71" s="5" t="s">
        <v>1582</v>
      </c>
      <c r="E71" s="5" t="s">
        <v>1583</v>
      </c>
      <c r="F71" s="5" t="s">
        <v>532</v>
      </c>
      <c r="G71" s="4" t="s">
        <v>1584</v>
      </c>
      <c r="H71" s="5" t="s">
        <v>1585</v>
      </c>
      <c r="I71" s="4" t="s">
        <v>1587</v>
      </c>
      <c r="J71" s="4" t="s">
        <v>1589</v>
      </c>
      <c r="K71" s="5" t="s">
        <v>1576</v>
      </c>
      <c r="L71" s="4" t="s">
        <v>1591</v>
      </c>
      <c r="M71" s="4"/>
      <c r="N71" s="5"/>
      <c r="O71" s="5" t="s">
        <v>446</v>
      </c>
      <c r="P71" s="5" t="s">
        <v>221</v>
      </c>
    </row>
    <row r="72" ht="15.75" customHeight="1">
      <c r="A72" s="8" t="s">
        <v>441</v>
      </c>
      <c r="B72" s="7" t="s">
        <v>442</v>
      </c>
      <c r="C72" s="8">
        <v>5.0</v>
      </c>
      <c r="D72" s="8" t="s">
        <v>1593</v>
      </c>
      <c r="E72" s="8" t="s">
        <v>287</v>
      </c>
      <c r="F72" s="8" t="s">
        <v>575</v>
      </c>
      <c r="G72" s="7" t="s">
        <v>1596</v>
      </c>
      <c r="H72" s="8" t="s">
        <v>1597</v>
      </c>
      <c r="I72" s="7" t="s">
        <v>1598</v>
      </c>
      <c r="J72" s="7" t="s">
        <v>1600</v>
      </c>
      <c r="K72" s="8" t="s">
        <v>582</v>
      </c>
      <c r="L72" s="7"/>
      <c r="M72" s="7"/>
      <c r="N72" s="8"/>
      <c r="O72" s="8" t="s">
        <v>446</v>
      </c>
      <c r="P72" s="8" t="s">
        <v>221</v>
      </c>
    </row>
    <row r="73" ht="15.75" customHeight="1">
      <c r="A73" s="6" t="s">
        <v>1602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ht="15.75" customHeight="1">
      <c r="A74" s="8" t="s">
        <v>448</v>
      </c>
      <c r="B74" s="7" t="s">
        <v>449</v>
      </c>
      <c r="C74" s="8">
        <v>1.0</v>
      </c>
      <c r="D74" s="8" t="s">
        <v>1606</v>
      </c>
      <c r="E74" s="8" t="s">
        <v>287</v>
      </c>
      <c r="F74" s="8" t="s">
        <v>575</v>
      </c>
      <c r="G74" s="7" t="s">
        <v>1607</v>
      </c>
      <c r="H74" s="8" t="s">
        <v>1608</v>
      </c>
      <c r="I74" s="7" t="s">
        <v>1610</v>
      </c>
      <c r="J74" s="7" t="s">
        <v>1612</v>
      </c>
      <c r="K74" s="8" t="s">
        <v>582</v>
      </c>
      <c r="L74" s="7"/>
      <c r="M74" s="7" t="s">
        <v>1459</v>
      </c>
      <c r="N74" s="8"/>
      <c r="O74" s="8" t="s">
        <v>451</v>
      </c>
      <c r="P74" s="8" t="s">
        <v>221</v>
      </c>
    </row>
    <row r="75" ht="15.75" customHeight="1">
      <c r="A75" s="5" t="s">
        <v>448</v>
      </c>
      <c r="B75" s="4" t="s">
        <v>449</v>
      </c>
      <c r="C75" s="5">
        <v>2.0</v>
      </c>
      <c r="D75" s="5" t="s">
        <v>1616</v>
      </c>
      <c r="E75" s="5" t="s">
        <v>287</v>
      </c>
      <c r="F75" s="5" t="s">
        <v>575</v>
      </c>
      <c r="G75" s="4" t="s">
        <v>1618</v>
      </c>
      <c r="H75" s="5" t="s">
        <v>1619</v>
      </c>
      <c r="I75" s="4" t="s">
        <v>1621</v>
      </c>
      <c r="J75" s="4" t="s">
        <v>1622</v>
      </c>
      <c r="K75" s="5" t="s">
        <v>582</v>
      </c>
      <c r="L75" s="4"/>
      <c r="M75" s="4" t="s">
        <v>1623</v>
      </c>
      <c r="N75" s="5" t="s">
        <v>316</v>
      </c>
      <c r="O75" s="5" t="s">
        <v>451</v>
      </c>
      <c r="P75" s="5" t="s">
        <v>221</v>
      </c>
    </row>
    <row r="76" ht="15.75" customHeight="1">
      <c r="A76" s="8" t="s">
        <v>448</v>
      </c>
      <c r="B76" s="7" t="s">
        <v>449</v>
      </c>
      <c r="C76" s="8">
        <v>3.0</v>
      </c>
      <c r="D76" s="8" t="s">
        <v>1628</v>
      </c>
      <c r="E76" s="8" t="s">
        <v>287</v>
      </c>
      <c r="F76" s="8" t="s">
        <v>592</v>
      </c>
      <c r="G76" s="7" t="s">
        <v>1631</v>
      </c>
      <c r="H76" s="8" t="s">
        <v>1632</v>
      </c>
      <c r="I76" s="7" t="s">
        <v>1070</v>
      </c>
      <c r="J76" s="7" t="s">
        <v>1634</v>
      </c>
      <c r="K76" s="8" t="s">
        <v>582</v>
      </c>
      <c r="L76" s="7"/>
      <c r="M76" s="7" t="s">
        <v>1636</v>
      </c>
      <c r="N76" s="8"/>
      <c r="O76" s="8" t="s">
        <v>451</v>
      </c>
      <c r="P76" s="8" t="s">
        <v>221</v>
      </c>
    </row>
    <row r="77" ht="15.75" customHeight="1">
      <c r="A77" s="5" t="s">
        <v>448</v>
      </c>
      <c r="B77" s="4" t="s">
        <v>449</v>
      </c>
      <c r="C77" s="5">
        <v>4.0</v>
      </c>
      <c r="D77" s="5" t="s">
        <v>1639</v>
      </c>
      <c r="E77" s="5" t="s">
        <v>287</v>
      </c>
      <c r="F77" s="5" t="s">
        <v>575</v>
      </c>
      <c r="G77" s="4" t="s">
        <v>1640</v>
      </c>
      <c r="H77" s="5" t="s">
        <v>1641</v>
      </c>
      <c r="I77" s="4" t="s">
        <v>1485</v>
      </c>
      <c r="J77" s="4" t="s">
        <v>1643</v>
      </c>
      <c r="K77" s="5" t="s">
        <v>582</v>
      </c>
      <c r="L77" s="4"/>
      <c r="M77" s="4" t="s">
        <v>1644</v>
      </c>
      <c r="N77" s="5" t="s">
        <v>445</v>
      </c>
      <c r="O77" s="5" t="s">
        <v>451</v>
      </c>
      <c r="P77" s="5" t="s">
        <v>221</v>
      </c>
    </row>
    <row r="78" ht="15.75" customHeight="1">
      <c r="A78" s="6" t="s">
        <v>1646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ht="15.75" customHeight="1">
      <c r="A79" s="5" t="s">
        <v>453</v>
      </c>
      <c r="B79" s="4" t="s">
        <v>454</v>
      </c>
      <c r="C79" s="5">
        <v>1.0</v>
      </c>
      <c r="D79" s="5" t="s">
        <v>1652</v>
      </c>
      <c r="E79" s="5" t="s">
        <v>287</v>
      </c>
      <c r="F79" s="5" t="s">
        <v>592</v>
      </c>
      <c r="G79" s="4" t="s">
        <v>1654</v>
      </c>
      <c r="H79" s="5" t="s">
        <v>1655</v>
      </c>
      <c r="I79" s="4" t="s">
        <v>1031</v>
      </c>
      <c r="J79" s="4" t="s">
        <v>1656</v>
      </c>
      <c r="K79" s="5" t="s">
        <v>582</v>
      </c>
      <c r="L79" s="4"/>
      <c r="M79" s="4" t="s">
        <v>1658</v>
      </c>
      <c r="N79" s="5" t="s">
        <v>445</v>
      </c>
      <c r="O79" s="5" t="s">
        <v>456</v>
      </c>
      <c r="P79" s="5" t="s">
        <v>221</v>
      </c>
    </row>
    <row r="80" ht="15.75" customHeight="1">
      <c r="A80" s="8" t="s">
        <v>453</v>
      </c>
      <c r="B80" s="7" t="s">
        <v>454</v>
      </c>
      <c r="C80" s="8">
        <v>2.0</v>
      </c>
      <c r="D80" s="8" t="s">
        <v>1662</v>
      </c>
      <c r="E80" s="8" t="s">
        <v>287</v>
      </c>
      <c r="F80" s="8" t="s">
        <v>575</v>
      </c>
      <c r="G80" s="7" t="s">
        <v>1663</v>
      </c>
      <c r="H80" s="8" t="s">
        <v>1664</v>
      </c>
      <c r="I80" s="7" t="s">
        <v>1598</v>
      </c>
      <c r="J80" s="7" t="s">
        <v>1665</v>
      </c>
      <c r="K80" s="8" t="s">
        <v>582</v>
      </c>
      <c r="L80" s="7"/>
      <c r="M80" s="7" t="s">
        <v>1666</v>
      </c>
      <c r="N80" s="8" t="s">
        <v>316</v>
      </c>
      <c r="O80" s="8" t="s">
        <v>456</v>
      </c>
      <c r="P80" s="8" t="s">
        <v>221</v>
      </c>
    </row>
    <row r="81" ht="15.75" customHeight="1">
      <c r="A81" s="5" t="s">
        <v>453</v>
      </c>
      <c r="B81" s="4" t="s">
        <v>454</v>
      </c>
      <c r="C81" s="5">
        <v>3.0</v>
      </c>
      <c r="D81" s="5" t="s">
        <v>1671</v>
      </c>
      <c r="E81" s="5" t="s">
        <v>287</v>
      </c>
      <c r="F81" s="5" t="s">
        <v>592</v>
      </c>
      <c r="G81" s="4" t="s">
        <v>1672</v>
      </c>
      <c r="H81" s="5" t="s">
        <v>1673</v>
      </c>
      <c r="I81" s="4" t="s">
        <v>1485</v>
      </c>
      <c r="J81" s="4" t="s">
        <v>1674</v>
      </c>
      <c r="K81" s="5" t="s">
        <v>582</v>
      </c>
      <c r="L81" s="4"/>
      <c r="M81" s="4" t="s">
        <v>1677</v>
      </c>
      <c r="N81" s="5" t="s">
        <v>445</v>
      </c>
      <c r="O81" s="5" t="s">
        <v>456</v>
      </c>
      <c r="P81" s="5" t="s">
        <v>221</v>
      </c>
    </row>
    <row r="82" ht="15.75" customHeight="1">
      <c r="A82" s="8" t="s">
        <v>453</v>
      </c>
      <c r="B82" s="7" t="s">
        <v>454</v>
      </c>
      <c r="C82" s="8">
        <v>4.0</v>
      </c>
      <c r="D82" s="8" t="s">
        <v>1679</v>
      </c>
      <c r="E82" s="8" t="s">
        <v>287</v>
      </c>
      <c r="F82" s="8" t="s">
        <v>592</v>
      </c>
      <c r="G82" s="7" t="s">
        <v>1680</v>
      </c>
      <c r="H82" s="8" t="s">
        <v>1681</v>
      </c>
      <c r="I82" s="7" t="s">
        <v>1485</v>
      </c>
      <c r="J82" s="7" t="s">
        <v>1674</v>
      </c>
      <c r="K82" s="8" t="s">
        <v>582</v>
      </c>
      <c r="L82" s="7"/>
      <c r="M82" s="7" t="s">
        <v>1683</v>
      </c>
      <c r="N82" s="8" t="s">
        <v>445</v>
      </c>
      <c r="O82" s="8" t="s">
        <v>456</v>
      </c>
      <c r="P82" s="8" t="s">
        <v>221</v>
      </c>
    </row>
    <row r="83" ht="15.75" customHeight="1">
      <c r="A83" s="5" t="s">
        <v>453</v>
      </c>
      <c r="B83" s="4" t="s">
        <v>454</v>
      </c>
      <c r="C83" s="5">
        <v>5.0</v>
      </c>
      <c r="D83" s="5" t="s">
        <v>1685</v>
      </c>
      <c r="E83" s="5" t="s">
        <v>287</v>
      </c>
      <c r="F83" s="5" t="s">
        <v>575</v>
      </c>
      <c r="G83" s="4" t="s">
        <v>1687</v>
      </c>
      <c r="H83" s="5" t="s">
        <v>1688</v>
      </c>
      <c r="I83" s="4" t="s">
        <v>1485</v>
      </c>
      <c r="J83" s="4" t="s">
        <v>1690</v>
      </c>
      <c r="K83" s="5" t="s">
        <v>582</v>
      </c>
      <c r="L83" s="4"/>
      <c r="M83" s="4"/>
      <c r="N83" s="5"/>
      <c r="O83" s="5" t="s">
        <v>456</v>
      </c>
      <c r="P83" s="5" t="s">
        <v>221</v>
      </c>
    </row>
    <row r="84" ht="15.75" customHeight="1">
      <c r="A84" s="8" t="s">
        <v>453</v>
      </c>
      <c r="B84" s="7" t="s">
        <v>454</v>
      </c>
      <c r="C84" s="8">
        <v>6.0</v>
      </c>
      <c r="D84" s="8" t="s">
        <v>1694</v>
      </c>
      <c r="E84" s="8" t="s">
        <v>287</v>
      </c>
      <c r="F84" s="8" t="s">
        <v>592</v>
      </c>
      <c r="G84" s="7" t="s">
        <v>1696</v>
      </c>
      <c r="H84" s="8" t="s">
        <v>1697</v>
      </c>
      <c r="I84" s="7" t="s">
        <v>1109</v>
      </c>
      <c r="J84" s="7" t="s">
        <v>1698</v>
      </c>
      <c r="K84" s="8" t="s">
        <v>582</v>
      </c>
      <c r="L84" s="7"/>
      <c r="M84" s="7" t="s">
        <v>1701</v>
      </c>
      <c r="N84" s="8"/>
      <c r="O84" s="8" t="s">
        <v>456</v>
      </c>
      <c r="P84" s="8" t="s">
        <v>221</v>
      </c>
    </row>
    <row r="85" ht="15.75" customHeight="1">
      <c r="A85" s="5" t="s">
        <v>453</v>
      </c>
      <c r="B85" s="4" t="s">
        <v>454</v>
      </c>
      <c r="C85" s="5">
        <v>7.0</v>
      </c>
      <c r="D85" s="5" t="s">
        <v>1704</v>
      </c>
      <c r="E85" s="5" t="s">
        <v>287</v>
      </c>
      <c r="F85" s="5" t="s">
        <v>575</v>
      </c>
      <c r="G85" s="4" t="s">
        <v>1705</v>
      </c>
      <c r="H85" s="5" t="s">
        <v>1709</v>
      </c>
      <c r="I85" s="4" t="s">
        <v>1710</v>
      </c>
      <c r="J85" s="4" t="s">
        <v>1711</v>
      </c>
      <c r="K85" s="5" t="s">
        <v>1712</v>
      </c>
      <c r="L85" s="4" t="s">
        <v>1713</v>
      </c>
      <c r="M85" s="4" t="s">
        <v>1714</v>
      </c>
      <c r="N85" s="5"/>
      <c r="O85" s="5" t="s">
        <v>456</v>
      </c>
      <c r="P85" s="5" t="s">
        <v>221</v>
      </c>
    </row>
    <row r="86" ht="15.75" customHeight="1">
      <c r="A86" s="8" t="s">
        <v>453</v>
      </c>
      <c r="B86" s="7" t="s">
        <v>454</v>
      </c>
      <c r="C86" s="8">
        <v>8.0</v>
      </c>
      <c r="D86" s="8" t="s">
        <v>1717</v>
      </c>
      <c r="E86" s="8" t="s">
        <v>287</v>
      </c>
      <c r="F86" s="8" t="s">
        <v>592</v>
      </c>
      <c r="G86" s="7" t="s">
        <v>1718</v>
      </c>
      <c r="H86" s="8" t="s">
        <v>1720</v>
      </c>
      <c r="I86" s="7" t="s">
        <v>1485</v>
      </c>
      <c r="J86" s="7" t="s">
        <v>1721</v>
      </c>
      <c r="K86" s="8" t="s">
        <v>582</v>
      </c>
      <c r="L86" s="7"/>
      <c r="M86" s="7" t="s">
        <v>1724</v>
      </c>
      <c r="N86" s="8" t="s">
        <v>445</v>
      </c>
      <c r="O86" s="8" t="s">
        <v>456</v>
      </c>
      <c r="P86" s="8" t="s">
        <v>221</v>
      </c>
    </row>
    <row r="87" ht="15.75" customHeight="1">
      <c r="A87" s="5" t="s">
        <v>453</v>
      </c>
      <c r="B87" s="4" t="s">
        <v>454</v>
      </c>
      <c r="C87" s="5">
        <v>9.0</v>
      </c>
      <c r="D87" s="5" t="s">
        <v>1725</v>
      </c>
      <c r="E87" s="5" t="s">
        <v>287</v>
      </c>
      <c r="F87" s="5" t="s">
        <v>592</v>
      </c>
      <c r="G87" s="4" t="s">
        <v>1727</v>
      </c>
      <c r="H87" s="5" t="s">
        <v>1729</v>
      </c>
      <c r="I87" s="4" t="s">
        <v>1730</v>
      </c>
      <c r="J87" s="4" t="s">
        <v>1731</v>
      </c>
      <c r="K87" s="5" t="s">
        <v>582</v>
      </c>
      <c r="L87" s="4"/>
      <c r="M87" s="4" t="s">
        <v>1732</v>
      </c>
      <c r="N87" s="5"/>
      <c r="O87" s="5" t="s">
        <v>456</v>
      </c>
      <c r="P87" s="5" t="s">
        <v>221</v>
      </c>
    </row>
    <row r="88" ht="15.75" customHeight="1">
      <c r="A88" s="8" t="s">
        <v>453</v>
      </c>
      <c r="B88" s="7" t="s">
        <v>454</v>
      </c>
      <c r="C88" s="8">
        <v>10.0</v>
      </c>
      <c r="D88" s="8" t="s">
        <v>1737</v>
      </c>
      <c r="E88" s="8" t="s">
        <v>287</v>
      </c>
      <c r="F88" s="8" t="s">
        <v>575</v>
      </c>
      <c r="G88" s="7" t="s">
        <v>1738</v>
      </c>
      <c r="H88" s="8" t="s">
        <v>1739</v>
      </c>
      <c r="I88" s="7" t="s">
        <v>1485</v>
      </c>
      <c r="J88" s="7" t="s">
        <v>1741</v>
      </c>
      <c r="K88" s="8" t="s">
        <v>1712</v>
      </c>
      <c r="L88" s="7" t="s">
        <v>1743</v>
      </c>
      <c r="M88" s="7" t="s">
        <v>1744</v>
      </c>
      <c r="N88" s="8" t="s">
        <v>291</v>
      </c>
      <c r="O88" s="8" t="s">
        <v>456</v>
      </c>
      <c r="P88" s="8" t="s">
        <v>221</v>
      </c>
    </row>
    <row r="89" ht="15.75" customHeight="1">
      <c r="A89" s="6" t="s">
        <v>1746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ht="15.75" customHeight="1">
      <c r="A90" s="8" t="s">
        <v>458</v>
      </c>
      <c r="B90" s="7" t="s">
        <v>459</v>
      </c>
      <c r="C90" s="8">
        <v>1.0</v>
      </c>
      <c r="D90" s="8" t="s">
        <v>1752</v>
      </c>
      <c r="E90" s="8" t="s">
        <v>461</v>
      </c>
      <c r="F90" s="8" t="s">
        <v>532</v>
      </c>
      <c r="G90" s="7" t="s">
        <v>1753</v>
      </c>
      <c r="H90" s="8" t="s">
        <v>1754</v>
      </c>
      <c r="I90" s="7" t="s">
        <v>1755</v>
      </c>
      <c r="J90" s="7" t="s">
        <v>1756</v>
      </c>
      <c r="K90" s="8" t="s">
        <v>1757</v>
      </c>
      <c r="L90" s="7" t="s">
        <v>1759</v>
      </c>
      <c r="M90" s="7" t="s">
        <v>1760</v>
      </c>
      <c r="N90" s="8" t="s">
        <v>513</v>
      </c>
      <c r="O90" s="8" t="s">
        <v>463</v>
      </c>
      <c r="P90" s="8" t="s">
        <v>221</v>
      </c>
    </row>
    <row r="91" ht="15.75" customHeight="1">
      <c r="A91" s="5" t="s">
        <v>458</v>
      </c>
      <c r="B91" s="4" t="s">
        <v>459</v>
      </c>
      <c r="C91" s="5">
        <v>2.0</v>
      </c>
      <c r="D91" s="5" t="s">
        <v>1763</v>
      </c>
      <c r="E91" s="5" t="s">
        <v>287</v>
      </c>
      <c r="F91" s="5" t="s">
        <v>592</v>
      </c>
      <c r="G91" s="4" t="s">
        <v>1766</v>
      </c>
      <c r="H91" s="5" t="s">
        <v>1767</v>
      </c>
      <c r="I91" s="4" t="s">
        <v>1769</v>
      </c>
      <c r="J91" s="4" t="s">
        <v>1770</v>
      </c>
      <c r="K91" s="5" t="s">
        <v>1757</v>
      </c>
      <c r="L91" s="4"/>
      <c r="M91" s="4" t="s">
        <v>1772</v>
      </c>
      <c r="N91" s="5"/>
      <c r="O91" s="5" t="s">
        <v>463</v>
      </c>
      <c r="P91" s="5" t="s">
        <v>221</v>
      </c>
    </row>
    <row r="92" ht="15.75" customHeight="1">
      <c r="A92" s="8" t="s">
        <v>458</v>
      </c>
      <c r="B92" s="7" t="s">
        <v>459</v>
      </c>
      <c r="C92" s="8">
        <v>3.0</v>
      </c>
      <c r="D92" s="8" t="s">
        <v>1776</v>
      </c>
      <c r="E92" s="8" t="s">
        <v>654</v>
      </c>
      <c r="F92" s="8" t="s">
        <v>655</v>
      </c>
      <c r="G92" s="7" t="s">
        <v>1777</v>
      </c>
      <c r="H92" s="8" t="s">
        <v>622</v>
      </c>
      <c r="I92" s="7" t="s">
        <v>1778</v>
      </c>
      <c r="J92" s="7" t="s">
        <v>1779</v>
      </c>
      <c r="K92" s="8" t="s">
        <v>662</v>
      </c>
      <c r="L92" s="7" t="s">
        <v>1781</v>
      </c>
      <c r="M92" s="7"/>
      <c r="N92" s="8" t="s">
        <v>259</v>
      </c>
      <c r="O92" s="8" t="s">
        <v>463</v>
      </c>
      <c r="P92" s="8" t="s">
        <v>221</v>
      </c>
    </row>
    <row r="93" ht="15.75" customHeight="1">
      <c r="A93" s="5" t="s">
        <v>458</v>
      </c>
      <c r="B93" s="4" t="s">
        <v>459</v>
      </c>
      <c r="C93" s="5">
        <v>4.0</v>
      </c>
      <c r="D93" s="5" t="s">
        <v>1783</v>
      </c>
      <c r="E93" s="5" t="s">
        <v>287</v>
      </c>
      <c r="F93" s="5" t="s">
        <v>575</v>
      </c>
      <c r="G93" s="4" t="s">
        <v>1785</v>
      </c>
      <c r="H93" s="5" t="s">
        <v>1787</v>
      </c>
      <c r="I93" s="4" t="s">
        <v>1485</v>
      </c>
      <c r="J93" s="4" t="s">
        <v>1789</v>
      </c>
      <c r="K93" s="5" t="s">
        <v>582</v>
      </c>
      <c r="L93" s="4" t="s">
        <v>1035</v>
      </c>
      <c r="M93" s="4" t="s">
        <v>1790</v>
      </c>
      <c r="N93" s="5" t="s">
        <v>445</v>
      </c>
      <c r="O93" s="5" t="s">
        <v>463</v>
      </c>
      <c r="P93" s="5" t="s">
        <v>221</v>
      </c>
    </row>
    <row r="94" ht="15.75" customHeight="1">
      <c r="A94" s="8" t="s">
        <v>458</v>
      </c>
      <c r="B94" s="7" t="s">
        <v>459</v>
      </c>
      <c r="C94" s="8">
        <v>5.0</v>
      </c>
      <c r="D94" s="8" t="s">
        <v>1792</v>
      </c>
      <c r="E94" s="8" t="s">
        <v>287</v>
      </c>
      <c r="F94" s="8" t="s">
        <v>575</v>
      </c>
      <c r="G94" s="7" t="s">
        <v>1794</v>
      </c>
      <c r="H94" s="8" t="s">
        <v>1796</v>
      </c>
      <c r="I94" s="7" t="s">
        <v>1769</v>
      </c>
      <c r="J94" s="7" t="s">
        <v>1797</v>
      </c>
      <c r="K94" s="8" t="s">
        <v>1757</v>
      </c>
      <c r="L94" s="7"/>
      <c r="M94" s="7"/>
      <c r="N94" s="8"/>
      <c r="O94" s="8" t="s">
        <v>463</v>
      </c>
      <c r="P94" s="8" t="s">
        <v>221</v>
      </c>
    </row>
    <row r="95" ht="15.75" customHeight="1">
      <c r="A95" s="6" t="s">
        <v>1802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 ht="15.75" customHeight="1">
      <c r="A96" s="8" t="s">
        <v>465</v>
      </c>
      <c r="B96" s="7" t="s">
        <v>466</v>
      </c>
      <c r="C96" s="8">
        <v>1.0</v>
      </c>
      <c r="D96" s="8" t="s">
        <v>1806</v>
      </c>
      <c r="E96" s="8" t="s">
        <v>287</v>
      </c>
      <c r="F96" s="8" t="s">
        <v>575</v>
      </c>
      <c r="G96" s="7" t="s">
        <v>1808</v>
      </c>
      <c r="H96" s="8" t="s">
        <v>1810</v>
      </c>
      <c r="I96" s="7" t="s">
        <v>1811</v>
      </c>
      <c r="J96" s="7" t="s">
        <v>1813</v>
      </c>
      <c r="K96" s="8" t="s">
        <v>582</v>
      </c>
      <c r="L96" s="7"/>
      <c r="M96" s="7"/>
      <c r="N96" s="8"/>
      <c r="O96" s="8" t="s">
        <v>470</v>
      </c>
      <c r="P96" s="8" t="s">
        <v>221</v>
      </c>
    </row>
    <row r="97" ht="15.75" customHeight="1">
      <c r="A97" s="5" t="s">
        <v>465</v>
      </c>
      <c r="B97" s="4" t="s">
        <v>466</v>
      </c>
      <c r="C97" s="5">
        <v>2.0</v>
      </c>
      <c r="D97" s="5" t="s">
        <v>1817</v>
      </c>
      <c r="E97" s="5" t="s">
        <v>287</v>
      </c>
      <c r="F97" s="5" t="s">
        <v>592</v>
      </c>
      <c r="G97" s="4" t="s">
        <v>1818</v>
      </c>
      <c r="H97" s="5" t="s">
        <v>1819</v>
      </c>
      <c r="I97" s="4" t="s">
        <v>582</v>
      </c>
      <c r="J97" s="4" t="s">
        <v>1820</v>
      </c>
      <c r="K97" s="5" t="s">
        <v>582</v>
      </c>
      <c r="L97" s="4"/>
      <c r="M97" s="4" t="s">
        <v>1822</v>
      </c>
      <c r="N97" s="5"/>
      <c r="O97" s="5" t="s">
        <v>470</v>
      </c>
      <c r="P97" s="5" t="s">
        <v>221</v>
      </c>
    </row>
    <row r="98" ht="15.75" customHeight="1">
      <c r="A98" s="8" t="s">
        <v>465</v>
      </c>
      <c r="B98" s="7" t="s">
        <v>466</v>
      </c>
      <c r="C98" s="8">
        <v>3.0</v>
      </c>
      <c r="D98" s="8" t="s">
        <v>1825</v>
      </c>
      <c r="E98" s="8" t="s">
        <v>287</v>
      </c>
      <c r="F98" s="8" t="s">
        <v>592</v>
      </c>
      <c r="G98" s="7" t="s">
        <v>1828</v>
      </c>
      <c r="H98" s="8" t="s">
        <v>1830</v>
      </c>
      <c r="I98" s="7" t="s">
        <v>1031</v>
      </c>
      <c r="J98" s="7" t="s">
        <v>1643</v>
      </c>
      <c r="K98" s="8" t="s">
        <v>582</v>
      </c>
      <c r="L98" s="7"/>
      <c r="M98" s="7" t="s">
        <v>1832</v>
      </c>
      <c r="N98" s="8" t="s">
        <v>445</v>
      </c>
      <c r="O98" s="8" t="s">
        <v>470</v>
      </c>
      <c r="P98" s="8" t="s">
        <v>221</v>
      </c>
    </row>
    <row r="99" ht="15.75" customHeight="1">
      <c r="A99" s="5" t="s">
        <v>465</v>
      </c>
      <c r="B99" s="4" t="s">
        <v>466</v>
      </c>
      <c r="C99" s="5">
        <v>4.0</v>
      </c>
      <c r="D99" s="5" t="s">
        <v>1834</v>
      </c>
      <c r="E99" s="5" t="s">
        <v>287</v>
      </c>
      <c r="F99" s="5" t="s">
        <v>575</v>
      </c>
      <c r="G99" s="4" t="s">
        <v>1836</v>
      </c>
      <c r="H99" s="5" t="s">
        <v>1838</v>
      </c>
      <c r="I99" s="4" t="s">
        <v>1839</v>
      </c>
      <c r="J99" s="4" t="s">
        <v>1840</v>
      </c>
      <c r="K99" s="5" t="s">
        <v>1842</v>
      </c>
      <c r="L99" s="4" t="s">
        <v>1843</v>
      </c>
      <c r="M99" s="4" t="s">
        <v>1845</v>
      </c>
      <c r="N99" s="5" t="s">
        <v>175</v>
      </c>
      <c r="O99" s="5" t="s">
        <v>470</v>
      </c>
      <c r="P99" s="5" t="s">
        <v>221</v>
      </c>
    </row>
    <row r="100" ht="15.75" customHeight="1">
      <c r="A100" s="8" t="s">
        <v>465</v>
      </c>
      <c r="B100" s="7" t="s">
        <v>466</v>
      </c>
      <c r="C100" s="8">
        <v>5.0</v>
      </c>
      <c r="D100" s="8" t="s">
        <v>1848</v>
      </c>
      <c r="E100" s="8" t="s">
        <v>468</v>
      </c>
      <c r="F100" s="8" t="s">
        <v>655</v>
      </c>
      <c r="G100" s="7" t="s">
        <v>1851</v>
      </c>
      <c r="H100" s="8" t="s">
        <v>622</v>
      </c>
      <c r="I100" s="7" t="s">
        <v>1852</v>
      </c>
      <c r="J100" s="7" t="s">
        <v>1853</v>
      </c>
      <c r="K100" s="8" t="s">
        <v>662</v>
      </c>
      <c r="L100" s="7" t="s">
        <v>1854</v>
      </c>
      <c r="M100" s="7"/>
      <c r="N100" s="8" t="s">
        <v>259</v>
      </c>
      <c r="O100" s="8" t="s">
        <v>470</v>
      </c>
      <c r="P100" s="8" t="s">
        <v>221</v>
      </c>
    </row>
    <row r="101" ht="15.75" customHeight="1">
      <c r="A101" s="5" t="s">
        <v>465</v>
      </c>
      <c r="B101" s="4" t="s">
        <v>466</v>
      </c>
      <c r="C101" s="5">
        <v>6.0</v>
      </c>
      <c r="D101" s="5" t="s">
        <v>1857</v>
      </c>
      <c r="E101" s="5" t="s">
        <v>287</v>
      </c>
      <c r="F101" s="5" t="s">
        <v>575</v>
      </c>
      <c r="G101" s="4" t="s">
        <v>1858</v>
      </c>
      <c r="H101" s="5" t="s">
        <v>1860</v>
      </c>
      <c r="I101" s="4" t="s">
        <v>1852</v>
      </c>
      <c r="J101" s="4" t="s">
        <v>1861</v>
      </c>
      <c r="K101" s="5" t="s">
        <v>1842</v>
      </c>
      <c r="L101" s="4"/>
      <c r="M101" s="4" t="s">
        <v>1864</v>
      </c>
      <c r="N101" s="5"/>
      <c r="O101" s="5" t="s">
        <v>470</v>
      </c>
      <c r="P101" s="5" t="s">
        <v>221</v>
      </c>
    </row>
    <row r="102" ht="15.75" customHeight="1">
      <c r="A102" s="6" t="s">
        <v>1865</v>
      </c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 ht="15.75" customHeight="1">
      <c r="A103" s="5" t="s">
        <v>472</v>
      </c>
      <c r="B103" s="4" t="s">
        <v>473</v>
      </c>
      <c r="C103" s="5">
        <v>1.0</v>
      </c>
      <c r="D103" s="5" t="s">
        <v>1871</v>
      </c>
      <c r="E103" s="5" t="s">
        <v>287</v>
      </c>
      <c r="F103" s="5" t="s">
        <v>575</v>
      </c>
      <c r="G103" s="4" t="s">
        <v>1873</v>
      </c>
      <c r="H103" s="5" t="s">
        <v>1874</v>
      </c>
      <c r="I103" s="4" t="s">
        <v>1875</v>
      </c>
      <c r="J103" s="4" t="s">
        <v>1876</v>
      </c>
      <c r="K103" s="5" t="s">
        <v>1877</v>
      </c>
      <c r="L103" s="4" t="s">
        <v>1879</v>
      </c>
      <c r="M103" s="4"/>
      <c r="N103" s="5"/>
      <c r="O103" s="5" t="s">
        <v>433</v>
      </c>
      <c r="P103" s="5" t="s">
        <v>221</v>
      </c>
    </row>
    <row r="104" ht="15.75" customHeight="1">
      <c r="A104" s="8" t="s">
        <v>472</v>
      </c>
      <c r="B104" s="7" t="s">
        <v>473</v>
      </c>
      <c r="C104" s="8">
        <v>2.0</v>
      </c>
      <c r="D104" s="8" t="s">
        <v>1883</v>
      </c>
      <c r="E104" s="8" t="s">
        <v>1884</v>
      </c>
      <c r="F104" s="8" t="s">
        <v>1885</v>
      </c>
      <c r="G104" s="7" t="s">
        <v>1887</v>
      </c>
      <c r="H104" s="8" t="s">
        <v>1888</v>
      </c>
      <c r="I104" s="7" t="s">
        <v>1890</v>
      </c>
      <c r="J104" s="7" t="s">
        <v>1891</v>
      </c>
      <c r="K104" s="8" t="s">
        <v>1877</v>
      </c>
      <c r="L104" s="7" t="s">
        <v>1893</v>
      </c>
      <c r="M104" s="7" t="s">
        <v>1894</v>
      </c>
      <c r="N104" s="8" t="s">
        <v>424</v>
      </c>
      <c r="O104" s="8" t="s">
        <v>433</v>
      </c>
      <c r="P104" s="8" t="s">
        <v>221</v>
      </c>
    </row>
    <row r="105" ht="15.75" customHeight="1">
      <c r="A105" s="5" t="s">
        <v>472</v>
      </c>
      <c r="B105" s="4" t="s">
        <v>473</v>
      </c>
      <c r="C105" s="5">
        <v>3.0</v>
      </c>
      <c r="D105" s="5" t="s">
        <v>1895</v>
      </c>
      <c r="E105" s="5" t="s">
        <v>475</v>
      </c>
      <c r="F105" s="5" t="s">
        <v>655</v>
      </c>
      <c r="G105" s="4" t="s">
        <v>1896</v>
      </c>
      <c r="H105" s="5" t="s">
        <v>622</v>
      </c>
      <c r="I105" s="4" t="s">
        <v>1897</v>
      </c>
      <c r="J105" s="4" t="s">
        <v>1898</v>
      </c>
      <c r="K105" s="5" t="s">
        <v>1877</v>
      </c>
      <c r="L105" s="4" t="s">
        <v>1899</v>
      </c>
      <c r="M105" s="4"/>
      <c r="N105" s="5" t="s">
        <v>259</v>
      </c>
      <c r="O105" s="5" t="s">
        <v>433</v>
      </c>
      <c r="P105" s="5" t="s">
        <v>221</v>
      </c>
    </row>
    <row r="106" ht="15.75" customHeight="1">
      <c r="A106" s="8" t="s">
        <v>472</v>
      </c>
      <c r="B106" s="7" t="s">
        <v>473</v>
      </c>
      <c r="C106" s="8">
        <v>4.0</v>
      </c>
      <c r="D106" s="8" t="s">
        <v>1900</v>
      </c>
      <c r="E106" s="8" t="s">
        <v>287</v>
      </c>
      <c r="F106" s="8" t="s">
        <v>575</v>
      </c>
      <c r="G106" s="7" t="s">
        <v>1901</v>
      </c>
      <c r="H106" s="8" t="s">
        <v>1902</v>
      </c>
      <c r="I106" s="7" t="s">
        <v>1903</v>
      </c>
      <c r="J106" s="7" t="s">
        <v>1904</v>
      </c>
      <c r="K106" s="8" t="s">
        <v>582</v>
      </c>
      <c r="L106" s="7" t="s">
        <v>1035</v>
      </c>
      <c r="M106" s="7"/>
      <c r="N106" s="8" t="s">
        <v>445</v>
      </c>
      <c r="O106" s="8" t="s">
        <v>433</v>
      </c>
      <c r="P106" s="8" t="s">
        <v>221</v>
      </c>
    </row>
    <row r="107" ht="15.75" customHeight="1">
      <c r="A107" s="6" t="s">
        <v>1905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 ht="15.75" customHeight="1">
      <c r="A108" s="8" t="s">
        <v>477</v>
      </c>
      <c r="B108" s="7" t="s">
        <v>478</v>
      </c>
      <c r="C108" s="8">
        <v>1.0</v>
      </c>
      <c r="D108" s="8" t="s">
        <v>1906</v>
      </c>
      <c r="E108" s="8" t="s">
        <v>287</v>
      </c>
      <c r="F108" s="8" t="s">
        <v>575</v>
      </c>
      <c r="G108" s="7" t="s">
        <v>1907</v>
      </c>
      <c r="H108" s="8" t="s">
        <v>1908</v>
      </c>
      <c r="I108" s="7" t="s">
        <v>1909</v>
      </c>
      <c r="J108" s="7" t="s">
        <v>1910</v>
      </c>
      <c r="K108" s="8" t="s">
        <v>582</v>
      </c>
      <c r="L108" s="7"/>
      <c r="M108" s="7" t="s">
        <v>1911</v>
      </c>
      <c r="N108" s="8" t="s">
        <v>445</v>
      </c>
      <c r="O108" s="8" t="s">
        <v>456</v>
      </c>
      <c r="P108" s="8" t="s">
        <v>221</v>
      </c>
    </row>
    <row r="109" ht="15.75" customHeight="1">
      <c r="A109" s="5" t="s">
        <v>477</v>
      </c>
      <c r="B109" s="4" t="s">
        <v>478</v>
      </c>
      <c r="C109" s="5">
        <v>2.0</v>
      </c>
      <c r="D109" s="5" t="s">
        <v>1912</v>
      </c>
      <c r="E109" s="5" t="s">
        <v>287</v>
      </c>
      <c r="F109" s="5" t="s">
        <v>575</v>
      </c>
      <c r="G109" s="4" t="s">
        <v>1913</v>
      </c>
      <c r="H109" s="5" t="s">
        <v>1914</v>
      </c>
      <c r="I109" s="4" t="s">
        <v>1915</v>
      </c>
      <c r="J109" s="4" t="s">
        <v>763</v>
      </c>
      <c r="K109" s="5" t="s">
        <v>582</v>
      </c>
      <c r="L109" s="4"/>
      <c r="M109" s="4" t="s">
        <v>1916</v>
      </c>
      <c r="N109" s="5" t="s">
        <v>316</v>
      </c>
      <c r="O109" s="5" t="s">
        <v>456</v>
      </c>
      <c r="P109" s="5" t="s">
        <v>221</v>
      </c>
    </row>
    <row r="110" ht="15.75" customHeight="1">
      <c r="A110" s="8" t="s">
        <v>477</v>
      </c>
      <c r="B110" s="7" t="s">
        <v>478</v>
      </c>
      <c r="C110" s="8">
        <v>3.0</v>
      </c>
      <c r="D110" s="8" t="s">
        <v>1917</v>
      </c>
      <c r="E110" s="8" t="s">
        <v>287</v>
      </c>
      <c r="F110" s="8" t="s">
        <v>575</v>
      </c>
      <c r="G110" s="7" t="s">
        <v>1918</v>
      </c>
      <c r="H110" s="8" t="s">
        <v>1920</v>
      </c>
      <c r="I110" s="7" t="s">
        <v>1485</v>
      </c>
      <c r="J110" s="7" t="s">
        <v>1921</v>
      </c>
      <c r="K110" s="8" t="s">
        <v>582</v>
      </c>
      <c r="L110" s="7" t="s">
        <v>1546</v>
      </c>
      <c r="M110" s="7" t="s">
        <v>1922</v>
      </c>
      <c r="N110" s="8" t="s">
        <v>445</v>
      </c>
      <c r="O110" s="8" t="s">
        <v>456</v>
      </c>
      <c r="P110" s="8" t="s">
        <v>221</v>
      </c>
    </row>
    <row r="111" ht="15.75" customHeight="1">
      <c r="A111" s="5" t="s">
        <v>477</v>
      </c>
      <c r="B111" s="4" t="s">
        <v>478</v>
      </c>
      <c r="C111" s="5">
        <v>4.0</v>
      </c>
      <c r="D111" s="5" t="s">
        <v>1924</v>
      </c>
      <c r="E111" s="5" t="s">
        <v>287</v>
      </c>
      <c r="F111" s="5" t="s">
        <v>592</v>
      </c>
      <c r="G111" s="4" t="s">
        <v>1925</v>
      </c>
      <c r="H111" s="5" t="s">
        <v>1926</v>
      </c>
      <c r="I111" s="4" t="s">
        <v>1047</v>
      </c>
      <c r="J111" s="4" t="s">
        <v>1049</v>
      </c>
      <c r="K111" s="5" t="s">
        <v>582</v>
      </c>
      <c r="L111" s="4" t="s">
        <v>1927</v>
      </c>
      <c r="M111" s="4" t="s">
        <v>1928</v>
      </c>
      <c r="N111" s="5"/>
      <c r="O111" s="5" t="s">
        <v>456</v>
      </c>
      <c r="P111" s="5" t="s">
        <v>221</v>
      </c>
    </row>
    <row r="112" ht="15.75" customHeight="1">
      <c r="A112" s="8" t="s">
        <v>477</v>
      </c>
      <c r="B112" s="7" t="s">
        <v>478</v>
      </c>
      <c r="C112" s="8">
        <v>5.0</v>
      </c>
      <c r="D112" s="8" t="s">
        <v>1929</v>
      </c>
      <c r="E112" s="8" t="s">
        <v>287</v>
      </c>
      <c r="F112" s="8" t="s">
        <v>575</v>
      </c>
      <c r="G112" s="7" t="s">
        <v>1930</v>
      </c>
      <c r="H112" s="8" t="s">
        <v>1931</v>
      </c>
      <c r="I112" s="7" t="s">
        <v>1544</v>
      </c>
      <c r="J112" s="7" t="s">
        <v>1932</v>
      </c>
      <c r="K112" s="8" t="s">
        <v>1933</v>
      </c>
      <c r="L112" s="7"/>
      <c r="M112" s="7"/>
      <c r="N112" s="8" t="s">
        <v>291</v>
      </c>
      <c r="O112" s="8" t="s">
        <v>456</v>
      </c>
      <c r="P112" s="8" t="s">
        <v>221</v>
      </c>
    </row>
    <row r="113" ht="15.75" customHeight="1">
      <c r="A113" s="6" t="s">
        <v>1935</v>
      </c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 ht="15.75" customHeight="1">
      <c r="A114" s="8" t="s">
        <v>481</v>
      </c>
      <c r="B114" s="7" t="s">
        <v>482</v>
      </c>
      <c r="C114" s="8">
        <v>1.0</v>
      </c>
      <c r="D114" s="8" t="s">
        <v>1942</v>
      </c>
      <c r="E114" s="8" t="s">
        <v>468</v>
      </c>
      <c r="F114" s="8" t="s">
        <v>532</v>
      </c>
      <c r="G114" s="7" t="s">
        <v>1943</v>
      </c>
      <c r="H114" s="8" t="s">
        <v>1944</v>
      </c>
      <c r="I114" s="7" t="s">
        <v>1031</v>
      </c>
      <c r="J114" s="7" t="s">
        <v>1945</v>
      </c>
      <c r="K114" s="8" t="s">
        <v>1946</v>
      </c>
      <c r="L114" s="7"/>
      <c r="M114" s="7" t="s">
        <v>1947</v>
      </c>
      <c r="N114" s="8" t="s">
        <v>217</v>
      </c>
      <c r="O114" s="8" t="s">
        <v>433</v>
      </c>
      <c r="P114" s="8" t="s">
        <v>221</v>
      </c>
    </row>
    <row r="115" ht="15.75" customHeight="1">
      <c r="A115" s="5" t="s">
        <v>481</v>
      </c>
      <c r="B115" s="4" t="s">
        <v>482</v>
      </c>
      <c r="C115" s="5">
        <v>2.0</v>
      </c>
      <c r="D115" s="5" t="s">
        <v>1950</v>
      </c>
      <c r="E115" s="5" t="s">
        <v>287</v>
      </c>
      <c r="F115" s="5" t="s">
        <v>575</v>
      </c>
      <c r="G115" s="4" t="s">
        <v>1953</v>
      </c>
      <c r="H115" s="5" t="s">
        <v>1955</v>
      </c>
      <c r="I115" s="4" t="s">
        <v>1957</v>
      </c>
      <c r="J115" s="4" t="s">
        <v>1958</v>
      </c>
      <c r="K115" s="5" t="s">
        <v>1946</v>
      </c>
      <c r="L115" s="4"/>
      <c r="M115" s="4" t="s">
        <v>1960</v>
      </c>
      <c r="N115" s="5"/>
      <c r="O115" s="5" t="s">
        <v>433</v>
      </c>
      <c r="P115" s="5" t="s">
        <v>221</v>
      </c>
    </row>
    <row r="116" ht="15.75" customHeight="1">
      <c r="A116" s="8" t="s">
        <v>481</v>
      </c>
      <c r="B116" s="7" t="s">
        <v>482</v>
      </c>
      <c r="C116" s="8">
        <v>3.0</v>
      </c>
      <c r="D116" s="8" t="s">
        <v>1962</v>
      </c>
      <c r="E116" s="8" t="s">
        <v>468</v>
      </c>
      <c r="F116" s="8" t="s">
        <v>532</v>
      </c>
      <c r="G116" s="7" t="s">
        <v>1966</v>
      </c>
      <c r="H116" s="8" t="s">
        <v>1969</v>
      </c>
      <c r="I116" s="7" t="s">
        <v>1971</v>
      </c>
      <c r="J116" s="7" t="s">
        <v>1973</v>
      </c>
      <c r="K116" s="8" t="s">
        <v>1946</v>
      </c>
      <c r="L116" s="7" t="s">
        <v>1978</v>
      </c>
      <c r="M116" s="7" t="s">
        <v>1980</v>
      </c>
      <c r="N116" s="8" t="s">
        <v>291</v>
      </c>
      <c r="O116" s="8" t="s">
        <v>433</v>
      </c>
      <c r="P116" s="8" t="s">
        <v>221</v>
      </c>
    </row>
    <row r="117" ht="15.75" customHeight="1">
      <c r="A117" s="6" t="s">
        <v>1985</v>
      </c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 ht="15.75" customHeight="1">
      <c r="A118" s="8" t="s">
        <v>488</v>
      </c>
      <c r="B118" s="7" t="s">
        <v>489</v>
      </c>
      <c r="C118" s="8">
        <v>1.0</v>
      </c>
      <c r="D118" s="8" t="s">
        <v>1993</v>
      </c>
      <c r="E118" s="8" t="s">
        <v>287</v>
      </c>
      <c r="F118" s="8" t="s">
        <v>575</v>
      </c>
      <c r="G118" s="7" t="s">
        <v>1996</v>
      </c>
      <c r="H118" s="8" t="s">
        <v>1997</v>
      </c>
      <c r="I118" s="7" t="s">
        <v>1999</v>
      </c>
      <c r="J118" s="7" t="s">
        <v>2002</v>
      </c>
      <c r="K118" s="8" t="s">
        <v>582</v>
      </c>
      <c r="L118" s="7"/>
      <c r="M118" s="7"/>
      <c r="N118" s="8"/>
      <c r="O118" s="8" t="s">
        <v>494</v>
      </c>
      <c r="P118" s="8" t="s">
        <v>221</v>
      </c>
    </row>
    <row r="119" ht="15.75" customHeight="1">
      <c r="A119" s="5" t="s">
        <v>488</v>
      </c>
      <c r="B119" s="4" t="s">
        <v>489</v>
      </c>
      <c r="C119" s="5">
        <v>2.0</v>
      </c>
      <c r="D119" s="5" t="s">
        <v>2013</v>
      </c>
      <c r="E119" s="5" t="s">
        <v>287</v>
      </c>
      <c r="F119" s="5" t="s">
        <v>592</v>
      </c>
      <c r="G119" s="4" t="s">
        <v>2015</v>
      </c>
      <c r="H119" s="5" t="s">
        <v>2016</v>
      </c>
      <c r="I119" s="4" t="s">
        <v>2017</v>
      </c>
      <c r="J119" s="4" t="s">
        <v>2020</v>
      </c>
      <c r="K119" s="5" t="s">
        <v>582</v>
      </c>
      <c r="L119" s="4"/>
      <c r="M119" s="4" t="s">
        <v>2026</v>
      </c>
      <c r="N119" s="5" t="s">
        <v>513</v>
      </c>
      <c r="O119" s="5" t="s">
        <v>494</v>
      </c>
      <c r="P119" s="5" t="s">
        <v>221</v>
      </c>
    </row>
    <row r="120" ht="15.75" customHeight="1">
      <c r="A120" s="8" t="s">
        <v>488</v>
      </c>
      <c r="B120" s="7" t="s">
        <v>489</v>
      </c>
      <c r="C120" s="8">
        <v>3.0</v>
      </c>
      <c r="D120" s="8" t="s">
        <v>2029</v>
      </c>
      <c r="E120" s="8" t="s">
        <v>287</v>
      </c>
      <c r="F120" s="8" t="s">
        <v>575</v>
      </c>
      <c r="G120" s="7" t="s">
        <v>2033</v>
      </c>
      <c r="H120" s="8" t="s">
        <v>2035</v>
      </c>
      <c r="I120" s="7" t="s">
        <v>2036</v>
      </c>
      <c r="J120" s="7" t="s">
        <v>2038</v>
      </c>
      <c r="K120" s="8" t="s">
        <v>582</v>
      </c>
      <c r="L120" s="7" t="s">
        <v>2041</v>
      </c>
      <c r="M120" s="7" t="s">
        <v>2044</v>
      </c>
      <c r="N120" s="8" t="s">
        <v>513</v>
      </c>
      <c r="O120" s="8" t="s">
        <v>494</v>
      </c>
      <c r="P120" s="8" t="s">
        <v>221</v>
      </c>
    </row>
    <row r="121" ht="15.75" customHeight="1">
      <c r="A121" s="5" t="s">
        <v>488</v>
      </c>
      <c r="B121" s="4" t="s">
        <v>489</v>
      </c>
      <c r="C121" s="5">
        <v>4.0</v>
      </c>
      <c r="D121" s="5" t="s">
        <v>2052</v>
      </c>
      <c r="E121" s="5" t="s">
        <v>287</v>
      </c>
      <c r="F121" s="5" t="s">
        <v>575</v>
      </c>
      <c r="G121" s="4" t="s">
        <v>2056</v>
      </c>
      <c r="H121" s="5" t="s">
        <v>2058</v>
      </c>
      <c r="I121" s="4" t="s">
        <v>2036</v>
      </c>
      <c r="J121" s="4" t="s">
        <v>2060</v>
      </c>
      <c r="K121" s="5" t="s">
        <v>582</v>
      </c>
      <c r="L121" s="4"/>
      <c r="M121" s="4" t="s">
        <v>2063</v>
      </c>
      <c r="N121" s="5" t="s">
        <v>316</v>
      </c>
      <c r="O121" s="5" t="s">
        <v>494</v>
      </c>
      <c r="P121" s="5" t="s">
        <v>221</v>
      </c>
    </row>
    <row r="122" ht="15.75" customHeight="1">
      <c r="A122" s="6" t="s">
        <v>2069</v>
      </c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 ht="15.75" customHeight="1">
      <c r="A123" s="5" t="s">
        <v>496</v>
      </c>
      <c r="B123" s="4" t="s">
        <v>497</v>
      </c>
      <c r="C123" s="5">
        <v>1.0</v>
      </c>
      <c r="D123" s="5" t="s">
        <v>2084</v>
      </c>
      <c r="E123" s="5" t="s">
        <v>287</v>
      </c>
      <c r="F123" s="5" t="s">
        <v>575</v>
      </c>
      <c r="G123" s="4" t="s">
        <v>2088</v>
      </c>
      <c r="H123" s="5" t="s">
        <v>2089</v>
      </c>
      <c r="I123" s="4" t="s">
        <v>2092</v>
      </c>
      <c r="J123" s="4" t="s">
        <v>2093</v>
      </c>
      <c r="K123" s="5" t="s">
        <v>582</v>
      </c>
      <c r="L123" s="4"/>
      <c r="M123" s="4" t="s">
        <v>2096</v>
      </c>
      <c r="N123" s="5" t="s">
        <v>316</v>
      </c>
      <c r="O123" s="5" t="s">
        <v>494</v>
      </c>
      <c r="P123" s="5" t="s">
        <v>221</v>
      </c>
    </row>
    <row r="124" ht="15.75" customHeight="1">
      <c r="A124" s="8" t="s">
        <v>496</v>
      </c>
      <c r="B124" s="7" t="s">
        <v>497</v>
      </c>
      <c r="C124" s="8">
        <v>2.0</v>
      </c>
      <c r="D124" s="8" t="s">
        <v>2105</v>
      </c>
      <c r="E124" s="8" t="s">
        <v>287</v>
      </c>
      <c r="F124" s="8" t="s">
        <v>575</v>
      </c>
      <c r="G124" s="7" t="s">
        <v>2107</v>
      </c>
      <c r="H124" s="8" t="s">
        <v>2109</v>
      </c>
      <c r="I124" s="7" t="s">
        <v>2036</v>
      </c>
      <c r="J124" s="7" t="s">
        <v>2111</v>
      </c>
      <c r="K124" s="8" t="s">
        <v>582</v>
      </c>
      <c r="L124" s="7" t="s">
        <v>2041</v>
      </c>
      <c r="M124" s="7"/>
      <c r="N124" s="8" t="s">
        <v>513</v>
      </c>
      <c r="O124" s="8" t="s">
        <v>494</v>
      </c>
      <c r="P124" s="8" t="s">
        <v>221</v>
      </c>
    </row>
    <row r="125" ht="15.75" customHeight="1">
      <c r="A125" s="5" t="s">
        <v>496</v>
      </c>
      <c r="B125" s="4" t="s">
        <v>497</v>
      </c>
      <c r="C125" s="5">
        <v>3.0</v>
      </c>
      <c r="D125" s="5" t="s">
        <v>2121</v>
      </c>
      <c r="E125" s="5" t="s">
        <v>287</v>
      </c>
      <c r="F125" s="5" t="s">
        <v>592</v>
      </c>
      <c r="G125" s="4" t="s">
        <v>2125</v>
      </c>
      <c r="H125" s="5" t="s">
        <v>2127</v>
      </c>
      <c r="I125" s="4" t="s">
        <v>1070</v>
      </c>
      <c r="J125" s="4" t="s">
        <v>2130</v>
      </c>
      <c r="K125" s="5" t="s">
        <v>582</v>
      </c>
      <c r="L125" s="4"/>
      <c r="M125" s="4" t="s">
        <v>2133</v>
      </c>
      <c r="N125" s="5"/>
      <c r="O125" s="5" t="s">
        <v>494</v>
      </c>
      <c r="P125" s="5" t="s">
        <v>221</v>
      </c>
    </row>
    <row r="126" ht="15.75" customHeight="1">
      <c r="A126" s="6" t="s">
        <v>2138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 ht="15.75" customHeight="1">
      <c r="A127" s="5" t="s">
        <v>504</v>
      </c>
      <c r="B127" s="4" t="s">
        <v>506</v>
      </c>
      <c r="C127" s="5">
        <v>1.0</v>
      </c>
      <c r="D127" s="5" t="s">
        <v>2147</v>
      </c>
      <c r="E127" s="5" t="s">
        <v>461</v>
      </c>
      <c r="F127" s="5" t="s">
        <v>532</v>
      </c>
      <c r="G127" s="4" t="s">
        <v>2152</v>
      </c>
      <c r="H127" s="5" t="s">
        <v>2153</v>
      </c>
      <c r="I127" s="4" t="s">
        <v>2155</v>
      </c>
      <c r="J127" s="4" t="s">
        <v>2158</v>
      </c>
      <c r="K127" s="5" t="s">
        <v>2143</v>
      </c>
      <c r="L127" s="4" t="s">
        <v>2162</v>
      </c>
      <c r="M127" s="4"/>
      <c r="N127" s="5"/>
      <c r="O127" s="5" t="s">
        <v>494</v>
      </c>
      <c r="P127" s="5" t="s">
        <v>221</v>
      </c>
    </row>
    <row r="128" ht="15.75" customHeight="1">
      <c r="A128" s="8" t="s">
        <v>504</v>
      </c>
      <c r="B128" s="7" t="s">
        <v>506</v>
      </c>
      <c r="C128" s="8">
        <v>2.0</v>
      </c>
      <c r="D128" s="8" t="s">
        <v>2169</v>
      </c>
      <c r="E128" s="8" t="s">
        <v>287</v>
      </c>
      <c r="F128" s="8" t="s">
        <v>575</v>
      </c>
      <c r="G128" s="7" t="s">
        <v>2173</v>
      </c>
      <c r="H128" s="8" t="s">
        <v>2175</v>
      </c>
      <c r="I128" s="7" t="s">
        <v>2176</v>
      </c>
      <c r="J128" s="7" t="s">
        <v>2177</v>
      </c>
      <c r="K128" s="8" t="s">
        <v>2143</v>
      </c>
      <c r="L128" s="7"/>
      <c r="M128" s="7" t="s">
        <v>2182</v>
      </c>
      <c r="N128" s="8" t="s">
        <v>513</v>
      </c>
      <c r="O128" s="8" t="s">
        <v>494</v>
      </c>
      <c r="P128" s="8" t="s">
        <v>221</v>
      </c>
    </row>
    <row r="129" ht="15.75" customHeight="1">
      <c r="A129" s="5" t="s">
        <v>504</v>
      </c>
      <c r="B129" s="4" t="s">
        <v>506</v>
      </c>
      <c r="C129" s="5">
        <v>3.0</v>
      </c>
      <c r="D129" s="5" t="s">
        <v>2187</v>
      </c>
      <c r="E129" s="5" t="s">
        <v>287</v>
      </c>
      <c r="F129" s="5" t="s">
        <v>592</v>
      </c>
      <c r="G129" s="4" t="s">
        <v>2189</v>
      </c>
      <c r="H129" s="5" t="s">
        <v>2191</v>
      </c>
      <c r="I129" s="4" t="s">
        <v>2193</v>
      </c>
      <c r="J129" s="4" t="s">
        <v>2195</v>
      </c>
      <c r="K129" s="5" t="s">
        <v>2143</v>
      </c>
      <c r="L129" s="4" t="s">
        <v>2196</v>
      </c>
      <c r="M129" s="4" t="s">
        <v>2197</v>
      </c>
      <c r="N129" s="5" t="s">
        <v>513</v>
      </c>
      <c r="O129" s="5" t="s">
        <v>494</v>
      </c>
      <c r="P129" s="5" t="s">
        <v>221</v>
      </c>
    </row>
    <row r="130" ht="15.75" customHeight="1">
      <c r="A130" s="8" t="s">
        <v>504</v>
      </c>
      <c r="B130" s="7" t="s">
        <v>506</v>
      </c>
      <c r="C130" s="8">
        <v>4.0</v>
      </c>
      <c r="D130" s="8" t="s">
        <v>2207</v>
      </c>
      <c r="E130" s="8" t="s">
        <v>287</v>
      </c>
      <c r="F130" s="8" t="s">
        <v>592</v>
      </c>
      <c r="G130" s="7" t="s">
        <v>2209</v>
      </c>
      <c r="H130" s="8" t="s">
        <v>2210</v>
      </c>
      <c r="I130" s="7" t="s">
        <v>2213</v>
      </c>
      <c r="J130" s="7" t="s">
        <v>2215</v>
      </c>
      <c r="K130" s="8" t="s">
        <v>2143</v>
      </c>
      <c r="L130" s="7" t="s">
        <v>2196</v>
      </c>
      <c r="M130" s="7" t="s">
        <v>2218</v>
      </c>
      <c r="N130" s="8" t="s">
        <v>513</v>
      </c>
      <c r="O130" s="8" t="s">
        <v>494</v>
      </c>
      <c r="P130" s="8" t="s">
        <v>221</v>
      </c>
    </row>
    <row r="131" ht="15.75" customHeight="1">
      <c r="A131" s="5" t="s">
        <v>504</v>
      </c>
      <c r="B131" s="4" t="s">
        <v>506</v>
      </c>
      <c r="C131" s="5">
        <v>5.0</v>
      </c>
      <c r="D131" s="5" t="s">
        <v>2227</v>
      </c>
      <c r="E131" s="5" t="s">
        <v>287</v>
      </c>
      <c r="F131" s="5" t="s">
        <v>575</v>
      </c>
      <c r="G131" s="4" t="s">
        <v>2231</v>
      </c>
      <c r="H131" s="5" t="s">
        <v>2233</v>
      </c>
      <c r="I131" s="4" t="s">
        <v>2236</v>
      </c>
      <c r="J131" s="4" t="s">
        <v>2238</v>
      </c>
      <c r="K131" s="5" t="s">
        <v>2143</v>
      </c>
      <c r="L131" s="4"/>
      <c r="M131" s="4" t="s">
        <v>2240</v>
      </c>
      <c r="N131" s="5"/>
      <c r="O131" s="5" t="s">
        <v>494</v>
      </c>
      <c r="P131" s="5" t="s">
        <v>221</v>
      </c>
    </row>
    <row r="132" ht="15.75" customHeight="1">
      <c r="A132" s="6" t="s">
        <v>2244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 ht="15.75" customHeight="1">
      <c r="A133" s="5" t="s">
        <v>515</v>
      </c>
      <c r="B133" s="4" t="s">
        <v>516</v>
      </c>
      <c r="C133" s="5">
        <v>1.0</v>
      </c>
      <c r="D133" s="5" t="s">
        <v>2260</v>
      </c>
      <c r="E133" s="5" t="s">
        <v>287</v>
      </c>
      <c r="F133" s="5" t="s">
        <v>575</v>
      </c>
      <c r="G133" s="4" t="s">
        <v>2262</v>
      </c>
      <c r="H133" s="5" t="s">
        <v>622</v>
      </c>
      <c r="I133" s="4" t="s">
        <v>972</v>
      </c>
      <c r="J133" s="4" t="s">
        <v>2267</v>
      </c>
      <c r="K133" s="5" t="s">
        <v>662</v>
      </c>
      <c r="L133" s="4" t="s">
        <v>630</v>
      </c>
      <c r="M133" s="4"/>
      <c r="N133" s="5" t="s">
        <v>259</v>
      </c>
      <c r="O133" s="5" t="s">
        <v>520</v>
      </c>
      <c r="P133" s="5" t="s">
        <v>221</v>
      </c>
    </row>
    <row r="134" ht="15.75" customHeight="1">
      <c r="A134" s="8" t="s">
        <v>515</v>
      </c>
      <c r="B134" s="7" t="s">
        <v>516</v>
      </c>
      <c r="C134" s="8">
        <v>2.0</v>
      </c>
      <c r="D134" s="8" t="s">
        <v>2279</v>
      </c>
      <c r="E134" s="8" t="s">
        <v>275</v>
      </c>
      <c r="F134" s="8" t="s">
        <v>655</v>
      </c>
      <c r="G134" s="7" t="s">
        <v>2282</v>
      </c>
      <c r="H134" s="8" t="s">
        <v>657</v>
      </c>
      <c r="I134" s="7" t="s">
        <v>658</v>
      </c>
      <c r="J134" s="7" t="s">
        <v>2284</v>
      </c>
      <c r="K134" s="8" t="s">
        <v>662</v>
      </c>
      <c r="L134" s="7" t="s">
        <v>664</v>
      </c>
      <c r="M134" s="7"/>
      <c r="N134" s="8" t="s">
        <v>259</v>
      </c>
      <c r="O134" s="8" t="s">
        <v>520</v>
      </c>
      <c r="P134" s="8" t="s">
        <v>221</v>
      </c>
    </row>
    <row r="135" ht="15.75" customHeight="1">
      <c r="A135" s="5" t="s">
        <v>515</v>
      </c>
      <c r="B135" s="4" t="s">
        <v>516</v>
      </c>
      <c r="C135" s="5">
        <v>3.0</v>
      </c>
      <c r="D135" s="5" t="s">
        <v>2291</v>
      </c>
      <c r="E135" s="5" t="s">
        <v>287</v>
      </c>
      <c r="F135" s="5" t="s">
        <v>575</v>
      </c>
      <c r="G135" s="4" t="s">
        <v>2296</v>
      </c>
      <c r="H135" s="5" t="s">
        <v>2298</v>
      </c>
      <c r="I135" s="4" t="s">
        <v>2300</v>
      </c>
      <c r="J135" s="4" t="s">
        <v>2303</v>
      </c>
      <c r="K135" s="5" t="s">
        <v>582</v>
      </c>
      <c r="L135" s="4" t="s">
        <v>2306</v>
      </c>
      <c r="M135" s="4" t="s">
        <v>2309</v>
      </c>
      <c r="N135" s="5" t="s">
        <v>513</v>
      </c>
      <c r="O135" s="5" t="s">
        <v>520</v>
      </c>
      <c r="P135" s="5" t="s">
        <v>221</v>
      </c>
    </row>
    <row r="136" ht="15.75" customHeight="1">
      <c r="A136" s="8" t="s">
        <v>515</v>
      </c>
      <c r="B136" s="7" t="s">
        <v>516</v>
      </c>
      <c r="C136" s="8">
        <v>4.0</v>
      </c>
      <c r="D136" s="8" t="s">
        <v>2316</v>
      </c>
      <c r="E136" s="8" t="s">
        <v>525</v>
      </c>
      <c r="F136" s="8" t="s">
        <v>532</v>
      </c>
      <c r="G136" s="7" t="s">
        <v>2321</v>
      </c>
      <c r="H136" s="8" t="s">
        <v>708</v>
      </c>
      <c r="I136" s="7" t="s">
        <v>2324</v>
      </c>
      <c r="J136" s="7" t="s">
        <v>2326</v>
      </c>
      <c r="K136" s="8" t="s">
        <v>2143</v>
      </c>
      <c r="L136" s="7" t="s">
        <v>2329</v>
      </c>
      <c r="M136" s="7"/>
      <c r="N136" s="8" t="s">
        <v>291</v>
      </c>
      <c r="O136" s="8" t="s">
        <v>520</v>
      </c>
      <c r="P136" s="8" t="s">
        <v>221</v>
      </c>
    </row>
    <row r="137" ht="15.75" customHeight="1">
      <c r="A137" s="6" t="s">
        <v>2333</v>
      </c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 ht="15.75" customHeight="1">
      <c r="A138" s="8" t="s">
        <v>522</v>
      </c>
      <c r="B138" s="7" t="s">
        <v>523</v>
      </c>
      <c r="C138" s="8">
        <v>1.0</v>
      </c>
      <c r="D138" s="8" t="s">
        <v>2342</v>
      </c>
      <c r="E138" s="8" t="s">
        <v>400</v>
      </c>
      <c r="F138" s="8" t="s">
        <v>532</v>
      </c>
      <c r="G138" s="7" t="s">
        <v>2345</v>
      </c>
      <c r="H138" s="8" t="s">
        <v>2347</v>
      </c>
      <c r="I138" s="7" t="s">
        <v>2348</v>
      </c>
      <c r="J138" s="7" t="s">
        <v>2350</v>
      </c>
      <c r="K138" s="8" t="s">
        <v>2143</v>
      </c>
      <c r="L138" s="7" t="s">
        <v>2353</v>
      </c>
      <c r="M138" s="7" t="s">
        <v>2356</v>
      </c>
      <c r="N138" s="8"/>
      <c r="O138" s="8" t="s">
        <v>520</v>
      </c>
      <c r="P138" s="8" t="s">
        <v>221</v>
      </c>
    </row>
    <row r="139" ht="15.75" customHeight="1">
      <c r="A139" s="5" t="s">
        <v>522</v>
      </c>
      <c r="B139" s="4" t="s">
        <v>523</v>
      </c>
      <c r="C139" s="5">
        <v>2.0</v>
      </c>
      <c r="D139" s="5" t="s">
        <v>2364</v>
      </c>
      <c r="E139" s="5" t="s">
        <v>287</v>
      </c>
      <c r="F139" s="5" t="s">
        <v>575</v>
      </c>
      <c r="G139" s="4" t="s">
        <v>2366</v>
      </c>
      <c r="H139" s="5" t="s">
        <v>2369</v>
      </c>
      <c r="I139" s="4" t="s">
        <v>2371</v>
      </c>
      <c r="J139" s="4" t="s">
        <v>2372</v>
      </c>
      <c r="K139" s="5" t="s">
        <v>582</v>
      </c>
      <c r="L139" s="4" t="s">
        <v>2374</v>
      </c>
      <c r="M139" s="4" t="s">
        <v>2376</v>
      </c>
      <c r="N139" s="5" t="s">
        <v>513</v>
      </c>
      <c r="O139" s="5" t="s">
        <v>520</v>
      </c>
      <c r="P139" s="5" t="s">
        <v>221</v>
      </c>
    </row>
    <row r="140" ht="15.75" customHeight="1">
      <c r="A140" s="8" t="s">
        <v>522</v>
      </c>
      <c r="B140" s="7" t="s">
        <v>523</v>
      </c>
      <c r="C140" s="8">
        <v>3.0</v>
      </c>
      <c r="D140" s="8" t="s">
        <v>2384</v>
      </c>
      <c r="E140" s="8" t="s">
        <v>287</v>
      </c>
      <c r="F140" s="8" t="s">
        <v>575</v>
      </c>
      <c r="G140" s="7" t="s">
        <v>2388</v>
      </c>
      <c r="H140" s="8" t="s">
        <v>2390</v>
      </c>
      <c r="I140" s="7" t="s">
        <v>1485</v>
      </c>
      <c r="J140" s="7" t="s">
        <v>2393</v>
      </c>
      <c r="K140" s="8" t="s">
        <v>582</v>
      </c>
      <c r="L140" s="7" t="s">
        <v>1546</v>
      </c>
      <c r="M140" s="7"/>
      <c r="N140" s="8" t="s">
        <v>445</v>
      </c>
      <c r="O140" s="8" t="s">
        <v>520</v>
      </c>
      <c r="P140" s="8" t="s">
        <v>221</v>
      </c>
    </row>
    <row r="141" ht="15.75" customHeight="1">
      <c r="A141" s="5" t="s">
        <v>522</v>
      </c>
      <c r="B141" s="4" t="s">
        <v>523</v>
      </c>
      <c r="C141" s="5">
        <v>4.0</v>
      </c>
      <c r="D141" s="5" t="s">
        <v>2402</v>
      </c>
      <c r="E141" s="5" t="s">
        <v>287</v>
      </c>
      <c r="F141" s="5" t="s">
        <v>592</v>
      </c>
      <c r="G141" s="4" t="s">
        <v>2405</v>
      </c>
      <c r="H141" s="5" t="s">
        <v>2406</v>
      </c>
      <c r="I141" s="4" t="s">
        <v>1047</v>
      </c>
      <c r="J141" s="4" t="s">
        <v>2409</v>
      </c>
      <c r="K141" s="5" t="s">
        <v>582</v>
      </c>
      <c r="L141" s="4" t="s">
        <v>1052</v>
      </c>
      <c r="M141" s="4" t="s">
        <v>2413</v>
      </c>
      <c r="N141" s="5"/>
      <c r="O141" s="5" t="s">
        <v>520</v>
      </c>
      <c r="P141" s="5" t="s">
        <v>221</v>
      </c>
    </row>
    <row r="142" ht="15.75" customHeight="1">
      <c r="A142" s="6" t="s">
        <v>2419</v>
      </c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 ht="15.75" customHeight="1">
      <c r="A143" s="5" t="s">
        <v>528</v>
      </c>
      <c r="B143" s="4" t="s">
        <v>529</v>
      </c>
      <c r="C143" s="5">
        <v>1.0</v>
      </c>
      <c r="D143" s="5" t="s">
        <v>2432</v>
      </c>
      <c r="E143" s="5" t="s">
        <v>287</v>
      </c>
      <c r="F143" s="5" t="s">
        <v>575</v>
      </c>
      <c r="G143" s="4" t="s">
        <v>2435</v>
      </c>
      <c r="H143" s="5" t="s">
        <v>2436</v>
      </c>
      <c r="I143" s="4" t="s">
        <v>2036</v>
      </c>
      <c r="J143" s="4" t="s">
        <v>2438</v>
      </c>
      <c r="K143" s="5" t="s">
        <v>582</v>
      </c>
      <c r="L143" s="4" t="s">
        <v>2441</v>
      </c>
      <c r="M143" s="4" t="s">
        <v>2442</v>
      </c>
      <c r="N143" s="5" t="s">
        <v>513</v>
      </c>
      <c r="O143" s="5" t="s">
        <v>534</v>
      </c>
      <c r="P143" s="5" t="s">
        <v>221</v>
      </c>
    </row>
    <row r="144" ht="15.75" customHeight="1">
      <c r="A144" s="8" t="s">
        <v>528</v>
      </c>
      <c r="B144" s="7" t="s">
        <v>529</v>
      </c>
      <c r="C144" s="8">
        <v>2.0</v>
      </c>
      <c r="D144" s="8" t="s">
        <v>2448</v>
      </c>
      <c r="E144" s="8" t="s">
        <v>287</v>
      </c>
      <c r="F144" s="8" t="s">
        <v>575</v>
      </c>
      <c r="G144" s="7" t="s">
        <v>2452</v>
      </c>
      <c r="H144" s="8" t="s">
        <v>2454</v>
      </c>
      <c r="I144" s="7" t="s">
        <v>2036</v>
      </c>
      <c r="J144" s="7" t="s">
        <v>2455</v>
      </c>
      <c r="K144" s="8" t="s">
        <v>582</v>
      </c>
      <c r="L144" s="7" t="s">
        <v>2458</v>
      </c>
      <c r="M144" s="7"/>
      <c r="N144" s="8"/>
      <c r="O144" s="8" t="s">
        <v>534</v>
      </c>
      <c r="P144" s="8" t="s">
        <v>221</v>
      </c>
    </row>
    <row r="145" ht="15.75" customHeight="1">
      <c r="A145" s="5" t="s">
        <v>528</v>
      </c>
      <c r="B145" s="4" t="s">
        <v>529</v>
      </c>
      <c r="C145" s="5">
        <v>3.0</v>
      </c>
      <c r="D145" s="5" t="s">
        <v>2467</v>
      </c>
      <c r="E145" s="5" t="s">
        <v>287</v>
      </c>
      <c r="F145" s="5" t="s">
        <v>575</v>
      </c>
      <c r="G145" s="4" t="s">
        <v>2469</v>
      </c>
      <c r="H145" s="5" t="s">
        <v>2471</v>
      </c>
      <c r="I145" s="4" t="s">
        <v>2036</v>
      </c>
      <c r="J145" s="4" t="s">
        <v>2474</v>
      </c>
      <c r="K145" s="5" t="s">
        <v>582</v>
      </c>
      <c r="L145" s="4" t="s">
        <v>2477</v>
      </c>
      <c r="M145" s="4" t="s">
        <v>2479</v>
      </c>
      <c r="N145" s="5" t="s">
        <v>513</v>
      </c>
      <c r="O145" s="5" t="s">
        <v>534</v>
      </c>
      <c r="P145" s="5" t="s">
        <v>221</v>
      </c>
    </row>
    <row r="146" ht="15.75" customHeight="1">
      <c r="A146" s="8" t="s">
        <v>528</v>
      </c>
      <c r="B146" s="7" t="s">
        <v>529</v>
      </c>
      <c r="C146" s="8">
        <v>4.0</v>
      </c>
      <c r="D146" s="8" t="s">
        <v>2487</v>
      </c>
      <c r="E146" s="8" t="s">
        <v>287</v>
      </c>
      <c r="F146" s="8" t="s">
        <v>592</v>
      </c>
      <c r="G146" s="7" t="s">
        <v>2489</v>
      </c>
      <c r="H146" s="8" t="s">
        <v>2492</v>
      </c>
      <c r="I146" s="7" t="s">
        <v>2176</v>
      </c>
      <c r="J146" s="7" t="s">
        <v>2493</v>
      </c>
      <c r="K146" s="8" t="s">
        <v>582</v>
      </c>
      <c r="L146" s="7"/>
      <c r="M146" s="7" t="s">
        <v>2497</v>
      </c>
      <c r="N146" s="8"/>
      <c r="O146" s="8" t="s">
        <v>534</v>
      </c>
      <c r="P146" s="8" t="s">
        <v>221</v>
      </c>
    </row>
    <row r="147" ht="15.75" customHeight="1">
      <c r="A147" s="6" t="s">
        <v>2499</v>
      </c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 ht="15.75" customHeight="1">
      <c r="A148" s="8" t="s">
        <v>538</v>
      </c>
      <c r="B148" s="7" t="s">
        <v>540</v>
      </c>
      <c r="C148" s="8">
        <v>1.0</v>
      </c>
      <c r="D148" s="8" t="s">
        <v>2515</v>
      </c>
      <c r="E148" s="8" t="s">
        <v>287</v>
      </c>
      <c r="F148" s="8" t="s">
        <v>575</v>
      </c>
      <c r="G148" s="7" t="s">
        <v>2519</v>
      </c>
      <c r="H148" s="8" t="s">
        <v>2520</v>
      </c>
      <c r="I148" s="7" t="s">
        <v>2036</v>
      </c>
      <c r="J148" s="7" t="s">
        <v>2523</v>
      </c>
      <c r="K148" s="8" t="s">
        <v>582</v>
      </c>
      <c r="L148" s="7" t="s">
        <v>2525</v>
      </c>
      <c r="M148" s="7" t="s">
        <v>2526</v>
      </c>
      <c r="N148" s="8" t="s">
        <v>513</v>
      </c>
      <c r="O148" s="8" t="s">
        <v>494</v>
      </c>
      <c r="P148" s="8" t="s">
        <v>221</v>
      </c>
    </row>
    <row r="149" ht="15.75" customHeight="1">
      <c r="A149" s="5" t="s">
        <v>538</v>
      </c>
      <c r="B149" s="4" t="s">
        <v>540</v>
      </c>
      <c r="C149" s="5">
        <v>2.0</v>
      </c>
      <c r="D149" s="5" t="s">
        <v>2532</v>
      </c>
      <c r="E149" s="5" t="s">
        <v>287</v>
      </c>
      <c r="F149" s="5" t="s">
        <v>575</v>
      </c>
      <c r="G149" s="4" t="s">
        <v>2535</v>
      </c>
      <c r="H149" s="5" t="s">
        <v>2536</v>
      </c>
      <c r="I149" s="4" t="s">
        <v>2538</v>
      </c>
      <c r="J149" s="4" t="s">
        <v>2541</v>
      </c>
      <c r="K149" s="5" t="s">
        <v>582</v>
      </c>
      <c r="L149" s="4" t="s">
        <v>2544</v>
      </c>
      <c r="M149" s="4" t="s">
        <v>2547</v>
      </c>
      <c r="N149" s="5"/>
      <c r="O149" s="5" t="s">
        <v>494</v>
      </c>
      <c r="P149" s="5" t="s">
        <v>221</v>
      </c>
    </row>
    <row r="150" ht="15.75" customHeight="1">
      <c r="A150" s="8" t="s">
        <v>538</v>
      </c>
      <c r="B150" s="7" t="s">
        <v>540</v>
      </c>
      <c r="C150" s="8">
        <v>3.0</v>
      </c>
      <c r="D150" s="8" t="s">
        <v>2552</v>
      </c>
      <c r="E150" s="8" t="s">
        <v>287</v>
      </c>
      <c r="F150" s="8" t="s">
        <v>575</v>
      </c>
      <c r="G150" s="7" t="s">
        <v>2556</v>
      </c>
      <c r="H150" s="8" t="s">
        <v>2557</v>
      </c>
      <c r="I150" s="7" t="s">
        <v>2036</v>
      </c>
      <c r="J150" s="7" t="s">
        <v>2559</v>
      </c>
      <c r="K150" s="8" t="s">
        <v>582</v>
      </c>
      <c r="L150" s="7" t="s">
        <v>2041</v>
      </c>
      <c r="M150" s="7"/>
      <c r="N150" s="8"/>
      <c r="O150" s="8" t="s">
        <v>494</v>
      </c>
      <c r="P150" s="8" t="s">
        <v>221</v>
      </c>
    </row>
    <row r="151" ht="15.75" customHeight="1">
      <c r="A151" s="6" t="s">
        <v>2563</v>
      </c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 ht="15.75" customHeight="1">
      <c r="A152" s="8" t="s">
        <v>547</v>
      </c>
      <c r="B152" s="7" t="s">
        <v>548</v>
      </c>
      <c r="C152" s="8">
        <v>1.0</v>
      </c>
      <c r="D152" s="8" t="s">
        <v>2574</v>
      </c>
      <c r="E152" s="8" t="s">
        <v>287</v>
      </c>
      <c r="F152" s="8" t="s">
        <v>575</v>
      </c>
      <c r="G152" s="7" t="s">
        <v>2577</v>
      </c>
      <c r="H152" s="8" t="s">
        <v>2579</v>
      </c>
      <c r="I152" s="7" t="s">
        <v>2176</v>
      </c>
      <c r="J152" s="7" t="s">
        <v>2581</v>
      </c>
      <c r="K152" s="8" t="s">
        <v>2159</v>
      </c>
      <c r="L152" s="7"/>
      <c r="M152" s="7" t="s">
        <v>2583</v>
      </c>
      <c r="N152" s="8" t="s">
        <v>513</v>
      </c>
      <c r="O152" s="8" t="s">
        <v>554</v>
      </c>
      <c r="P152" s="8" t="s">
        <v>221</v>
      </c>
    </row>
    <row r="153" ht="15.75" customHeight="1">
      <c r="A153" s="5" t="s">
        <v>547</v>
      </c>
      <c r="B153" s="4" t="s">
        <v>548</v>
      </c>
      <c r="C153" s="5">
        <v>2.0</v>
      </c>
      <c r="D153" s="5" t="s">
        <v>2592</v>
      </c>
      <c r="E153" s="5" t="s">
        <v>287</v>
      </c>
      <c r="F153" s="5" t="s">
        <v>575</v>
      </c>
      <c r="G153" s="4" t="s">
        <v>2593</v>
      </c>
      <c r="H153" s="5" t="s">
        <v>2596</v>
      </c>
      <c r="I153" s="4" t="s">
        <v>2176</v>
      </c>
      <c r="J153" s="4" t="s">
        <v>2598</v>
      </c>
      <c r="K153" s="5" t="s">
        <v>2159</v>
      </c>
      <c r="L153" s="4"/>
      <c r="M153" s="4" t="s">
        <v>2600</v>
      </c>
      <c r="N153" s="5"/>
      <c r="O153" s="5" t="s">
        <v>554</v>
      </c>
      <c r="P153" s="5" t="s">
        <v>221</v>
      </c>
    </row>
    <row r="154" ht="15.75" customHeight="1">
      <c r="A154" s="6" t="s">
        <v>2605</v>
      </c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 ht="15.75" customHeight="1">
      <c r="A155" s="5" t="s">
        <v>560</v>
      </c>
      <c r="B155" s="4" t="s">
        <v>563</v>
      </c>
      <c r="C155" s="5">
        <v>1.0</v>
      </c>
      <c r="D155" s="5" t="s">
        <v>2620</v>
      </c>
      <c r="E155" s="5" t="s">
        <v>567</v>
      </c>
      <c r="F155" s="5" t="s">
        <v>532</v>
      </c>
      <c r="G155" s="4" t="s">
        <v>2623</v>
      </c>
      <c r="H155" s="5" t="s">
        <v>2626</v>
      </c>
      <c r="I155" s="4" t="s">
        <v>2629</v>
      </c>
      <c r="J155" s="4" t="s">
        <v>2630</v>
      </c>
      <c r="K155" s="5" t="s">
        <v>2192</v>
      </c>
      <c r="L155" s="4" t="s">
        <v>2631</v>
      </c>
      <c r="M155" s="4" t="s">
        <v>2633</v>
      </c>
      <c r="N155" s="5"/>
      <c r="O155" s="5" t="s">
        <v>570</v>
      </c>
      <c r="P155" s="5" t="s">
        <v>221</v>
      </c>
    </row>
    <row r="156" ht="15.75" customHeight="1">
      <c r="A156" s="8" t="s">
        <v>560</v>
      </c>
      <c r="B156" s="7" t="s">
        <v>563</v>
      </c>
      <c r="C156" s="8">
        <v>2.0</v>
      </c>
      <c r="D156" s="8" t="s">
        <v>2640</v>
      </c>
      <c r="E156" s="8" t="s">
        <v>287</v>
      </c>
      <c r="F156" s="8" t="s">
        <v>575</v>
      </c>
      <c r="G156" s="7" t="s">
        <v>2643</v>
      </c>
      <c r="H156" s="8" t="s">
        <v>2644</v>
      </c>
      <c r="I156" s="7" t="s">
        <v>1087</v>
      </c>
      <c r="J156" s="7" t="s">
        <v>2646</v>
      </c>
      <c r="K156" s="8" t="s">
        <v>2192</v>
      </c>
      <c r="L156" s="7"/>
      <c r="M156" s="7"/>
      <c r="N156" s="8"/>
      <c r="O156" s="8" t="s">
        <v>570</v>
      </c>
      <c r="P156" s="8" t="s">
        <v>221</v>
      </c>
    </row>
    <row r="157" ht="15.75" customHeight="1">
      <c r="A157" s="5" t="s">
        <v>560</v>
      </c>
      <c r="B157" s="4" t="s">
        <v>563</v>
      </c>
      <c r="C157" s="5">
        <v>3.0</v>
      </c>
      <c r="D157" s="5" t="s">
        <v>2651</v>
      </c>
      <c r="E157" s="5" t="s">
        <v>287</v>
      </c>
      <c r="F157" s="5" t="s">
        <v>575</v>
      </c>
      <c r="G157" s="4" t="s">
        <v>2653</v>
      </c>
      <c r="H157" s="5" t="s">
        <v>2654</v>
      </c>
      <c r="I157" s="4" t="s">
        <v>2656</v>
      </c>
      <c r="J157" s="4" t="s">
        <v>2658</v>
      </c>
      <c r="K157" s="5" t="s">
        <v>2192</v>
      </c>
      <c r="L157" s="4"/>
      <c r="M157" s="4"/>
      <c r="N157" s="5"/>
      <c r="O157" s="5" t="s">
        <v>570</v>
      </c>
      <c r="P157" s="5" t="s">
        <v>221</v>
      </c>
    </row>
    <row r="158" ht="15.75" customHeight="1">
      <c r="A158" s="6" t="s">
        <v>2662</v>
      </c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 ht="15.75" customHeight="1">
      <c r="A159" s="5" t="s">
        <v>573</v>
      </c>
      <c r="B159" s="4" t="s">
        <v>574</v>
      </c>
      <c r="C159" s="5">
        <v>1.0</v>
      </c>
      <c r="D159" s="5" t="s">
        <v>2671</v>
      </c>
      <c r="E159" s="5" t="s">
        <v>567</v>
      </c>
      <c r="F159" s="5" t="s">
        <v>532</v>
      </c>
      <c r="G159" s="4" t="s">
        <v>2673</v>
      </c>
      <c r="H159" s="5" t="s">
        <v>2674</v>
      </c>
      <c r="I159" s="4" t="s">
        <v>2676</v>
      </c>
      <c r="J159" s="4" t="s">
        <v>2678</v>
      </c>
      <c r="K159" s="5" t="s">
        <v>2192</v>
      </c>
      <c r="L159" s="4" t="s">
        <v>2680</v>
      </c>
      <c r="M159" s="4" t="s">
        <v>2683</v>
      </c>
      <c r="N159" s="5" t="s">
        <v>597</v>
      </c>
      <c r="O159" s="5"/>
      <c r="P159" s="5" t="s">
        <v>221</v>
      </c>
    </row>
    <row r="160" ht="15.75" customHeight="1">
      <c r="A160" s="8" t="s">
        <v>573</v>
      </c>
      <c r="B160" s="7" t="s">
        <v>574</v>
      </c>
      <c r="C160" s="8">
        <v>2.0</v>
      </c>
      <c r="D160" s="8" t="s">
        <v>2689</v>
      </c>
      <c r="E160" s="8" t="s">
        <v>287</v>
      </c>
      <c r="F160" s="8" t="s">
        <v>575</v>
      </c>
      <c r="G160" s="7" t="s">
        <v>2691</v>
      </c>
      <c r="H160" s="8" t="s">
        <v>2693</v>
      </c>
      <c r="I160" s="7" t="s">
        <v>2696</v>
      </c>
      <c r="J160" s="7" t="s">
        <v>2697</v>
      </c>
      <c r="K160" s="8" t="s">
        <v>582</v>
      </c>
      <c r="L160" s="7" t="s">
        <v>2699</v>
      </c>
      <c r="M160" s="7" t="s">
        <v>2701</v>
      </c>
      <c r="N160" s="8" t="s">
        <v>597</v>
      </c>
      <c r="O160" s="8"/>
      <c r="P160" s="8" t="s">
        <v>221</v>
      </c>
    </row>
    <row r="161" ht="15.75" customHeight="1">
      <c r="A161" s="6" t="s">
        <v>2706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ht="15.75" customHeight="1">
      <c r="A162" s="8" t="s">
        <v>586</v>
      </c>
      <c r="B162" s="7" t="s">
        <v>587</v>
      </c>
      <c r="C162" s="8">
        <v>1.0</v>
      </c>
      <c r="D162" s="8" t="s">
        <v>2720</v>
      </c>
      <c r="E162" s="8" t="s">
        <v>287</v>
      </c>
      <c r="F162" s="8" t="s">
        <v>575</v>
      </c>
      <c r="G162" s="7" t="s">
        <v>2724</v>
      </c>
      <c r="H162" s="8" t="s">
        <v>2726</v>
      </c>
      <c r="I162" s="7" t="s">
        <v>2727</v>
      </c>
      <c r="J162" s="7" t="s">
        <v>2730</v>
      </c>
      <c r="K162" s="8" t="s">
        <v>2205</v>
      </c>
      <c r="L162" s="7" t="s">
        <v>2734</v>
      </c>
      <c r="M162" s="7" t="s">
        <v>2736</v>
      </c>
      <c r="N162" s="8" t="s">
        <v>597</v>
      </c>
      <c r="O162" s="8" t="s">
        <v>598</v>
      </c>
      <c r="P162" s="8" t="s">
        <v>221</v>
      </c>
    </row>
    <row r="163" ht="15.75" customHeight="1">
      <c r="A163" s="5" t="s">
        <v>586</v>
      </c>
      <c r="B163" s="4" t="s">
        <v>587</v>
      </c>
      <c r="C163" s="5">
        <v>2.0</v>
      </c>
      <c r="D163" s="5" t="s">
        <v>2743</v>
      </c>
      <c r="E163" s="5" t="s">
        <v>2745</v>
      </c>
      <c r="F163" s="5" t="s">
        <v>1885</v>
      </c>
      <c r="G163" s="4" t="s">
        <v>2747</v>
      </c>
      <c r="H163" s="5" t="s">
        <v>2749</v>
      </c>
      <c r="I163" s="4" t="s">
        <v>2751</v>
      </c>
      <c r="J163" s="4" t="s">
        <v>2753</v>
      </c>
      <c r="K163" s="5" t="s">
        <v>2205</v>
      </c>
      <c r="L163" s="4" t="s">
        <v>1893</v>
      </c>
      <c r="M163" s="4" t="s">
        <v>2755</v>
      </c>
      <c r="N163" s="5" t="s">
        <v>424</v>
      </c>
      <c r="O163" s="5" t="s">
        <v>598</v>
      </c>
      <c r="P163" s="5" t="s">
        <v>221</v>
      </c>
    </row>
    <row r="164" ht="15.75" customHeight="1">
      <c r="A164" s="8" t="s">
        <v>586</v>
      </c>
      <c r="B164" s="7" t="s">
        <v>587</v>
      </c>
      <c r="C164" s="8">
        <v>3.0</v>
      </c>
      <c r="D164" s="8" t="s">
        <v>2762</v>
      </c>
      <c r="E164" s="8" t="s">
        <v>567</v>
      </c>
      <c r="F164" s="8" t="s">
        <v>532</v>
      </c>
      <c r="G164" s="7" t="s">
        <v>2765</v>
      </c>
      <c r="H164" s="8" t="s">
        <v>2767</v>
      </c>
      <c r="I164" s="7" t="s">
        <v>2768</v>
      </c>
      <c r="J164" s="7" t="s">
        <v>2770</v>
      </c>
      <c r="K164" s="8" t="s">
        <v>2205</v>
      </c>
      <c r="L164" s="7"/>
      <c r="M164" s="7" t="s">
        <v>2774</v>
      </c>
      <c r="N164" s="8" t="s">
        <v>597</v>
      </c>
      <c r="O164" s="8" t="s">
        <v>598</v>
      </c>
      <c r="P164" s="8" t="s">
        <v>221</v>
      </c>
    </row>
    <row r="165" ht="15.75" customHeight="1">
      <c r="A165" s="6" t="s">
        <v>2779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ht="15.75" customHeight="1">
      <c r="A166" s="8" t="s">
        <v>602</v>
      </c>
      <c r="B166" s="7" t="s">
        <v>603</v>
      </c>
      <c r="C166" s="8">
        <v>1.0</v>
      </c>
      <c r="D166" s="8" t="s">
        <v>2793</v>
      </c>
      <c r="E166" s="8" t="s">
        <v>287</v>
      </c>
      <c r="F166" s="8" t="s">
        <v>575</v>
      </c>
      <c r="G166" s="7" t="s">
        <v>2796</v>
      </c>
      <c r="H166" s="8" t="s">
        <v>2797</v>
      </c>
      <c r="I166" s="7" t="s">
        <v>2799</v>
      </c>
      <c r="J166" s="7" t="s">
        <v>2800</v>
      </c>
      <c r="K166" s="8" t="s">
        <v>582</v>
      </c>
      <c r="L166" s="7"/>
      <c r="M166" s="7"/>
      <c r="N166" s="8"/>
      <c r="O166" s="8"/>
      <c r="P166" s="8" t="s">
        <v>221</v>
      </c>
    </row>
    <row r="167" ht="15.75" customHeight="1">
      <c r="A167" s="5" t="s">
        <v>602</v>
      </c>
      <c r="B167" s="4" t="s">
        <v>603</v>
      </c>
      <c r="C167" s="5">
        <v>2.0</v>
      </c>
      <c r="D167" s="5" t="s">
        <v>2805</v>
      </c>
      <c r="E167" s="5" t="s">
        <v>287</v>
      </c>
      <c r="F167" s="5" t="s">
        <v>575</v>
      </c>
      <c r="G167" s="4" t="s">
        <v>2810</v>
      </c>
      <c r="H167" s="5" t="s">
        <v>2812</v>
      </c>
      <c r="I167" s="4" t="s">
        <v>2813</v>
      </c>
      <c r="J167" s="4" t="s">
        <v>2816</v>
      </c>
      <c r="K167" s="5" t="s">
        <v>582</v>
      </c>
      <c r="L167" s="4"/>
      <c r="M167" s="4" t="s">
        <v>2820</v>
      </c>
      <c r="N167" s="5" t="s">
        <v>608</v>
      </c>
      <c r="O167" s="5"/>
      <c r="P167" s="5" t="s">
        <v>221</v>
      </c>
    </row>
    <row r="168" ht="15.75" customHeight="1">
      <c r="A168" s="8" t="s">
        <v>602</v>
      </c>
      <c r="B168" s="7" t="s">
        <v>603</v>
      </c>
      <c r="C168" s="8">
        <v>3.0</v>
      </c>
      <c r="D168" s="8" t="s">
        <v>2825</v>
      </c>
      <c r="E168" s="8" t="s">
        <v>287</v>
      </c>
      <c r="F168" s="8" t="s">
        <v>575</v>
      </c>
      <c r="G168" s="7" t="s">
        <v>2826</v>
      </c>
      <c r="H168" s="8" t="s">
        <v>2828</v>
      </c>
      <c r="I168" s="7" t="s">
        <v>2829</v>
      </c>
      <c r="J168" s="7" t="s">
        <v>2831</v>
      </c>
      <c r="K168" s="8" t="s">
        <v>582</v>
      </c>
      <c r="L168" s="7"/>
      <c r="M168" s="7" t="s">
        <v>2836</v>
      </c>
      <c r="N168" s="8" t="s">
        <v>608</v>
      </c>
      <c r="O168" s="8"/>
      <c r="P168" s="8" t="s">
        <v>221</v>
      </c>
    </row>
    <row r="169" ht="15.75" customHeight="1">
      <c r="A169" s="5" t="s">
        <v>602</v>
      </c>
      <c r="B169" s="4" t="s">
        <v>603</v>
      </c>
      <c r="C169" s="5">
        <v>4.0</v>
      </c>
      <c r="D169" s="5" t="s">
        <v>2843</v>
      </c>
      <c r="E169" s="5" t="s">
        <v>287</v>
      </c>
      <c r="F169" s="5" t="s">
        <v>575</v>
      </c>
      <c r="G169" s="4" t="s">
        <v>2849</v>
      </c>
      <c r="H169" s="5" t="s">
        <v>2850</v>
      </c>
      <c r="I169" s="4" t="s">
        <v>2851</v>
      </c>
      <c r="J169" s="4" t="s">
        <v>2854</v>
      </c>
      <c r="K169" s="5" t="s">
        <v>2235</v>
      </c>
      <c r="L169" s="4"/>
      <c r="M169" s="4" t="s">
        <v>2857</v>
      </c>
      <c r="N169" s="5" t="s">
        <v>291</v>
      </c>
      <c r="O169" s="5"/>
      <c r="P169" s="5" t="s">
        <v>221</v>
      </c>
    </row>
    <row r="170" ht="15.75" customHeight="1">
      <c r="A170" s="6" t="s">
        <v>2861</v>
      </c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ht="15.75" customHeight="1">
      <c r="A171" s="5" t="s">
        <v>611</v>
      </c>
      <c r="B171" s="4" t="s">
        <v>612</v>
      </c>
      <c r="C171" s="5">
        <v>1.0</v>
      </c>
      <c r="D171" s="5" t="s">
        <v>2874</v>
      </c>
      <c r="E171" s="5" t="s">
        <v>287</v>
      </c>
      <c r="F171" s="5" t="s">
        <v>575</v>
      </c>
      <c r="G171" s="4" t="s">
        <v>2877</v>
      </c>
      <c r="H171" s="5" t="s">
        <v>2880</v>
      </c>
      <c r="I171" s="4" t="s">
        <v>2813</v>
      </c>
      <c r="J171" s="4" t="s">
        <v>2882</v>
      </c>
      <c r="K171" s="5" t="s">
        <v>582</v>
      </c>
      <c r="L171" s="4"/>
      <c r="M171" s="4"/>
      <c r="N171" s="5"/>
      <c r="O171" s="5"/>
      <c r="P171" s="5" t="s">
        <v>221</v>
      </c>
    </row>
    <row r="172" ht="15.75" customHeight="1">
      <c r="A172" s="8" t="s">
        <v>611</v>
      </c>
      <c r="B172" s="7" t="s">
        <v>612</v>
      </c>
      <c r="C172" s="8">
        <v>2.0</v>
      </c>
      <c r="D172" s="8" t="s">
        <v>2889</v>
      </c>
      <c r="E172" s="8" t="s">
        <v>287</v>
      </c>
      <c r="F172" s="8" t="s">
        <v>592</v>
      </c>
      <c r="G172" s="7" t="s">
        <v>2891</v>
      </c>
      <c r="H172" s="8" t="s">
        <v>2892</v>
      </c>
      <c r="I172" s="7" t="s">
        <v>582</v>
      </c>
      <c r="J172" s="7" t="s">
        <v>2895</v>
      </c>
      <c r="K172" s="8" t="s">
        <v>582</v>
      </c>
      <c r="L172" s="7"/>
      <c r="M172" s="7" t="s">
        <v>2900</v>
      </c>
      <c r="N172" s="8" t="s">
        <v>608</v>
      </c>
      <c r="O172" s="8"/>
      <c r="P172" s="8" t="s">
        <v>221</v>
      </c>
    </row>
    <row r="173" ht="15.75" customHeight="1">
      <c r="A173" s="5" t="s">
        <v>611</v>
      </c>
      <c r="B173" s="4" t="s">
        <v>612</v>
      </c>
      <c r="C173" s="5">
        <v>3.0</v>
      </c>
      <c r="D173" s="5" t="s">
        <v>2903</v>
      </c>
      <c r="E173" s="5" t="s">
        <v>287</v>
      </c>
      <c r="F173" s="5" t="s">
        <v>575</v>
      </c>
      <c r="G173" s="4" t="s">
        <v>2907</v>
      </c>
      <c r="H173" s="5" t="s">
        <v>2909</v>
      </c>
      <c r="I173" s="4" t="s">
        <v>2829</v>
      </c>
      <c r="J173" s="4" t="s">
        <v>2912</v>
      </c>
      <c r="K173" s="5" t="s">
        <v>582</v>
      </c>
      <c r="L173" s="4"/>
      <c r="M173" s="4" t="s">
        <v>2915</v>
      </c>
      <c r="N173" s="5" t="s">
        <v>608</v>
      </c>
      <c r="O173" s="5"/>
      <c r="P173" s="5" t="s">
        <v>221</v>
      </c>
    </row>
    <row r="174" ht="15.75" customHeight="1">
      <c r="A174" s="8" t="s">
        <v>611</v>
      </c>
      <c r="B174" s="7" t="s">
        <v>612</v>
      </c>
      <c r="C174" s="8">
        <v>4.0</v>
      </c>
      <c r="D174" s="8" t="s">
        <v>2919</v>
      </c>
      <c r="E174" s="8" t="s">
        <v>795</v>
      </c>
      <c r="F174" s="8" t="s">
        <v>532</v>
      </c>
      <c r="G174" s="7" t="s">
        <v>2922</v>
      </c>
      <c r="H174" s="8" t="s">
        <v>2924</v>
      </c>
      <c r="I174" s="7" t="s">
        <v>2925</v>
      </c>
      <c r="J174" s="7" t="s">
        <v>2928</v>
      </c>
      <c r="K174" s="8" t="s">
        <v>2219</v>
      </c>
      <c r="L174" s="7" t="s">
        <v>2931</v>
      </c>
      <c r="M174" s="7" t="s">
        <v>2934</v>
      </c>
      <c r="N174" s="8" t="s">
        <v>608</v>
      </c>
      <c r="O174" s="8"/>
      <c r="P174" s="8" t="s">
        <v>221</v>
      </c>
    </row>
    <row r="175" ht="15.75" customHeight="1">
      <c r="A175" s="6" t="s">
        <v>2938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ht="15.75" customHeight="1">
      <c r="A176" s="8" t="s">
        <v>627</v>
      </c>
      <c r="B176" s="7" t="s">
        <v>629</v>
      </c>
      <c r="C176" s="8">
        <v>1.0</v>
      </c>
      <c r="D176" s="8" t="s">
        <v>2944</v>
      </c>
      <c r="E176" s="8" t="s">
        <v>287</v>
      </c>
      <c r="F176" s="8" t="s">
        <v>592</v>
      </c>
      <c r="G176" s="7" t="s">
        <v>2946</v>
      </c>
      <c r="H176" s="8" t="s">
        <v>2947</v>
      </c>
      <c r="I176" s="7" t="s">
        <v>1087</v>
      </c>
      <c r="J176" s="7" t="s">
        <v>2950</v>
      </c>
      <c r="K176" s="8" t="s">
        <v>582</v>
      </c>
      <c r="L176" s="7"/>
      <c r="M176" s="7" t="s">
        <v>2954</v>
      </c>
      <c r="N176" s="8" t="s">
        <v>608</v>
      </c>
      <c r="O176" s="8" t="s">
        <v>633</v>
      </c>
      <c r="P176" s="8" t="s">
        <v>221</v>
      </c>
    </row>
    <row r="177" ht="15.75" customHeight="1">
      <c r="A177" s="5" t="s">
        <v>627</v>
      </c>
      <c r="B177" s="4" t="s">
        <v>629</v>
      </c>
      <c r="C177" s="5">
        <v>2.0</v>
      </c>
      <c r="D177" s="5" t="s">
        <v>2959</v>
      </c>
      <c r="E177" s="5" t="s">
        <v>287</v>
      </c>
      <c r="F177" s="5" t="s">
        <v>575</v>
      </c>
      <c r="G177" s="4" t="s">
        <v>2962</v>
      </c>
      <c r="H177" s="5" t="s">
        <v>2965</v>
      </c>
      <c r="I177" s="4" t="s">
        <v>2813</v>
      </c>
      <c r="J177" s="4" t="s">
        <v>2967</v>
      </c>
      <c r="K177" s="5" t="s">
        <v>582</v>
      </c>
      <c r="L177" s="4"/>
      <c r="M177" s="4"/>
      <c r="N177" s="5"/>
      <c r="O177" s="5" t="s">
        <v>633</v>
      </c>
      <c r="P177" s="5" t="s">
        <v>221</v>
      </c>
    </row>
    <row r="178" ht="15.75" customHeight="1">
      <c r="A178" s="8" t="s">
        <v>627</v>
      </c>
      <c r="B178" s="7" t="s">
        <v>629</v>
      </c>
      <c r="C178" s="8">
        <v>3.0</v>
      </c>
      <c r="D178" s="8" t="s">
        <v>2975</v>
      </c>
      <c r="E178" s="8" t="s">
        <v>287</v>
      </c>
      <c r="F178" s="8" t="s">
        <v>575</v>
      </c>
      <c r="G178" s="7" t="s">
        <v>2979</v>
      </c>
      <c r="H178" s="8" t="s">
        <v>2981</v>
      </c>
      <c r="I178" s="7" t="s">
        <v>2829</v>
      </c>
      <c r="J178" s="7" t="s">
        <v>2985</v>
      </c>
      <c r="K178" s="8" t="s">
        <v>2235</v>
      </c>
      <c r="L178" s="7"/>
      <c r="M178" s="7"/>
      <c r="N178" s="8"/>
      <c r="O178" s="8" t="s">
        <v>633</v>
      </c>
      <c r="P178" s="8" t="s">
        <v>221</v>
      </c>
    </row>
    <row r="179" ht="15.75" customHeight="1">
      <c r="A179" s="6" t="s">
        <v>2998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ht="15.75" customHeight="1">
      <c r="A180" s="8" t="s">
        <v>638</v>
      </c>
      <c r="B180" s="7" t="s">
        <v>640</v>
      </c>
      <c r="C180" s="8">
        <v>1.0</v>
      </c>
      <c r="D180" s="8" t="s">
        <v>3012</v>
      </c>
      <c r="E180" s="8" t="s">
        <v>287</v>
      </c>
      <c r="F180" s="8" t="s">
        <v>575</v>
      </c>
      <c r="G180" s="7" t="s">
        <v>3015</v>
      </c>
      <c r="H180" s="8" t="s">
        <v>3018</v>
      </c>
      <c r="I180" s="7" t="s">
        <v>2813</v>
      </c>
      <c r="J180" s="7" t="s">
        <v>3020</v>
      </c>
      <c r="K180" s="8" t="s">
        <v>582</v>
      </c>
      <c r="L180" s="7"/>
      <c r="M180" s="7"/>
      <c r="N180" s="8" t="s">
        <v>175</v>
      </c>
      <c r="O180" s="8" t="s">
        <v>649</v>
      </c>
      <c r="P180" s="8" t="s">
        <v>221</v>
      </c>
    </row>
    <row r="181" ht="15.75" customHeight="1">
      <c r="A181" s="5" t="s">
        <v>638</v>
      </c>
      <c r="B181" s="4" t="s">
        <v>640</v>
      </c>
      <c r="C181" s="5">
        <v>2.0</v>
      </c>
      <c r="D181" s="5" t="s">
        <v>3027</v>
      </c>
      <c r="E181" s="5" t="s">
        <v>287</v>
      </c>
      <c r="F181" s="5" t="s">
        <v>592</v>
      </c>
      <c r="G181" s="4" t="s">
        <v>3029</v>
      </c>
      <c r="H181" s="5" t="s">
        <v>3030</v>
      </c>
      <c r="I181" s="4" t="s">
        <v>582</v>
      </c>
      <c r="J181" s="4" t="s">
        <v>3032</v>
      </c>
      <c r="K181" s="5" t="s">
        <v>582</v>
      </c>
      <c r="L181" s="4"/>
      <c r="M181" s="4" t="s">
        <v>3033</v>
      </c>
      <c r="N181" s="5" t="s">
        <v>175</v>
      </c>
      <c r="O181" s="5" t="s">
        <v>649</v>
      </c>
      <c r="P181" s="5" t="s">
        <v>221</v>
      </c>
    </row>
    <row r="182" ht="15.75" customHeight="1">
      <c r="A182" s="8" t="s">
        <v>638</v>
      </c>
      <c r="B182" s="7" t="s">
        <v>640</v>
      </c>
      <c r="C182" s="8">
        <v>3.0</v>
      </c>
      <c r="D182" s="8" t="s">
        <v>3037</v>
      </c>
      <c r="E182" s="8" t="s">
        <v>287</v>
      </c>
      <c r="F182" s="8" t="s">
        <v>575</v>
      </c>
      <c r="G182" s="7" t="s">
        <v>3040</v>
      </c>
      <c r="H182" s="8" t="s">
        <v>3042</v>
      </c>
      <c r="I182" s="7" t="s">
        <v>2813</v>
      </c>
      <c r="J182" s="7" t="s">
        <v>3043</v>
      </c>
      <c r="K182" s="8" t="s">
        <v>582</v>
      </c>
      <c r="L182" s="7"/>
      <c r="M182" s="7" t="s">
        <v>3045</v>
      </c>
      <c r="N182" s="8" t="s">
        <v>175</v>
      </c>
      <c r="O182" s="8" t="s">
        <v>649</v>
      </c>
      <c r="P182" s="8" t="s">
        <v>221</v>
      </c>
    </row>
    <row r="183" ht="15.75" customHeight="1">
      <c r="A183" s="5" t="s">
        <v>638</v>
      </c>
      <c r="B183" s="4" t="s">
        <v>640</v>
      </c>
      <c r="C183" s="5">
        <v>4.0</v>
      </c>
      <c r="D183" s="5" t="s">
        <v>3049</v>
      </c>
      <c r="E183" s="5" t="s">
        <v>287</v>
      </c>
      <c r="F183" s="5" t="s">
        <v>575</v>
      </c>
      <c r="G183" s="4" t="s">
        <v>3052</v>
      </c>
      <c r="H183" s="5" t="s">
        <v>3053</v>
      </c>
      <c r="I183" s="4" t="s">
        <v>2813</v>
      </c>
      <c r="J183" s="4" t="s">
        <v>3054</v>
      </c>
      <c r="K183" s="5" t="s">
        <v>2249</v>
      </c>
      <c r="L183" s="4"/>
      <c r="M183" s="4" t="s">
        <v>3056</v>
      </c>
      <c r="N183" s="5" t="s">
        <v>175</v>
      </c>
      <c r="O183" s="5" t="s">
        <v>649</v>
      </c>
      <c r="P183" s="5" t="s">
        <v>221</v>
      </c>
    </row>
    <row r="184" ht="15.75" customHeight="1">
      <c r="A184" s="8" t="s">
        <v>638</v>
      </c>
      <c r="B184" s="7" t="s">
        <v>640</v>
      </c>
      <c r="C184" s="8">
        <v>5.0</v>
      </c>
      <c r="D184" s="8" t="s">
        <v>3061</v>
      </c>
      <c r="E184" s="8" t="s">
        <v>287</v>
      </c>
      <c r="F184" s="8" t="s">
        <v>575</v>
      </c>
      <c r="G184" s="7" t="s">
        <v>3063</v>
      </c>
      <c r="H184" s="8" t="s">
        <v>3064</v>
      </c>
      <c r="I184" s="7" t="s">
        <v>3065</v>
      </c>
      <c r="J184" s="7" t="s">
        <v>3066</v>
      </c>
      <c r="K184" s="8" t="s">
        <v>582</v>
      </c>
      <c r="L184" s="7"/>
      <c r="M184" s="7" t="s">
        <v>3068</v>
      </c>
      <c r="N184" s="8" t="s">
        <v>608</v>
      </c>
      <c r="O184" s="8" t="s">
        <v>649</v>
      </c>
      <c r="P184" s="8" t="s">
        <v>221</v>
      </c>
    </row>
    <row r="185" ht="15.75" customHeight="1">
      <c r="A185" s="6" t="s">
        <v>3072</v>
      </c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 ht="15.75" customHeight="1">
      <c r="A186" s="8" t="s">
        <v>651</v>
      </c>
      <c r="B186" s="7" t="s">
        <v>652</v>
      </c>
      <c r="C186" s="8">
        <v>1.0</v>
      </c>
      <c r="D186" s="8" t="s">
        <v>3075</v>
      </c>
      <c r="E186" s="8" t="s">
        <v>287</v>
      </c>
      <c r="F186" s="8" t="s">
        <v>575</v>
      </c>
      <c r="G186" s="7" t="s">
        <v>3078</v>
      </c>
      <c r="H186" s="8" t="s">
        <v>3079</v>
      </c>
      <c r="I186" s="7" t="s">
        <v>3080</v>
      </c>
      <c r="J186" s="7" t="s">
        <v>3082</v>
      </c>
      <c r="K186" s="8" t="s">
        <v>582</v>
      </c>
      <c r="L186" s="7"/>
      <c r="M186" s="7" t="s">
        <v>3085</v>
      </c>
      <c r="N186" s="8" t="s">
        <v>513</v>
      </c>
      <c r="O186" s="8" t="s">
        <v>665</v>
      </c>
      <c r="P186" s="8" t="s">
        <v>221</v>
      </c>
    </row>
    <row r="187" ht="15.75" customHeight="1">
      <c r="A187" s="5" t="s">
        <v>651</v>
      </c>
      <c r="B187" s="4" t="s">
        <v>652</v>
      </c>
      <c r="C187" s="5">
        <v>2.0</v>
      </c>
      <c r="D187" s="5" t="s">
        <v>3088</v>
      </c>
      <c r="E187" s="5" t="s">
        <v>287</v>
      </c>
      <c r="F187" s="5" t="s">
        <v>592</v>
      </c>
      <c r="G187" s="4" t="s">
        <v>3090</v>
      </c>
      <c r="H187" s="5" t="s">
        <v>3091</v>
      </c>
      <c r="I187" s="4" t="s">
        <v>582</v>
      </c>
      <c r="J187" s="4" t="s">
        <v>3093</v>
      </c>
      <c r="K187" s="5" t="s">
        <v>582</v>
      </c>
      <c r="L187" s="4" t="s">
        <v>3095</v>
      </c>
      <c r="M187" s="4" t="s">
        <v>3096</v>
      </c>
      <c r="N187" s="5"/>
      <c r="O187" s="5" t="s">
        <v>665</v>
      </c>
      <c r="P187" s="5" t="s">
        <v>221</v>
      </c>
    </row>
    <row r="188" ht="15.75" customHeight="1">
      <c r="A188" s="8" t="s">
        <v>651</v>
      </c>
      <c r="B188" s="7" t="s">
        <v>652</v>
      </c>
      <c r="C188" s="8">
        <v>3.0</v>
      </c>
      <c r="D188" s="8" t="s">
        <v>3099</v>
      </c>
      <c r="E188" s="8" t="s">
        <v>287</v>
      </c>
      <c r="F188" s="8" t="s">
        <v>575</v>
      </c>
      <c r="G188" s="7" t="s">
        <v>3101</v>
      </c>
      <c r="H188" s="8" t="s">
        <v>3102</v>
      </c>
      <c r="I188" s="7" t="s">
        <v>3104</v>
      </c>
      <c r="J188" s="7" t="s">
        <v>3105</v>
      </c>
      <c r="K188" s="8" t="s">
        <v>582</v>
      </c>
      <c r="L188" s="7" t="s">
        <v>3107</v>
      </c>
      <c r="M188" s="7"/>
      <c r="N188" s="8" t="s">
        <v>513</v>
      </c>
      <c r="O188" s="8" t="s">
        <v>665</v>
      </c>
      <c r="P188" s="8" t="s">
        <v>221</v>
      </c>
    </row>
    <row r="189" ht="15.75" customHeight="1">
      <c r="A189" s="5" t="s">
        <v>651</v>
      </c>
      <c r="B189" s="4" t="s">
        <v>652</v>
      </c>
      <c r="C189" s="5">
        <v>4.0</v>
      </c>
      <c r="D189" s="5" t="s">
        <v>3112</v>
      </c>
      <c r="E189" s="5" t="s">
        <v>287</v>
      </c>
      <c r="F189" s="5" t="s">
        <v>575</v>
      </c>
      <c r="G189" s="4" t="s">
        <v>3114</v>
      </c>
      <c r="H189" s="5" t="s">
        <v>3115</v>
      </c>
      <c r="I189" s="4" t="s">
        <v>3117</v>
      </c>
      <c r="J189" s="4" t="s">
        <v>3118</v>
      </c>
      <c r="K189" s="5" t="s">
        <v>582</v>
      </c>
      <c r="L189" s="4" t="s">
        <v>3120</v>
      </c>
      <c r="M189" s="4" t="s">
        <v>3121</v>
      </c>
      <c r="N189" s="5"/>
      <c r="O189" s="5" t="s">
        <v>665</v>
      </c>
      <c r="P189" s="5" t="s">
        <v>221</v>
      </c>
    </row>
    <row r="190" ht="15.75" customHeight="1">
      <c r="A190" s="6" t="s">
        <v>3124</v>
      </c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 ht="15.75" customHeight="1">
      <c r="A191" s="5" t="s">
        <v>669</v>
      </c>
      <c r="B191" s="4" t="s">
        <v>670</v>
      </c>
      <c r="C191" s="5">
        <v>1.0</v>
      </c>
      <c r="D191" s="5" t="s">
        <v>3132</v>
      </c>
      <c r="E191" s="5" t="s">
        <v>567</v>
      </c>
      <c r="F191" s="5" t="s">
        <v>532</v>
      </c>
      <c r="G191" s="4" t="s">
        <v>3134</v>
      </c>
      <c r="H191" s="5" t="s">
        <v>3135</v>
      </c>
      <c r="I191" s="4" t="s">
        <v>2676</v>
      </c>
      <c r="J191" s="4" t="s">
        <v>3137</v>
      </c>
      <c r="K191" s="5" t="s">
        <v>2192</v>
      </c>
      <c r="L191" s="4"/>
      <c r="M191" s="4"/>
      <c r="N191" s="5"/>
      <c r="O191" s="5" t="s">
        <v>598</v>
      </c>
      <c r="P191" s="5" t="s">
        <v>221</v>
      </c>
    </row>
    <row r="192" ht="15.75" customHeight="1">
      <c r="A192" s="8" t="s">
        <v>669</v>
      </c>
      <c r="B192" s="7" t="s">
        <v>670</v>
      </c>
      <c r="C192" s="8">
        <v>2.0</v>
      </c>
      <c r="D192" s="8" t="s">
        <v>3142</v>
      </c>
      <c r="E192" s="8" t="s">
        <v>654</v>
      </c>
      <c r="F192" s="8" t="s">
        <v>655</v>
      </c>
      <c r="G192" s="7" t="s">
        <v>3144</v>
      </c>
      <c r="H192" s="8" t="s">
        <v>3145</v>
      </c>
      <c r="I192" s="7" t="s">
        <v>2676</v>
      </c>
      <c r="J192" s="7" t="s">
        <v>3147</v>
      </c>
      <c r="K192" s="8" t="s">
        <v>662</v>
      </c>
      <c r="L192" s="7" t="s">
        <v>3149</v>
      </c>
      <c r="M192" s="7" t="s">
        <v>3150</v>
      </c>
      <c r="N192" s="8" t="s">
        <v>259</v>
      </c>
      <c r="O192" s="8" t="s">
        <v>598</v>
      </c>
      <c r="P192" s="8" t="s">
        <v>221</v>
      </c>
    </row>
    <row r="193" ht="15.75" customHeight="1">
      <c r="A193" s="5" t="s">
        <v>669</v>
      </c>
      <c r="B193" s="4" t="s">
        <v>670</v>
      </c>
      <c r="C193" s="5">
        <v>3.0</v>
      </c>
      <c r="D193" s="5" t="s">
        <v>3154</v>
      </c>
      <c r="E193" s="5" t="s">
        <v>1276</v>
      </c>
      <c r="F193" s="5" t="s">
        <v>532</v>
      </c>
      <c r="G193" s="4" t="s">
        <v>3169</v>
      </c>
      <c r="H193" s="5" t="s">
        <v>3171</v>
      </c>
      <c r="I193" s="4" t="s">
        <v>3173</v>
      </c>
      <c r="J193" s="4" t="s">
        <v>3174</v>
      </c>
      <c r="K193" s="5" t="s">
        <v>2257</v>
      </c>
      <c r="L193" s="4" t="s">
        <v>3176</v>
      </c>
      <c r="M193" s="4" t="s">
        <v>3177</v>
      </c>
      <c r="N193" s="5" t="s">
        <v>597</v>
      </c>
      <c r="O193" s="5" t="s">
        <v>598</v>
      </c>
      <c r="P193" s="5" t="s">
        <v>221</v>
      </c>
    </row>
    <row r="194" ht="15.75" customHeight="1">
      <c r="A194" s="8" t="s">
        <v>669</v>
      </c>
      <c r="B194" s="7" t="s">
        <v>670</v>
      </c>
      <c r="C194" s="8">
        <v>4.0</v>
      </c>
      <c r="D194" s="8" t="s">
        <v>3181</v>
      </c>
      <c r="E194" s="8" t="s">
        <v>1276</v>
      </c>
      <c r="F194" s="8" t="s">
        <v>532</v>
      </c>
      <c r="G194" s="7" t="s">
        <v>3184</v>
      </c>
      <c r="H194" s="8" t="s">
        <v>3186</v>
      </c>
      <c r="I194" s="7" t="s">
        <v>2676</v>
      </c>
      <c r="J194" s="7" t="s">
        <v>3187</v>
      </c>
      <c r="K194" s="8" t="s">
        <v>2257</v>
      </c>
      <c r="L194" s="7" t="s">
        <v>3189</v>
      </c>
      <c r="M194" s="7" t="s">
        <v>3190</v>
      </c>
      <c r="N194" s="8"/>
      <c r="O194" s="8" t="s">
        <v>598</v>
      </c>
      <c r="P194" s="8" t="s">
        <v>221</v>
      </c>
    </row>
    <row r="195" ht="15.75" customHeight="1">
      <c r="A195" s="5" t="s">
        <v>669</v>
      </c>
      <c r="B195" s="4" t="s">
        <v>670</v>
      </c>
      <c r="C195" s="5">
        <v>5.0</v>
      </c>
      <c r="D195" s="5" t="s">
        <v>3194</v>
      </c>
      <c r="E195" s="5" t="s">
        <v>287</v>
      </c>
      <c r="F195" s="5" t="s">
        <v>324</v>
      </c>
      <c r="G195" s="4" t="s">
        <v>3198</v>
      </c>
      <c r="H195" s="5" t="s">
        <v>3200</v>
      </c>
      <c r="I195" s="4" t="s">
        <v>3201</v>
      </c>
      <c r="J195" s="4" t="s">
        <v>3202</v>
      </c>
      <c r="K195" s="5" t="s">
        <v>582</v>
      </c>
      <c r="L195" s="4" t="s">
        <v>3205</v>
      </c>
      <c r="M195" s="4"/>
      <c r="N195" s="5"/>
      <c r="O195" s="5" t="s">
        <v>598</v>
      </c>
      <c r="P195" s="5" t="s">
        <v>221</v>
      </c>
    </row>
    <row r="196" ht="15.75" customHeight="1">
      <c r="A196" s="6" t="s">
        <v>3207</v>
      </c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 ht="15.75" customHeight="1">
      <c r="A197" s="5" t="s">
        <v>681</v>
      </c>
      <c r="B197" s="4" t="s">
        <v>684</v>
      </c>
      <c r="C197" s="5">
        <v>1.0</v>
      </c>
      <c r="D197" s="5" t="s">
        <v>3216</v>
      </c>
      <c r="E197" s="5" t="s">
        <v>567</v>
      </c>
      <c r="F197" s="5" t="s">
        <v>532</v>
      </c>
      <c r="G197" s="4" t="s">
        <v>3219</v>
      </c>
      <c r="H197" s="5" t="s">
        <v>3221</v>
      </c>
      <c r="I197" s="4" t="s">
        <v>2629</v>
      </c>
      <c r="J197" s="4" t="s">
        <v>3224</v>
      </c>
      <c r="K197" s="5" t="s">
        <v>2192</v>
      </c>
      <c r="L197" s="4" t="s">
        <v>2631</v>
      </c>
      <c r="M197" s="4" t="s">
        <v>3227</v>
      </c>
      <c r="N197" s="5"/>
      <c r="O197" s="5" t="s">
        <v>570</v>
      </c>
      <c r="P197" s="5" t="s">
        <v>221</v>
      </c>
    </row>
    <row r="198" ht="15.75" customHeight="1">
      <c r="A198" s="8" t="s">
        <v>681</v>
      </c>
      <c r="B198" s="7" t="s">
        <v>684</v>
      </c>
      <c r="C198" s="8">
        <v>2.0</v>
      </c>
      <c r="D198" s="8" t="s">
        <v>3230</v>
      </c>
      <c r="E198" s="8" t="s">
        <v>287</v>
      </c>
      <c r="F198" s="8" t="s">
        <v>575</v>
      </c>
      <c r="G198" s="7" t="s">
        <v>3234</v>
      </c>
      <c r="H198" s="8" t="s">
        <v>3235</v>
      </c>
      <c r="I198" s="7" t="s">
        <v>3236</v>
      </c>
      <c r="J198" s="7" t="s">
        <v>3237</v>
      </c>
      <c r="K198" s="8" t="s">
        <v>582</v>
      </c>
      <c r="L198" s="7"/>
      <c r="M198" s="7"/>
      <c r="N198" s="8"/>
      <c r="O198" s="8" t="s">
        <v>570</v>
      </c>
      <c r="P198" s="8" t="s">
        <v>221</v>
      </c>
    </row>
    <row r="199" ht="15.75" customHeight="1">
      <c r="A199" s="5" t="s">
        <v>681</v>
      </c>
      <c r="B199" s="4" t="s">
        <v>684</v>
      </c>
      <c r="C199" s="5">
        <v>3.0</v>
      </c>
      <c r="D199" s="5" t="s">
        <v>3244</v>
      </c>
      <c r="E199" s="5" t="s">
        <v>287</v>
      </c>
      <c r="F199" s="5" t="s">
        <v>575</v>
      </c>
      <c r="G199" s="4" t="s">
        <v>3247</v>
      </c>
      <c r="H199" s="5" t="s">
        <v>3250</v>
      </c>
      <c r="I199" s="4" t="s">
        <v>2813</v>
      </c>
      <c r="J199" s="4" t="s">
        <v>3251</v>
      </c>
      <c r="K199" s="5" t="s">
        <v>582</v>
      </c>
      <c r="L199" s="4"/>
      <c r="M199" s="4"/>
      <c r="N199" s="5" t="s">
        <v>608</v>
      </c>
      <c r="O199" s="5" t="s">
        <v>570</v>
      </c>
      <c r="P199" s="5" t="s">
        <v>221</v>
      </c>
    </row>
    <row r="200" ht="15.75" customHeight="1">
      <c r="A200" s="8" t="s">
        <v>681</v>
      </c>
      <c r="B200" s="7" t="s">
        <v>684</v>
      </c>
      <c r="C200" s="8">
        <v>4.0</v>
      </c>
      <c r="D200" s="8" t="s">
        <v>3261</v>
      </c>
      <c r="E200" s="8" t="s">
        <v>287</v>
      </c>
      <c r="F200" s="8" t="s">
        <v>575</v>
      </c>
      <c r="G200" s="7" t="s">
        <v>3264</v>
      </c>
      <c r="H200" s="8" t="s">
        <v>3266</v>
      </c>
      <c r="I200" s="7" t="s">
        <v>3267</v>
      </c>
      <c r="J200" s="7" t="s">
        <v>3269</v>
      </c>
      <c r="K200" s="8" t="s">
        <v>2235</v>
      </c>
      <c r="L200" s="7" t="s">
        <v>3205</v>
      </c>
      <c r="M200" s="7" t="s">
        <v>3274</v>
      </c>
      <c r="N200" s="8"/>
      <c r="O200" s="8" t="s">
        <v>570</v>
      </c>
      <c r="P200" s="8" t="s">
        <v>221</v>
      </c>
    </row>
    <row r="201" ht="15.75" customHeight="1">
      <c r="A201" s="6" t="s">
        <v>3276</v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 ht="15.75" customHeight="1">
      <c r="A202" s="8" t="s">
        <v>705</v>
      </c>
      <c r="B202" s="7" t="s">
        <v>706</v>
      </c>
      <c r="C202" s="8">
        <v>1.0</v>
      </c>
      <c r="D202" s="8" t="s">
        <v>3287</v>
      </c>
      <c r="E202" s="8" t="s">
        <v>287</v>
      </c>
      <c r="F202" s="8" t="s">
        <v>592</v>
      </c>
      <c r="G202" s="7" t="s">
        <v>3290</v>
      </c>
      <c r="H202" s="8" t="s">
        <v>3291</v>
      </c>
      <c r="I202" s="7" t="s">
        <v>3294</v>
      </c>
      <c r="J202" s="7" t="s">
        <v>3295</v>
      </c>
      <c r="K202" s="8" t="s">
        <v>2349</v>
      </c>
      <c r="L202" s="7"/>
      <c r="M202" s="7" t="s">
        <v>3297</v>
      </c>
      <c r="N202" s="8" t="s">
        <v>597</v>
      </c>
      <c r="O202" s="8" t="s">
        <v>719</v>
      </c>
      <c r="P202" s="8" t="s">
        <v>221</v>
      </c>
    </row>
    <row r="203" ht="15.75" customHeight="1">
      <c r="A203" s="5" t="s">
        <v>705</v>
      </c>
      <c r="B203" s="4" t="s">
        <v>706</v>
      </c>
      <c r="C203" s="5">
        <v>2.0</v>
      </c>
      <c r="D203" s="5" t="s">
        <v>3305</v>
      </c>
      <c r="E203" s="5" t="s">
        <v>287</v>
      </c>
      <c r="F203" s="5" t="s">
        <v>575</v>
      </c>
      <c r="G203" s="4" t="s">
        <v>3310</v>
      </c>
      <c r="H203" s="5" t="s">
        <v>3313</v>
      </c>
      <c r="I203" s="4" t="s">
        <v>2813</v>
      </c>
      <c r="J203" s="4" t="s">
        <v>3317</v>
      </c>
      <c r="K203" s="5" t="s">
        <v>2270</v>
      </c>
      <c r="L203" s="4"/>
      <c r="M203" s="4" t="s">
        <v>3322</v>
      </c>
      <c r="N203" s="5" t="s">
        <v>608</v>
      </c>
      <c r="O203" s="5" t="s">
        <v>719</v>
      </c>
      <c r="P203" s="5" t="s">
        <v>221</v>
      </c>
    </row>
    <row r="204" ht="15.75" customHeight="1">
      <c r="A204" s="8" t="s">
        <v>705</v>
      </c>
      <c r="B204" s="7" t="s">
        <v>706</v>
      </c>
      <c r="C204" s="8">
        <v>3.0</v>
      </c>
      <c r="D204" s="8" t="s">
        <v>3328</v>
      </c>
      <c r="E204" s="8" t="s">
        <v>567</v>
      </c>
      <c r="F204" s="8" t="s">
        <v>655</v>
      </c>
      <c r="G204" s="7" t="s">
        <v>3332</v>
      </c>
      <c r="H204" s="8" t="s">
        <v>3334</v>
      </c>
      <c r="I204" s="7" t="s">
        <v>2676</v>
      </c>
      <c r="J204" s="7" t="s">
        <v>3336</v>
      </c>
      <c r="K204" s="8" t="s">
        <v>662</v>
      </c>
      <c r="L204" s="7" t="s">
        <v>3340</v>
      </c>
      <c r="M204" s="7" t="s">
        <v>3343</v>
      </c>
      <c r="N204" s="8" t="s">
        <v>259</v>
      </c>
      <c r="O204" s="8" t="s">
        <v>719</v>
      </c>
      <c r="P204" s="8" t="s">
        <v>221</v>
      </c>
    </row>
    <row r="205" ht="15.75" customHeight="1">
      <c r="A205" s="6" t="s">
        <v>3345</v>
      </c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 ht="15.75" customHeight="1">
      <c r="A206" s="8" t="s">
        <v>721</v>
      </c>
      <c r="B206" s="7" t="s">
        <v>724</v>
      </c>
      <c r="C206" s="8">
        <v>1.0</v>
      </c>
      <c r="D206" s="8" t="s">
        <v>3365</v>
      </c>
      <c r="E206" s="8" t="s">
        <v>461</v>
      </c>
      <c r="F206" s="8" t="s">
        <v>532</v>
      </c>
      <c r="G206" s="7" t="s">
        <v>3368</v>
      </c>
      <c r="H206" s="8" t="s">
        <v>3369</v>
      </c>
      <c r="I206" s="7" t="s">
        <v>3370</v>
      </c>
      <c r="J206" s="7" t="s">
        <v>3372</v>
      </c>
      <c r="K206" s="8" t="s">
        <v>2235</v>
      </c>
      <c r="L206" s="7"/>
      <c r="M206" s="7" t="s">
        <v>3374</v>
      </c>
      <c r="N206" s="8" t="s">
        <v>217</v>
      </c>
      <c r="O206" s="8" t="s">
        <v>570</v>
      </c>
      <c r="P206" s="8" t="s">
        <v>221</v>
      </c>
    </row>
    <row r="207" ht="15.75" customHeight="1">
      <c r="A207" s="5" t="s">
        <v>721</v>
      </c>
      <c r="B207" s="4" t="s">
        <v>724</v>
      </c>
      <c r="C207" s="5">
        <v>2.0</v>
      </c>
      <c r="D207" s="5" t="s">
        <v>3379</v>
      </c>
      <c r="E207" s="5" t="s">
        <v>287</v>
      </c>
      <c r="F207" s="5" t="s">
        <v>575</v>
      </c>
      <c r="G207" s="4" t="s">
        <v>3381</v>
      </c>
      <c r="H207" s="5" t="s">
        <v>3382</v>
      </c>
      <c r="I207" s="4" t="s">
        <v>3384</v>
      </c>
      <c r="J207" s="4" t="s">
        <v>3385</v>
      </c>
      <c r="K207" s="5" t="s">
        <v>2235</v>
      </c>
      <c r="L207" s="4" t="s">
        <v>3386</v>
      </c>
      <c r="M207" s="4" t="s">
        <v>3387</v>
      </c>
      <c r="N207" s="5" t="s">
        <v>217</v>
      </c>
      <c r="O207" s="5" t="s">
        <v>570</v>
      </c>
      <c r="P207" s="5" t="s">
        <v>221</v>
      </c>
    </row>
    <row r="208" ht="15.75" customHeight="1">
      <c r="A208" s="6" t="s">
        <v>3389</v>
      </c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 ht="15.75" customHeight="1">
      <c r="A209" s="5" t="s">
        <v>746</v>
      </c>
      <c r="B209" s="4" t="s">
        <v>748</v>
      </c>
      <c r="C209" s="5">
        <v>1.0</v>
      </c>
      <c r="D209" s="5" t="s">
        <v>3397</v>
      </c>
      <c r="E209" s="5" t="s">
        <v>2449</v>
      </c>
      <c r="F209" s="5" t="s">
        <v>532</v>
      </c>
      <c r="G209" s="4" t="s">
        <v>3399</v>
      </c>
      <c r="H209" s="5" t="s">
        <v>3400</v>
      </c>
      <c r="I209" s="4" t="s">
        <v>3401</v>
      </c>
      <c r="J209" s="4" t="s">
        <v>3403</v>
      </c>
      <c r="K209" s="5" t="s">
        <v>2444</v>
      </c>
      <c r="L209" s="4" t="s">
        <v>3406</v>
      </c>
      <c r="M209" s="4" t="s">
        <v>3407</v>
      </c>
      <c r="N209" s="5" t="s">
        <v>175</v>
      </c>
      <c r="O209" s="5" t="s">
        <v>649</v>
      </c>
      <c r="P209" s="5" t="s">
        <v>221</v>
      </c>
    </row>
    <row r="210" ht="15.75" customHeight="1">
      <c r="A210" s="8" t="s">
        <v>746</v>
      </c>
      <c r="B210" s="7" t="s">
        <v>748</v>
      </c>
      <c r="C210" s="8">
        <v>2.0</v>
      </c>
      <c r="D210" s="8" t="s">
        <v>3413</v>
      </c>
      <c r="E210" s="8" t="s">
        <v>2449</v>
      </c>
      <c r="F210" s="8" t="s">
        <v>532</v>
      </c>
      <c r="G210" s="7" t="s">
        <v>3415</v>
      </c>
      <c r="H210" s="8" t="s">
        <v>3416</v>
      </c>
      <c r="I210" s="7" t="s">
        <v>3418</v>
      </c>
      <c r="J210" s="7" t="s">
        <v>3420</v>
      </c>
      <c r="K210" s="8" t="s">
        <v>2457</v>
      </c>
      <c r="L210" s="7"/>
      <c r="M210" s="7"/>
      <c r="N210" s="8"/>
      <c r="O210" s="8" t="s">
        <v>649</v>
      </c>
      <c r="P210" s="8" t="s">
        <v>221</v>
      </c>
    </row>
    <row r="211" ht="15.75" customHeight="1">
      <c r="A211" s="5" t="s">
        <v>746</v>
      </c>
      <c r="B211" s="4" t="s">
        <v>748</v>
      </c>
      <c r="C211" s="5">
        <v>3.0</v>
      </c>
      <c r="D211" s="5" t="s">
        <v>3424</v>
      </c>
      <c r="E211" s="5" t="s">
        <v>287</v>
      </c>
      <c r="F211" s="5" t="s">
        <v>575</v>
      </c>
      <c r="G211" s="4" t="s">
        <v>3426</v>
      </c>
      <c r="H211" s="5" t="s">
        <v>3427</v>
      </c>
      <c r="I211" s="4" t="s">
        <v>3429</v>
      </c>
      <c r="J211" s="4" t="s">
        <v>3430</v>
      </c>
      <c r="K211" s="5" t="s">
        <v>582</v>
      </c>
      <c r="L211" s="4" t="s">
        <v>3432</v>
      </c>
      <c r="M211" s="4"/>
      <c r="N211" s="5"/>
      <c r="O211" s="5" t="s">
        <v>649</v>
      </c>
      <c r="P211" s="5" t="s">
        <v>221</v>
      </c>
    </row>
    <row r="212" ht="15.75" customHeight="1">
      <c r="A212" s="8" t="s">
        <v>746</v>
      </c>
      <c r="B212" s="7" t="s">
        <v>748</v>
      </c>
      <c r="C212" s="8">
        <v>4.0</v>
      </c>
      <c r="D212" s="8" t="s">
        <v>3436</v>
      </c>
      <c r="E212" s="8" t="s">
        <v>3437</v>
      </c>
      <c r="F212" s="8" t="s">
        <v>655</v>
      </c>
      <c r="G212" s="7" t="s">
        <v>3439</v>
      </c>
      <c r="H212" s="8" t="s">
        <v>3440</v>
      </c>
      <c r="I212" s="7" t="s">
        <v>3442</v>
      </c>
      <c r="J212" s="7" t="s">
        <v>3443</v>
      </c>
      <c r="K212" s="8" t="s">
        <v>2444</v>
      </c>
      <c r="L212" s="7" t="s">
        <v>3445</v>
      </c>
      <c r="M212" s="7" t="s">
        <v>3447</v>
      </c>
      <c r="N212" s="8" t="s">
        <v>259</v>
      </c>
      <c r="O212" s="8" t="s">
        <v>649</v>
      </c>
      <c r="P212" s="8" t="s">
        <v>221</v>
      </c>
    </row>
    <row r="213" ht="15.75" customHeight="1">
      <c r="A213" s="5" t="s">
        <v>746</v>
      </c>
      <c r="B213" s="4" t="s">
        <v>748</v>
      </c>
      <c r="C213" s="5">
        <v>5.0</v>
      </c>
      <c r="D213" s="5" t="s">
        <v>3452</v>
      </c>
      <c r="E213" s="5" t="s">
        <v>287</v>
      </c>
      <c r="F213" s="5" t="s">
        <v>575</v>
      </c>
      <c r="G213" s="4" t="s">
        <v>3454</v>
      </c>
      <c r="H213" s="5" t="s">
        <v>3455</v>
      </c>
      <c r="I213" s="4" t="s">
        <v>3442</v>
      </c>
      <c r="J213" s="4" t="s">
        <v>3456</v>
      </c>
      <c r="K213" s="5" t="s">
        <v>582</v>
      </c>
      <c r="L213" s="4" t="s">
        <v>3458</v>
      </c>
      <c r="M213" s="4"/>
      <c r="N213" s="5" t="s">
        <v>175</v>
      </c>
      <c r="O213" s="5" t="s">
        <v>649</v>
      </c>
      <c r="P213" s="5" t="s">
        <v>221</v>
      </c>
    </row>
    <row r="214" ht="15.75" customHeight="1">
      <c r="A214" s="6" t="s">
        <v>3461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 ht="15.75" customHeight="1">
      <c r="A215" s="5" t="s">
        <v>757</v>
      </c>
      <c r="B215" s="4" t="s">
        <v>759</v>
      </c>
      <c r="C215" s="5">
        <v>1.0</v>
      </c>
      <c r="D215" s="5" t="s">
        <v>3468</v>
      </c>
      <c r="E215" s="5" t="s">
        <v>287</v>
      </c>
      <c r="F215" s="5" t="s">
        <v>575</v>
      </c>
      <c r="G215" s="4" t="s">
        <v>3470</v>
      </c>
      <c r="H215" s="5" t="s">
        <v>3472</v>
      </c>
      <c r="I215" s="4" t="s">
        <v>3473</v>
      </c>
      <c r="J215" s="4" t="s">
        <v>3474</v>
      </c>
      <c r="K215" s="5" t="s">
        <v>2470</v>
      </c>
      <c r="L215" s="4" t="s">
        <v>3475</v>
      </c>
      <c r="M215" s="4"/>
      <c r="N215" s="5"/>
      <c r="O215" s="5" t="s">
        <v>649</v>
      </c>
      <c r="P215" s="5" t="s">
        <v>221</v>
      </c>
    </row>
    <row r="216" ht="15.75" customHeight="1">
      <c r="A216" s="8" t="s">
        <v>757</v>
      </c>
      <c r="B216" s="7" t="s">
        <v>759</v>
      </c>
      <c r="C216" s="8">
        <v>2.0</v>
      </c>
      <c r="D216" s="8" t="s">
        <v>3479</v>
      </c>
      <c r="E216" s="8" t="s">
        <v>3481</v>
      </c>
      <c r="F216" s="8" t="s">
        <v>532</v>
      </c>
      <c r="G216" s="7" t="s">
        <v>3486</v>
      </c>
      <c r="H216" s="8" t="s">
        <v>3487</v>
      </c>
      <c r="I216" s="7" t="s">
        <v>3489</v>
      </c>
      <c r="J216" s="7" t="s">
        <v>3490</v>
      </c>
      <c r="K216" s="8" t="s">
        <v>2470</v>
      </c>
      <c r="L216" s="7" t="s">
        <v>1893</v>
      </c>
      <c r="M216" s="7" t="s">
        <v>3492</v>
      </c>
      <c r="N216" s="8" t="s">
        <v>424</v>
      </c>
      <c r="O216" s="8" t="s">
        <v>649</v>
      </c>
      <c r="P216" s="8" t="s">
        <v>221</v>
      </c>
    </row>
    <row r="217" ht="15.75" customHeight="1">
      <c r="A217" s="5" t="s">
        <v>757</v>
      </c>
      <c r="B217" s="4" t="s">
        <v>759</v>
      </c>
      <c r="C217" s="5">
        <v>3.0</v>
      </c>
      <c r="D217" s="5" t="s">
        <v>3496</v>
      </c>
      <c r="E217" s="5" t="s">
        <v>3481</v>
      </c>
      <c r="F217" s="5" t="s">
        <v>532</v>
      </c>
      <c r="G217" s="4" t="s">
        <v>3499</v>
      </c>
      <c r="H217" s="5" t="s">
        <v>3500</v>
      </c>
      <c r="I217" s="4" t="s">
        <v>3501</v>
      </c>
      <c r="J217" s="4" t="s">
        <v>3503</v>
      </c>
      <c r="K217" s="5" t="s">
        <v>2470</v>
      </c>
      <c r="L217" s="4" t="s">
        <v>3505</v>
      </c>
      <c r="M217" s="4" t="s">
        <v>3506</v>
      </c>
      <c r="N217" s="5"/>
      <c r="O217" s="5" t="s">
        <v>649</v>
      </c>
      <c r="P217" s="5" t="s">
        <v>221</v>
      </c>
    </row>
    <row r="218" ht="15.75" customHeight="1">
      <c r="A218" s="6" t="s">
        <v>3509</v>
      </c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 ht="15.75" customHeight="1">
      <c r="A219" s="5" t="s">
        <v>773</v>
      </c>
      <c r="B219" s="4" t="s">
        <v>775</v>
      </c>
      <c r="C219" s="5">
        <v>1.0</v>
      </c>
      <c r="D219" s="5" t="s">
        <v>3518</v>
      </c>
      <c r="E219" s="5" t="s">
        <v>287</v>
      </c>
      <c r="F219" s="5" t="s">
        <v>575</v>
      </c>
      <c r="G219" s="4" t="s">
        <v>3520</v>
      </c>
      <c r="H219" s="5" t="s">
        <v>3522</v>
      </c>
      <c r="I219" s="4" t="s">
        <v>3523</v>
      </c>
      <c r="J219" s="4" t="s">
        <v>3339</v>
      </c>
      <c r="K219" s="5" t="s">
        <v>2483</v>
      </c>
      <c r="L219" s="4"/>
      <c r="M219" s="4" t="s">
        <v>3529</v>
      </c>
      <c r="N219" s="5" t="s">
        <v>175</v>
      </c>
      <c r="O219" s="5" t="s">
        <v>787</v>
      </c>
      <c r="P219" s="5" t="s">
        <v>221</v>
      </c>
    </row>
    <row r="220" ht="15.75" customHeight="1">
      <c r="A220" s="8" t="s">
        <v>773</v>
      </c>
      <c r="B220" s="7" t="s">
        <v>775</v>
      </c>
      <c r="C220" s="8">
        <v>2.0</v>
      </c>
      <c r="D220" s="8" t="s">
        <v>3537</v>
      </c>
      <c r="E220" s="8" t="s">
        <v>287</v>
      </c>
      <c r="F220" s="8" t="s">
        <v>575</v>
      </c>
      <c r="G220" s="7" t="s">
        <v>3539</v>
      </c>
      <c r="H220" s="8" t="s">
        <v>3540</v>
      </c>
      <c r="I220" s="7" t="s">
        <v>3541</v>
      </c>
      <c r="J220" s="7" t="s">
        <v>3542</v>
      </c>
      <c r="K220" s="8" t="s">
        <v>2483</v>
      </c>
      <c r="L220" s="7" t="s">
        <v>3544</v>
      </c>
      <c r="M220" s="7" t="s">
        <v>3545</v>
      </c>
      <c r="N220" s="8" t="s">
        <v>3546</v>
      </c>
      <c r="O220" s="8" t="s">
        <v>787</v>
      </c>
      <c r="P220" s="8" t="s">
        <v>221</v>
      </c>
    </row>
    <row r="221" ht="15.75" customHeight="1">
      <c r="A221" s="5" t="s">
        <v>773</v>
      </c>
      <c r="B221" s="4" t="s">
        <v>775</v>
      </c>
      <c r="C221" s="5">
        <v>3.0</v>
      </c>
      <c r="D221" s="5" t="s">
        <v>3550</v>
      </c>
      <c r="E221" s="5" t="s">
        <v>287</v>
      </c>
      <c r="F221" s="5" t="s">
        <v>575</v>
      </c>
      <c r="G221" s="4" t="s">
        <v>3552</v>
      </c>
      <c r="H221" s="5" t="s">
        <v>3553</v>
      </c>
      <c r="I221" s="4" t="s">
        <v>3541</v>
      </c>
      <c r="J221" s="4" t="s">
        <v>3554</v>
      </c>
      <c r="K221" s="5" t="s">
        <v>2337</v>
      </c>
      <c r="L221" s="4" t="s">
        <v>3544</v>
      </c>
      <c r="M221" s="4" t="s">
        <v>3557</v>
      </c>
      <c r="N221" s="5"/>
      <c r="O221" s="5" t="s">
        <v>787</v>
      </c>
      <c r="P221" s="5" t="s">
        <v>221</v>
      </c>
    </row>
    <row r="222" ht="15.75" customHeight="1">
      <c r="A222" s="8" t="s">
        <v>773</v>
      </c>
      <c r="B222" s="7" t="s">
        <v>775</v>
      </c>
      <c r="C222" s="8">
        <v>4.0</v>
      </c>
      <c r="D222" s="8" t="s">
        <v>3564</v>
      </c>
      <c r="E222" s="8" t="s">
        <v>3481</v>
      </c>
      <c r="F222" s="8" t="s">
        <v>532</v>
      </c>
      <c r="G222" s="7" t="s">
        <v>3565</v>
      </c>
      <c r="H222" s="8" t="s">
        <v>3567</v>
      </c>
      <c r="I222" s="7" t="s">
        <v>3569</v>
      </c>
      <c r="J222" s="7" t="s">
        <v>3571</v>
      </c>
      <c r="K222" s="8" t="s">
        <v>2483</v>
      </c>
      <c r="L222" s="7" t="s">
        <v>3575</v>
      </c>
      <c r="M222" s="7"/>
      <c r="N222" s="8"/>
      <c r="O222" s="8" t="s">
        <v>787</v>
      </c>
      <c r="P222" s="8" t="s">
        <v>221</v>
      </c>
    </row>
    <row r="223" ht="15.75" customHeight="1">
      <c r="A223" s="6" t="s">
        <v>3578</v>
      </c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 ht="15.75" customHeight="1">
      <c r="A224" s="8" t="s">
        <v>858</v>
      </c>
      <c r="B224" s="7" t="s">
        <v>860</v>
      </c>
      <c r="C224" s="8">
        <v>1.0</v>
      </c>
      <c r="D224" s="8" t="s">
        <v>3590</v>
      </c>
      <c r="E224" s="8" t="s">
        <v>287</v>
      </c>
      <c r="F224" s="8" t="s">
        <v>575</v>
      </c>
      <c r="G224" s="7" t="s">
        <v>3592</v>
      </c>
      <c r="H224" s="8" t="s">
        <v>3595</v>
      </c>
      <c r="I224" s="7" t="s">
        <v>923</v>
      </c>
      <c r="J224" s="7" t="s">
        <v>3598</v>
      </c>
      <c r="K224" s="8" t="s">
        <v>2337</v>
      </c>
      <c r="L224" s="7" t="s">
        <v>3602</v>
      </c>
      <c r="M224" s="7" t="s">
        <v>265</v>
      </c>
      <c r="N224" s="8" t="s">
        <v>259</v>
      </c>
      <c r="O224" s="8" t="s">
        <v>870</v>
      </c>
      <c r="P224" s="8" t="s">
        <v>221</v>
      </c>
    </row>
    <row r="225" ht="15.75" customHeight="1">
      <c r="A225" s="5" t="s">
        <v>858</v>
      </c>
      <c r="B225" s="4" t="s">
        <v>860</v>
      </c>
      <c r="C225" s="5">
        <v>2.0</v>
      </c>
      <c r="D225" s="5" t="s">
        <v>3608</v>
      </c>
      <c r="E225" s="5" t="s">
        <v>287</v>
      </c>
      <c r="F225" s="5" t="s">
        <v>575</v>
      </c>
      <c r="G225" s="4" t="s">
        <v>3612</v>
      </c>
      <c r="H225" s="5" t="s">
        <v>3613</v>
      </c>
      <c r="I225" s="4" t="s">
        <v>3614</v>
      </c>
      <c r="J225" s="4" t="s">
        <v>582</v>
      </c>
      <c r="K225" s="5" t="s">
        <v>783</v>
      </c>
      <c r="L225" s="4" t="s">
        <v>927</v>
      </c>
      <c r="M225" s="4"/>
      <c r="N225" s="5"/>
      <c r="O225" s="5" t="s">
        <v>870</v>
      </c>
      <c r="P225" s="5" t="s">
        <v>221</v>
      </c>
    </row>
    <row r="226" ht="15.75" customHeight="1">
      <c r="A226" s="8" t="s">
        <v>858</v>
      </c>
      <c r="B226" s="7" t="s">
        <v>860</v>
      </c>
      <c r="C226" s="8">
        <v>3.0</v>
      </c>
      <c r="D226" s="8" t="s">
        <v>3621</v>
      </c>
      <c r="E226" s="8" t="s">
        <v>331</v>
      </c>
      <c r="F226" s="8" t="s">
        <v>532</v>
      </c>
      <c r="G226" s="7" t="s">
        <v>3624</v>
      </c>
      <c r="H226" s="8" t="s">
        <v>3627</v>
      </c>
      <c r="I226" s="7" t="s">
        <v>3628</v>
      </c>
      <c r="J226" s="7" t="s">
        <v>3630</v>
      </c>
      <c r="K226" s="8" t="s">
        <v>2337</v>
      </c>
      <c r="L226" s="7" t="s">
        <v>3633</v>
      </c>
      <c r="M226" s="7"/>
      <c r="N226" s="8"/>
      <c r="O226" s="8" t="s">
        <v>870</v>
      </c>
      <c r="P226" s="8" t="s">
        <v>221</v>
      </c>
    </row>
    <row r="227" ht="15.75" customHeight="1">
      <c r="A227" s="5" t="s">
        <v>858</v>
      </c>
      <c r="B227" s="4" t="s">
        <v>860</v>
      </c>
      <c r="C227" s="5">
        <v>4.0</v>
      </c>
      <c r="D227" s="5" t="s">
        <v>3640</v>
      </c>
      <c r="E227" s="5" t="s">
        <v>287</v>
      </c>
      <c r="F227" s="5" t="s">
        <v>575</v>
      </c>
      <c r="G227" s="4" t="s">
        <v>3644</v>
      </c>
      <c r="H227" s="5" t="s">
        <v>3553</v>
      </c>
      <c r="I227" s="4" t="s">
        <v>3541</v>
      </c>
      <c r="J227" s="4" t="s">
        <v>3647</v>
      </c>
      <c r="K227" s="5" t="s">
        <v>2483</v>
      </c>
      <c r="L227" s="4" t="s">
        <v>3544</v>
      </c>
      <c r="M227" s="4" t="s">
        <v>3649</v>
      </c>
      <c r="N227" s="5" t="s">
        <v>3546</v>
      </c>
      <c r="O227" s="5" t="s">
        <v>870</v>
      </c>
      <c r="P227" s="5" t="s">
        <v>221</v>
      </c>
    </row>
    <row r="228" ht="15.75" customHeight="1">
      <c r="A228" s="8" t="s">
        <v>858</v>
      </c>
      <c r="B228" s="7" t="s">
        <v>860</v>
      </c>
      <c r="C228" s="8">
        <v>5.0</v>
      </c>
      <c r="D228" s="8" t="s">
        <v>3656</v>
      </c>
      <c r="E228" s="8" t="s">
        <v>331</v>
      </c>
      <c r="F228" s="8" t="s">
        <v>532</v>
      </c>
      <c r="G228" s="7" t="s">
        <v>3659</v>
      </c>
      <c r="H228" s="8" t="s">
        <v>3660</v>
      </c>
      <c r="I228" s="7" t="s">
        <v>3663</v>
      </c>
      <c r="J228" s="7" t="s">
        <v>3664</v>
      </c>
      <c r="K228" s="8" t="s">
        <v>783</v>
      </c>
      <c r="L228" s="7"/>
      <c r="M228" s="7" t="s">
        <v>3669</v>
      </c>
      <c r="N228" s="8" t="s">
        <v>291</v>
      </c>
      <c r="O228" s="8" t="s">
        <v>870</v>
      </c>
      <c r="P228" s="8" t="s">
        <v>221</v>
      </c>
    </row>
    <row r="229" ht="15.75" customHeight="1">
      <c r="A229" s="5" t="s">
        <v>858</v>
      </c>
      <c r="B229" s="4" t="s">
        <v>860</v>
      </c>
      <c r="C229" s="5">
        <v>6.0</v>
      </c>
      <c r="D229" s="5" t="s">
        <v>3676</v>
      </c>
      <c r="E229" s="5" t="s">
        <v>461</v>
      </c>
      <c r="F229" s="5" t="s">
        <v>532</v>
      </c>
      <c r="G229" s="4" t="s">
        <v>3680</v>
      </c>
      <c r="H229" s="5" t="s">
        <v>3681</v>
      </c>
      <c r="I229" s="4" t="s">
        <v>3683</v>
      </c>
      <c r="J229" s="4" t="s">
        <v>3685</v>
      </c>
      <c r="K229" s="5" t="s">
        <v>2361</v>
      </c>
      <c r="L229" s="4"/>
      <c r="M229" s="4"/>
      <c r="N229" s="5"/>
      <c r="O229" s="5" t="s">
        <v>870</v>
      </c>
      <c r="P229" s="5" t="s">
        <v>221</v>
      </c>
    </row>
    <row r="230" ht="15.75" customHeight="1">
      <c r="A230" s="8" t="s">
        <v>858</v>
      </c>
      <c r="B230" s="7" t="s">
        <v>860</v>
      </c>
      <c r="C230" s="8">
        <v>7.0</v>
      </c>
      <c r="D230" s="8" t="s">
        <v>3694</v>
      </c>
      <c r="E230" s="8" t="s">
        <v>287</v>
      </c>
      <c r="F230" s="8" t="s">
        <v>575</v>
      </c>
      <c r="G230" s="7" t="s">
        <v>3698</v>
      </c>
      <c r="H230" s="8" t="s">
        <v>3699</v>
      </c>
      <c r="I230" s="7" t="s">
        <v>3702</v>
      </c>
      <c r="J230" s="7" t="s">
        <v>3703</v>
      </c>
      <c r="K230" s="8" t="s">
        <v>2375</v>
      </c>
      <c r="L230" s="7" t="s">
        <v>3705</v>
      </c>
      <c r="M230" s="7" t="s">
        <v>3707</v>
      </c>
      <c r="N230" s="8"/>
      <c r="O230" s="8" t="s">
        <v>870</v>
      </c>
      <c r="P230" s="8" t="s">
        <v>221</v>
      </c>
    </row>
    <row r="231" ht="15.75" customHeight="1">
      <c r="A231" s="5" t="s">
        <v>858</v>
      </c>
      <c r="B231" s="4" t="s">
        <v>860</v>
      </c>
      <c r="C231" s="5">
        <v>8.0</v>
      </c>
      <c r="D231" s="5" t="s">
        <v>3712</v>
      </c>
      <c r="E231" s="5" t="s">
        <v>3714</v>
      </c>
      <c r="F231" s="5" t="s">
        <v>532</v>
      </c>
      <c r="G231" s="4" t="s">
        <v>3716</v>
      </c>
      <c r="H231" s="5" t="s">
        <v>3718</v>
      </c>
      <c r="I231" s="4" t="s">
        <v>3719</v>
      </c>
      <c r="J231" s="4" t="s">
        <v>3720</v>
      </c>
      <c r="K231" s="5" t="s">
        <v>2389</v>
      </c>
      <c r="L231" s="4" t="s">
        <v>3723</v>
      </c>
      <c r="M231" s="4"/>
      <c r="N231" s="5"/>
      <c r="O231" s="5" t="s">
        <v>870</v>
      </c>
      <c r="P231" s="5" t="s">
        <v>221</v>
      </c>
    </row>
    <row r="232" ht="15.75" customHeight="1">
      <c r="A232" s="8" t="s">
        <v>858</v>
      </c>
      <c r="B232" s="7" t="s">
        <v>860</v>
      </c>
      <c r="C232" s="8">
        <v>9.0</v>
      </c>
      <c r="D232" s="8" t="s">
        <v>3731</v>
      </c>
      <c r="E232" s="8" t="s">
        <v>287</v>
      </c>
      <c r="F232" s="8" t="s">
        <v>575</v>
      </c>
      <c r="G232" s="7" t="s">
        <v>3735</v>
      </c>
      <c r="H232" s="8" t="s">
        <v>3737</v>
      </c>
      <c r="I232" s="7" t="s">
        <v>3739</v>
      </c>
      <c r="J232" s="7" t="s">
        <v>3740</v>
      </c>
      <c r="K232" s="8" t="s">
        <v>2415</v>
      </c>
      <c r="L232" s="7" t="s">
        <v>3742</v>
      </c>
      <c r="M232" s="7"/>
      <c r="N232" s="8"/>
      <c r="O232" s="8" t="s">
        <v>870</v>
      </c>
      <c r="P232" s="8" t="s">
        <v>221</v>
      </c>
    </row>
    <row r="233" ht="15.75" customHeight="1">
      <c r="A233" s="6" t="s">
        <v>3746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 ht="15.75" customHeight="1">
      <c r="A234" s="8" t="s">
        <v>926</v>
      </c>
      <c r="B234" s="7" t="s">
        <v>928</v>
      </c>
      <c r="C234" s="8">
        <v>1.0</v>
      </c>
      <c r="D234" s="8" t="s">
        <v>3755</v>
      </c>
      <c r="E234" s="8" t="s">
        <v>525</v>
      </c>
      <c r="F234" s="8" t="s">
        <v>532</v>
      </c>
      <c r="G234" s="7" t="s">
        <v>3761</v>
      </c>
      <c r="H234" s="8" t="s">
        <v>3762</v>
      </c>
      <c r="I234" s="7" t="s">
        <v>3763</v>
      </c>
      <c r="J234" s="7" t="s">
        <v>3765</v>
      </c>
      <c r="K234" s="8" t="s">
        <v>2349</v>
      </c>
      <c r="L234" s="7" t="s">
        <v>3767</v>
      </c>
      <c r="M234" s="7" t="s">
        <v>3769</v>
      </c>
      <c r="N234" s="8" t="s">
        <v>316</v>
      </c>
      <c r="O234" s="8" t="s">
        <v>719</v>
      </c>
      <c r="P234" s="8" t="s">
        <v>221</v>
      </c>
    </row>
    <row r="235" ht="15.75" customHeight="1">
      <c r="A235" s="5" t="s">
        <v>926</v>
      </c>
      <c r="B235" s="4" t="s">
        <v>928</v>
      </c>
      <c r="C235" s="5">
        <v>2.0</v>
      </c>
      <c r="D235" s="5" t="s">
        <v>3773</v>
      </c>
      <c r="E235" s="5" t="s">
        <v>930</v>
      </c>
      <c r="F235" s="5" t="s">
        <v>532</v>
      </c>
      <c r="G235" s="4" t="s">
        <v>3775</v>
      </c>
      <c r="H235" s="5" t="s">
        <v>3777</v>
      </c>
      <c r="I235" s="4" t="s">
        <v>3778</v>
      </c>
      <c r="J235" s="4" t="s">
        <v>3779</v>
      </c>
      <c r="K235" s="5" t="s">
        <v>2349</v>
      </c>
      <c r="L235" s="4" t="s">
        <v>3781</v>
      </c>
      <c r="M235" s="4" t="s">
        <v>3782</v>
      </c>
      <c r="N235" s="5" t="s">
        <v>259</v>
      </c>
      <c r="O235" s="5" t="s">
        <v>719</v>
      </c>
      <c r="P235" s="5" t="s">
        <v>221</v>
      </c>
    </row>
    <row r="236" ht="15.75" customHeight="1">
      <c r="A236" s="8" t="s">
        <v>926</v>
      </c>
      <c r="B236" s="7" t="s">
        <v>928</v>
      </c>
      <c r="C236" s="8">
        <v>3.0</v>
      </c>
      <c r="D236" s="8" t="s">
        <v>3787</v>
      </c>
      <c r="E236" s="8" t="s">
        <v>287</v>
      </c>
      <c r="F236" s="8" t="s">
        <v>592</v>
      </c>
      <c r="G236" s="7" t="s">
        <v>3791</v>
      </c>
      <c r="H236" s="8" t="s">
        <v>3792</v>
      </c>
      <c r="I236" s="7" t="s">
        <v>3294</v>
      </c>
      <c r="J236" s="7" t="s">
        <v>3295</v>
      </c>
      <c r="K236" s="8" t="s">
        <v>2349</v>
      </c>
      <c r="L236" s="7"/>
      <c r="M236" s="7" t="s">
        <v>3797</v>
      </c>
      <c r="N236" s="8" t="s">
        <v>597</v>
      </c>
      <c r="O236" s="8" t="s">
        <v>719</v>
      </c>
      <c r="P236" s="8" t="s">
        <v>221</v>
      </c>
    </row>
    <row r="237" ht="15.75" customHeight="1">
      <c r="A237" s="5" t="s">
        <v>926</v>
      </c>
      <c r="B237" s="4" t="s">
        <v>928</v>
      </c>
      <c r="C237" s="5">
        <v>4.0</v>
      </c>
      <c r="D237" s="5" t="s">
        <v>3804</v>
      </c>
      <c r="E237" s="5" t="s">
        <v>2885</v>
      </c>
      <c r="F237" s="5" t="s">
        <v>532</v>
      </c>
      <c r="G237" s="4" t="s">
        <v>3806</v>
      </c>
      <c r="H237" s="5" t="s">
        <v>3809</v>
      </c>
      <c r="I237" s="4" t="s">
        <v>3811</v>
      </c>
      <c r="J237" s="4" t="s">
        <v>3813</v>
      </c>
      <c r="K237" s="5" t="s">
        <v>2349</v>
      </c>
      <c r="L237" s="4" t="s">
        <v>3817</v>
      </c>
      <c r="M237" s="4" t="s">
        <v>3818</v>
      </c>
      <c r="N237" s="5"/>
      <c r="O237" s="5" t="s">
        <v>719</v>
      </c>
      <c r="P237" s="5" t="s">
        <v>221</v>
      </c>
    </row>
    <row r="238" ht="15.75" customHeight="1">
      <c r="A238" s="6" t="s">
        <v>3821</v>
      </c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 ht="15.75" customHeight="1">
      <c r="A239" s="5" t="s">
        <v>991</v>
      </c>
      <c r="B239" s="4" t="s">
        <v>994</v>
      </c>
      <c r="C239" s="5">
        <v>1.0</v>
      </c>
      <c r="D239" s="5" t="s">
        <v>3837</v>
      </c>
      <c r="E239" s="5" t="s">
        <v>287</v>
      </c>
      <c r="F239" s="5" t="s">
        <v>575</v>
      </c>
      <c r="G239" s="4" t="s">
        <v>3842</v>
      </c>
      <c r="H239" s="5" t="s">
        <v>3843</v>
      </c>
      <c r="I239" s="4" t="s">
        <v>3845</v>
      </c>
      <c r="J239" s="4" t="s">
        <v>3848</v>
      </c>
      <c r="K239" s="5" t="s">
        <v>662</v>
      </c>
      <c r="L239" s="4"/>
      <c r="M239" s="4" t="s">
        <v>3850</v>
      </c>
      <c r="N239" s="5" t="s">
        <v>259</v>
      </c>
      <c r="O239" s="5" t="s">
        <v>520</v>
      </c>
      <c r="P239" s="5" t="s">
        <v>221</v>
      </c>
    </row>
    <row r="240" ht="15.75" customHeight="1">
      <c r="A240" s="8" t="s">
        <v>991</v>
      </c>
      <c r="B240" s="7" t="s">
        <v>994</v>
      </c>
      <c r="C240" s="8">
        <v>2.0</v>
      </c>
      <c r="D240" s="8" t="s">
        <v>3856</v>
      </c>
      <c r="E240" s="8" t="s">
        <v>468</v>
      </c>
      <c r="F240" s="8" t="s">
        <v>655</v>
      </c>
      <c r="G240" s="7" t="s">
        <v>3859</v>
      </c>
      <c r="H240" s="8" t="s">
        <v>3862</v>
      </c>
      <c r="I240" s="7" t="s">
        <v>658</v>
      </c>
      <c r="J240" s="7" t="s">
        <v>3866</v>
      </c>
      <c r="K240" s="8" t="s">
        <v>662</v>
      </c>
      <c r="L240" s="7" t="s">
        <v>664</v>
      </c>
      <c r="M240" s="7" t="s">
        <v>3870</v>
      </c>
      <c r="N240" s="8" t="s">
        <v>217</v>
      </c>
      <c r="O240" s="8" t="s">
        <v>520</v>
      </c>
      <c r="P240" s="8" t="s">
        <v>221</v>
      </c>
    </row>
    <row r="241" ht="15.75" customHeight="1">
      <c r="A241" s="5" t="s">
        <v>991</v>
      </c>
      <c r="B241" s="4" t="s">
        <v>994</v>
      </c>
      <c r="C241" s="5">
        <v>3.0</v>
      </c>
      <c r="D241" s="5" t="s">
        <v>3877</v>
      </c>
      <c r="E241" s="5" t="s">
        <v>287</v>
      </c>
      <c r="F241" s="5" t="s">
        <v>575</v>
      </c>
      <c r="G241" s="4" t="s">
        <v>3882</v>
      </c>
      <c r="H241" s="5" t="s">
        <v>3883</v>
      </c>
      <c r="I241" s="4" t="s">
        <v>3886</v>
      </c>
      <c r="J241" s="4" t="s">
        <v>3888</v>
      </c>
      <c r="K241" s="5" t="s">
        <v>662</v>
      </c>
      <c r="L241" s="4"/>
      <c r="M241" s="4" t="s">
        <v>3894</v>
      </c>
      <c r="N241" s="5"/>
      <c r="O241" s="5" t="s">
        <v>520</v>
      </c>
      <c r="P241" s="5" t="s">
        <v>221</v>
      </c>
    </row>
    <row r="242" ht="15.75" customHeight="1">
      <c r="A242" s="6" t="s">
        <v>3902</v>
      </c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 ht="15.75" customHeight="1">
      <c r="A243" s="5" t="s">
        <v>1026</v>
      </c>
      <c r="B243" s="4" t="s">
        <v>1027</v>
      </c>
      <c r="C243" s="5">
        <v>1.0</v>
      </c>
      <c r="D243" s="5" t="s">
        <v>3919</v>
      </c>
      <c r="E243" s="5" t="s">
        <v>461</v>
      </c>
      <c r="F243" s="5" t="s">
        <v>532</v>
      </c>
      <c r="G243" s="4" t="s">
        <v>3924</v>
      </c>
      <c r="H243" s="5" t="s">
        <v>3926</v>
      </c>
      <c r="I243" s="4" t="s">
        <v>3928</v>
      </c>
      <c r="J243" s="4" t="s">
        <v>3931</v>
      </c>
      <c r="K243" s="5" t="s">
        <v>2305</v>
      </c>
      <c r="L243" s="4"/>
      <c r="M243" s="4"/>
      <c r="N243" s="5"/>
      <c r="O243" s="5" t="s">
        <v>494</v>
      </c>
      <c r="P243" s="5" t="s">
        <v>315</v>
      </c>
    </row>
    <row r="244" ht="15.75" customHeight="1">
      <c r="A244" s="8" t="s">
        <v>1026</v>
      </c>
      <c r="B244" s="7" t="s">
        <v>1027</v>
      </c>
      <c r="C244" s="8">
        <v>2.0</v>
      </c>
      <c r="D244" s="8" t="s">
        <v>3939</v>
      </c>
      <c r="E244" s="8" t="s">
        <v>1032</v>
      </c>
      <c r="F244" s="8" t="s">
        <v>1885</v>
      </c>
      <c r="G244" s="7" t="s">
        <v>3942</v>
      </c>
      <c r="H244" s="8" t="s">
        <v>3945</v>
      </c>
      <c r="I244" s="7" t="s">
        <v>3947</v>
      </c>
      <c r="J244" s="7" t="s">
        <v>3949</v>
      </c>
      <c r="K244" s="8" t="s">
        <v>2305</v>
      </c>
      <c r="L244" s="7" t="s">
        <v>3951</v>
      </c>
      <c r="M244" s="7" t="s">
        <v>3953</v>
      </c>
      <c r="N244" s="8" t="s">
        <v>424</v>
      </c>
      <c r="O244" s="8" t="s">
        <v>494</v>
      </c>
      <c r="P244" s="8" t="s">
        <v>315</v>
      </c>
    </row>
    <row r="245" ht="15.75" customHeight="1">
      <c r="A245" s="5" t="s">
        <v>1026</v>
      </c>
      <c r="B245" s="4" t="s">
        <v>1027</v>
      </c>
      <c r="C245" s="5">
        <v>3.0</v>
      </c>
      <c r="D245" s="5" t="s">
        <v>3963</v>
      </c>
      <c r="E245" s="5" t="s">
        <v>616</v>
      </c>
      <c r="F245" s="5" t="s">
        <v>1885</v>
      </c>
      <c r="G245" s="4" t="s">
        <v>3967</v>
      </c>
      <c r="H245" s="5" t="s">
        <v>3969</v>
      </c>
      <c r="I245" s="4" t="s">
        <v>2751</v>
      </c>
      <c r="J245" s="4" t="s">
        <v>3975</v>
      </c>
      <c r="K245" s="5" t="s">
        <v>2305</v>
      </c>
      <c r="L245" s="4" t="s">
        <v>3979</v>
      </c>
      <c r="M245" s="4" t="s">
        <v>3980</v>
      </c>
      <c r="N245" s="5" t="s">
        <v>424</v>
      </c>
      <c r="O245" s="5" t="s">
        <v>494</v>
      </c>
      <c r="P245" s="5" t="s">
        <v>315</v>
      </c>
    </row>
    <row r="246" ht="15.75" customHeight="1">
      <c r="A246" s="8" t="s">
        <v>1026</v>
      </c>
      <c r="B246" s="7" t="s">
        <v>1027</v>
      </c>
      <c r="C246" s="8">
        <v>4.0</v>
      </c>
      <c r="D246" s="8" t="s">
        <v>3989</v>
      </c>
      <c r="E246" s="8" t="s">
        <v>616</v>
      </c>
      <c r="F246" s="8" t="s">
        <v>592</v>
      </c>
      <c r="G246" s="7" t="s">
        <v>3994</v>
      </c>
      <c r="H246" s="8" t="s">
        <v>3997</v>
      </c>
      <c r="I246" s="7" t="s">
        <v>3998</v>
      </c>
      <c r="J246" s="7" t="s">
        <v>3999</v>
      </c>
      <c r="K246" s="8" t="s">
        <v>2305</v>
      </c>
      <c r="L246" s="7" t="s">
        <v>4003</v>
      </c>
      <c r="M246" s="7" t="s">
        <v>4007</v>
      </c>
      <c r="N246" s="8"/>
      <c r="O246" s="8" t="s">
        <v>494</v>
      </c>
      <c r="P246" s="8" t="s">
        <v>315</v>
      </c>
    </row>
    <row r="247" ht="15.75" customHeight="1">
      <c r="A247" s="6" t="s">
        <v>4012</v>
      </c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 ht="15.75" customHeight="1">
      <c r="A248" s="8" t="s">
        <v>1062</v>
      </c>
      <c r="B248" s="7" t="s">
        <v>1064</v>
      </c>
      <c r="C248" s="8">
        <v>1.0</v>
      </c>
      <c r="D248" s="8" t="s">
        <v>4027</v>
      </c>
      <c r="E248" s="8" t="s">
        <v>4029</v>
      </c>
      <c r="F248" s="8" t="s">
        <v>575</v>
      </c>
      <c r="G248" s="7" t="s">
        <v>4032</v>
      </c>
      <c r="H248" s="8" t="s">
        <v>4034</v>
      </c>
      <c r="I248" s="7" t="s">
        <v>4036</v>
      </c>
      <c r="J248" s="7" t="s">
        <v>1079</v>
      </c>
      <c r="K248" s="8" t="s">
        <v>2501</v>
      </c>
      <c r="L248" s="7"/>
      <c r="M248" s="7" t="s">
        <v>4040</v>
      </c>
      <c r="N248" s="8" t="s">
        <v>513</v>
      </c>
      <c r="O248" s="8" t="s">
        <v>665</v>
      </c>
      <c r="P248" s="8" t="s">
        <v>221</v>
      </c>
    </row>
    <row r="249" ht="15.75" customHeight="1">
      <c r="A249" s="5" t="s">
        <v>1062</v>
      </c>
      <c r="B249" s="4" t="s">
        <v>1064</v>
      </c>
      <c r="C249" s="5">
        <v>2.0</v>
      </c>
      <c r="D249" s="5" t="s">
        <v>4050</v>
      </c>
      <c r="E249" s="5" t="s">
        <v>287</v>
      </c>
      <c r="F249" s="5" t="s">
        <v>592</v>
      </c>
      <c r="G249" s="4" t="s">
        <v>4052</v>
      </c>
      <c r="H249" s="5" t="s">
        <v>4054</v>
      </c>
      <c r="I249" s="4" t="s">
        <v>3080</v>
      </c>
      <c r="J249" s="4" t="s">
        <v>3118</v>
      </c>
      <c r="K249" s="5" t="s">
        <v>582</v>
      </c>
      <c r="L249" s="4"/>
      <c r="M249" s="4" t="s">
        <v>4061</v>
      </c>
      <c r="N249" s="5"/>
      <c r="O249" s="5" t="s">
        <v>665</v>
      </c>
      <c r="P249" s="5" t="s">
        <v>221</v>
      </c>
    </row>
    <row r="250" ht="15.75" customHeight="1">
      <c r="A250" s="8" t="s">
        <v>1062</v>
      </c>
      <c r="B250" s="7" t="s">
        <v>1064</v>
      </c>
      <c r="C250" s="8">
        <v>3.0</v>
      </c>
      <c r="D250" s="8" t="s">
        <v>4070</v>
      </c>
      <c r="E250" s="8" t="s">
        <v>287</v>
      </c>
      <c r="F250" s="8" t="s">
        <v>592</v>
      </c>
      <c r="G250" s="7" t="s">
        <v>4075</v>
      </c>
      <c r="H250" s="8" t="s">
        <v>4077</v>
      </c>
      <c r="I250" s="7" t="s">
        <v>4079</v>
      </c>
      <c r="J250" s="7" t="s">
        <v>4081</v>
      </c>
      <c r="K250" s="8" t="s">
        <v>582</v>
      </c>
      <c r="L250" s="7"/>
      <c r="M250" s="7" t="s">
        <v>4085</v>
      </c>
      <c r="N250" s="8"/>
      <c r="O250" s="8" t="s">
        <v>665</v>
      </c>
      <c r="P250" s="8" t="s">
        <v>221</v>
      </c>
    </row>
    <row r="251" ht="15.75" customHeight="1">
      <c r="A251" s="5" t="s">
        <v>1062</v>
      </c>
      <c r="B251" s="4" t="s">
        <v>1064</v>
      </c>
      <c r="C251" s="5">
        <v>4.0</v>
      </c>
      <c r="D251" s="5" t="s">
        <v>4096</v>
      </c>
      <c r="E251" s="5" t="s">
        <v>287</v>
      </c>
      <c r="F251" s="5" t="s">
        <v>575</v>
      </c>
      <c r="G251" s="4" t="s">
        <v>4100</v>
      </c>
      <c r="H251" s="5" t="s">
        <v>4102</v>
      </c>
      <c r="I251" s="4" t="s">
        <v>4104</v>
      </c>
      <c r="J251" s="4" t="s">
        <v>4107</v>
      </c>
      <c r="K251" s="5" t="s">
        <v>582</v>
      </c>
      <c r="L251" s="4"/>
      <c r="M251" s="4" t="s">
        <v>4110</v>
      </c>
      <c r="N251" s="5" t="s">
        <v>316</v>
      </c>
      <c r="O251" s="5" t="s">
        <v>665</v>
      </c>
      <c r="P251" s="5" t="s">
        <v>221</v>
      </c>
    </row>
    <row r="252" ht="15.75" customHeight="1">
      <c r="A252" s="8" t="s">
        <v>1062</v>
      </c>
      <c r="B252" s="7" t="s">
        <v>1064</v>
      </c>
      <c r="C252" s="8">
        <v>5.0</v>
      </c>
      <c r="D252" s="8" t="s">
        <v>4119</v>
      </c>
      <c r="E252" s="8" t="s">
        <v>287</v>
      </c>
      <c r="F252" s="8" t="s">
        <v>575</v>
      </c>
      <c r="G252" s="7" t="s">
        <v>4124</v>
      </c>
      <c r="H252" s="8" t="s">
        <v>4127</v>
      </c>
      <c r="I252" s="7" t="s">
        <v>582</v>
      </c>
      <c r="J252" s="7" t="s">
        <v>4130</v>
      </c>
      <c r="K252" s="8" t="s">
        <v>2501</v>
      </c>
      <c r="L252" s="7"/>
      <c r="M252" s="7" t="s">
        <v>4133</v>
      </c>
      <c r="N252" s="8"/>
      <c r="O252" s="8" t="s">
        <v>665</v>
      </c>
      <c r="P252" s="8" t="s">
        <v>221</v>
      </c>
    </row>
    <row r="253" ht="15.75" customHeight="1">
      <c r="A253" s="6" t="s">
        <v>4140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 ht="15.75" customHeight="1">
      <c r="A254" s="8" t="s">
        <v>1075</v>
      </c>
      <c r="B254" s="7" t="s">
        <v>1076</v>
      </c>
      <c r="C254" s="8">
        <v>1.0</v>
      </c>
      <c r="D254" s="8" t="s">
        <v>4154</v>
      </c>
      <c r="E254" s="8" t="s">
        <v>461</v>
      </c>
      <c r="F254" s="8" t="s">
        <v>532</v>
      </c>
      <c r="G254" s="7" t="s">
        <v>4157</v>
      </c>
      <c r="H254" s="8" t="s">
        <v>4161</v>
      </c>
      <c r="I254" s="7" t="s">
        <v>4164</v>
      </c>
      <c r="J254" s="7" t="s">
        <v>4167</v>
      </c>
      <c r="K254" s="8" t="s">
        <v>2501</v>
      </c>
      <c r="L254" s="7" t="s">
        <v>3796</v>
      </c>
      <c r="M254" s="7"/>
      <c r="N254" s="8"/>
      <c r="O254" s="8" t="s">
        <v>665</v>
      </c>
      <c r="P254" s="8" t="s">
        <v>315</v>
      </c>
    </row>
    <row r="255" ht="15.75" customHeight="1">
      <c r="A255" s="5" t="s">
        <v>1075</v>
      </c>
      <c r="B255" s="4" t="s">
        <v>1076</v>
      </c>
      <c r="C255" s="5">
        <v>2.0</v>
      </c>
      <c r="D255" s="5" t="s">
        <v>4179</v>
      </c>
      <c r="E255" s="5" t="s">
        <v>287</v>
      </c>
      <c r="F255" s="5" t="s">
        <v>592</v>
      </c>
      <c r="G255" s="4" t="s">
        <v>4181</v>
      </c>
      <c r="H255" s="5" t="s">
        <v>4034</v>
      </c>
      <c r="I255" s="4" t="s">
        <v>582</v>
      </c>
      <c r="J255" s="4" t="s">
        <v>4189</v>
      </c>
      <c r="K255" s="5" t="s">
        <v>2501</v>
      </c>
      <c r="L255" s="4" t="s">
        <v>3805</v>
      </c>
      <c r="M255" s="4" t="s">
        <v>4194</v>
      </c>
      <c r="N255" s="5" t="s">
        <v>513</v>
      </c>
      <c r="O255" s="5" t="s">
        <v>665</v>
      </c>
      <c r="P255" s="5" t="s">
        <v>315</v>
      </c>
    </row>
    <row r="256" ht="15.75" customHeight="1">
      <c r="A256" s="8" t="s">
        <v>1075</v>
      </c>
      <c r="B256" s="7" t="s">
        <v>1076</v>
      </c>
      <c r="C256" s="8">
        <v>3.0</v>
      </c>
      <c r="D256" s="8" t="s">
        <v>4205</v>
      </c>
      <c r="E256" s="8" t="s">
        <v>2785</v>
      </c>
      <c r="F256" s="8" t="s">
        <v>655</v>
      </c>
      <c r="G256" s="7" t="s">
        <v>4209</v>
      </c>
      <c r="H256" s="8" t="s">
        <v>4212</v>
      </c>
      <c r="I256" s="7" t="s">
        <v>4213</v>
      </c>
      <c r="J256" s="7" t="s">
        <v>4215</v>
      </c>
      <c r="K256" s="8" t="s">
        <v>662</v>
      </c>
      <c r="L256" s="7" t="s">
        <v>3819</v>
      </c>
      <c r="M256" s="7"/>
      <c r="N256" s="8" t="s">
        <v>259</v>
      </c>
      <c r="O256" s="8" t="s">
        <v>665</v>
      </c>
      <c r="P256" s="8" t="s">
        <v>315</v>
      </c>
    </row>
    <row r="257" ht="15.75" customHeight="1">
      <c r="A257" s="5" t="s">
        <v>1075</v>
      </c>
      <c r="B257" s="4" t="s">
        <v>1076</v>
      </c>
      <c r="C257" s="5">
        <v>4.0</v>
      </c>
      <c r="D257" s="5" t="s">
        <v>4226</v>
      </c>
      <c r="E257" s="5" t="s">
        <v>287</v>
      </c>
      <c r="F257" s="5" t="s">
        <v>575</v>
      </c>
      <c r="G257" s="4" t="s">
        <v>4229</v>
      </c>
      <c r="H257" s="5" t="s">
        <v>4231</v>
      </c>
      <c r="I257" s="4" t="s">
        <v>4233</v>
      </c>
      <c r="J257" s="4" t="s">
        <v>4234</v>
      </c>
      <c r="K257" s="5" t="s">
        <v>582</v>
      </c>
      <c r="L257" s="4" t="s">
        <v>4236</v>
      </c>
      <c r="M257" s="4"/>
      <c r="N257" s="5"/>
      <c r="O257" s="5" t="s">
        <v>665</v>
      </c>
      <c r="P257" s="5" t="s">
        <v>315</v>
      </c>
    </row>
    <row r="258" ht="15.75" customHeight="1">
      <c r="A258" s="6" t="s">
        <v>4242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 ht="15.75" customHeight="1">
      <c r="A259" s="5" t="s">
        <v>1092</v>
      </c>
      <c r="B259" s="4" t="s">
        <v>1095</v>
      </c>
      <c r="C259" s="5">
        <v>1.0</v>
      </c>
      <c r="D259" s="5" t="s">
        <v>4249</v>
      </c>
      <c r="E259" s="5" t="s">
        <v>4250</v>
      </c>
      <c r="F259" s="5" t="s">
        <v>655</v>
      </c>
      <c r="G259" s="4" t="s">
        <v>4252</v>
      </c>
      <c r="H259" s="5" t="s">
        <v>622</v>
      </c>
      <c r="I259" s="4" t="s">
        <v>972</v>
      </c>
      <c r="J259" s="4" t="s">
        <v>2721</v>
      </c>
      <c r="K259" s="5" t="s">
        <v>662</v>
      </c>
      <c r="L259" s="4" t="s">
        <v>698</v>
      </c>
      <c r="M259" s="4"/>
      <c r="N259" s="5" t="s">
        <v>259</v>
      </c>
      <c r="O259" s="5" t="s">
        <v>665</v>
      </c>
      <c r="P259" s="5" t="s">
        <v>315</v>
      </c>
    </row>
    <row r="260" ht="15.75" customHeight="1">
      <c r="A260" s="8" t="s">
        <v>1092</v>
      </c>
      <c r="B260" s="7" t="s">
        <v>1095</v>
      </c>
      <c r="C260" s="8">
        <v>2.0</v>
      </c>
      <c r="D260" s="8" t="s">
        <v>4256</v>
      </c>
      <c r="E260" s="8" t="s">
        <v>2819</v>
      </c>
      <c r="F260" s="8" t="s">
        <v>532</v>
      </c>
      <c r="G260" s="7" t="s">
        <v>4258</v>
      </c>
      <c r="H260" s="8" t="s">
        <v>4260</v>
      </c>
      <c r="I260" s="7" t="s">
        <v>3117</v>
      </c>
      <c r="J260" s="7" t="s">
        <v>4261</v>
      </c>
      <c r="K260" s="8" t="s">
        <v>2501</v>
      </c>
      <c r="L260" s="7" t="s">
        <v>4262</v>
      </c>
      <c r="M260" s="7" t="s">
        <v>4264</v>
      </c>
      <c r="N260" s="8" t="s">
        <v>291</v>
      </c>
      <c r="O260" s="8" t="s">
        <v>665</v>
      </c>
      <c r="P260" s="8" t="s">
        <v>315</v>
      </c>
    </row>
    <row r="261" ht="15.75" customHeight="1">
      <c r="A261" s="5" t="s">
        <v>1092</v>
      </c>
      <c r="B261" s="4" t="s">
        <v>1095</v>
      </c>
      <c r="C261" s="5">
        <v>3.0</v>
      </c>
      <c r="D261" s="5" t="s">
        <v>4268</v>
      </c>
      <c r="E261" s="5" t="s">
        <v>287</v>
      </c>
      <c r="F261" s="5" t="s">
        <v>575</v>
      </c>
      <c r="G261" s="4" t="s">
        <v>4270</v>
      </c>
      <c r="H261" s="5" t="s">
        <v>4272</v>
      </c>
      <c r="I261" s="4" t="s">
        <v>4273</v>
      </c>
      <c r="J261" s="4" t="s">
        <v>4274</v>
      </c>
      <c r="K261" s="5" t="s">
        <v>2501</v>
      </c>
      <c r="L261" s="4" t="s">
        <v>3841</v>
      </c>
      <c r="M261" s="4"/>
      <c r="N261" s="5"/>
      <c r="O261" s="5" t="s">
        <v>665</v>
      </c>
      <c r="P261" s="5" t="s">
        <v>315</v>
      </c>
    </row>
    <row r="262" ht="15.75" customHeight="1">
      <c r="A262" s="6" t="s">
        <v>4278</v>
      </c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 ht="15.75" customHeight="1">
      <c r="A263" s="5" t="s">
        <v>1108</v>
      </c>
      <c r="B263" s="4" t="s">
        <v>1111</v>
      </c>
      <c r="C263" s="5">
        <v>1.0</v>
      </c>
      <c r="D263" s="5" t="s">
        <v>4284</v>
      </c>
      <c r="E263" s="5" t="s">
        <v>287</v>
      </c>
      <c r="F263" s="5" t="s">
        <v>575</v>
      </c>
      <c r="G263" s="4" t="s">
        <v>4286</v>
      </c>
      <c r="H263" s="5" t="s">
        <v>4288</v>
      </c>
      <c r="I263" s="4" t="s">
        <v>4289</v>
      </c>
      <c r="J263" s="4" t="s">
        <v>3105</v>
      </c>
      <c r="K263" s="5" t="s">
        <v>582</v>
      </c>
      <c r="L263" s="4" t="s">
        <v>3107</v>
      </c>
      <c r="M263" s="4"/>
      <c r="N263" s="5" t="s">
        <v>513</v>
      </c>
      <c r="O263" s="5" t="s">
        <v>665</v>
      </c>
      <c r="P263" s="5" t="s">
        <v>315</v>
      </c>
    </row>
    <row r="264" ht="15.75" customHeight="1">
      <c r="A264" s="8" t="s">
        <v>1108</v>
      </c>
      <c r="B264" s="7" t="s">
        <v>1111</v>
      </c>
      <c r="C264" s="8">
        <v>2.0</v>
      </c>
      <c r="D264" s="8" t="s">
        <v>4294</v>
      </c>
      <c r="E264" s="8" t="s">
        <v>287</v>
      </c>
      <c r="F264" s="8" t="s">
        <v>592</v>
      </c>
      <c r="G264" s="7" t="s">
        <v>4296</v>
      </c>
      <c r="H264" s="8" t="s">
        <v>4298</v>
      </c>
      <c r="I264" s="7" t="s">
        <v>3080</v>
      </c>
      <c r="J264" s="7" t="s">
        <v>4301</v>
      </c>
      <c r="K264" s="8" t="s">
        <v>582</v>
      </c>
      <c r="L264" s="7"/>
      <c r="M264" s="7" t="s">
        <v>4303</v>
      </c>
      <c r="N264" s="8"/>
      <c r="O264" s="8" t="s">
        <v>665</v>
      </c>
      <c r="P264" s="8" t="s">
        <v>315</v>
      </c>
    </row>
    <row r="265" ht="15.75" customHeight="1">
      <c r="A265" s="5" t="s">
        <v>1108</v>
      </c>
      <c r="B265" s="4" t="s">
        <v>1111</v>
      </c>
      <c r="C265" s="5">
        <v>3.0</v>
      </c>
      <c r="D265" s="5" t="s">
        <v>4305</v>
      </c>
      <c r="E265" s="5" t="s">
        <v>287</v>
      </c>
      <c r="F265" s="5" t="s">
        <v>575</v>
      </c>
      <c r="G265" s="4" t="s">
        <v>4308</v>
      </c>
      <c r="H265" s="5" t="s">
        <v>4309</v>
      </c>
      <c r="I265" s="4" t="s">
        <v>4233</v>
      </c>
      <c r="J265" s="4" t="s">
        <v>4310</v>
      </c>
      <c r="K265" s="5" t="s">
        <v>582</v>
      </c>
      <c r="L265" s="4" t="s">
        <v>4118</v>
      </c>
      <c r="M265" s="4" t="s">
        <v>4312</v>
      </c>
      <c r="N265" s="5" t="s">
        <v>513</v>
      </c>
      <c r="O265" s="5" t="s">
        <v>665</v>
      </c>
      <c r="P265" s="5" t="s">
        <v>315</v>
      </c>
    </row>
    <row r="266" ht="15.75" customHeight="1">
      <c r="A266" s="6" t="s">
        <v>4316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 ht="15.75" customHeight="1">
      <c r="A267" s="5" t="s">
        <v>1161</v>
      </c>
      <c r="B267" s="4" t="s">
        <v>1163</v>
      </c>
      <c r="C267" s="5">
        <v>1.0</v>
      </c>
      <c r="D267" s="5" t="s">
        <v>4322</v>
      </c>
      <c r="E267" s="5" t="s">
        <v>1167</v>
      </c>
      <c r="F267" s="5" t="s">
        <v>532</v>
      </c>
      <c r="G267" s="4" t="s">
        <v>4324</v>
      </c>
      <c r="H267" s="5" t="s">
        <v>4325</v>
      </c>
      <c r="I267" s="4" t="s">
        <v>4327</v>
      </c>
      <c r="J267" s="4" t="s">
        <v>4328</v>
      </c>
      <c r="K267" s="5" t="s">
        <v>2514</v>
      </c>
      <c r="L267" s="4" t="s">
        <v>3964</v>
      </c>
      <c r="M267" s="4"/>
      <c r="N267" s="5"/>
      <c r="O267" s="5" t="s">
        <v>378</v>
      </c>
      <c r="P267" s="5" t="s">
        <v>375</v>
      </c>
    </row>
    <row r="268" ht="15.75" customHeight="1">
      <c r="A268" s="8" t="s">
        <v>1161</v>
      </c>
      <c r="B268" s="7" t="s">
        <v>1163</v>
      </c>
      <c r="C268" s="8">
        <v>2.0</v>
      </c>
      <c r="D268" s="8" t="s">
        <v>4332</v>
      </c>
      <c r="E268" s="8" t="s">
        <v>287</v>
      </c>
      <c r="F268" s="8" t="s">
        <v>592</v>
      </c>
      <c r="G268" s="7" t="s">
        <v>4334</v>
      </c>
      <c r="H268" s="8" t="s">
        <v>4335</v>
      </c>
      <c r="I268" s="7" t="s">
        <v>4336</v>
      </c>
      <c r="J268" s="7" t="s">
        <v>4337</v>
      </c>
      <c r="K268" s="8" t="s">
        <v>2514</v>
      </c>
      <c r="L268" s="7"/>
      <c r="M268" s="7" t="s">
        <v>4339</v>
      </c>
      <c r="N268" s="8"/>
      <c r="O268" s="8" t="s">
        <v>378</v>
      </c>
      <c r="P268" s="8" t="s">
        <v>375</v>
      </c>
    </row>
    <row r="269" ht="15.75" customHeight="1">
      <c r="A269" s="5" t="s">
        <v>1161</v>
      </c>
      <c r="B269" s="4" t="s">
        <v>1163</v>
      </c>
      <c r="C269" s="5">
        <v>3.0</v>
      </c>
      <c r="D269" s="5" t="s">
        <v>4343</v>
      </c>
      <c r="E269" s="5" t="s">
        <v>287</v>
      </c>
      <c r="F269" s="5" t="s">
        <v>592</v>
      </c>
      <c r="G269" s="4" t="s">
        <v>4345</v>
      </c>
      <c r="H269" s="5" t="s">
        <v>4346</v>
      </c>
      <c r="I269" s="4" t="s">
        <v>4347</v>
      </c>
      <c r="J269" s="4" t="s">
        <v>4348</v>
      </c>
      <c r="K269" s="5" t="s">
        <v>2514</v>
      </c>
      <c r="L269" s="4" t="s">
        <v>3982</v>
      </c>
      <c r="M269" s="4" t="s">
        <v>4351</v>
      </c>
      <c r="N269" s="5"/>
      <c r="O269" s="5" t="s">
        <v>378</v>
      </c>
      <c r="P269" s="5" t="s">
        <v>375</v>
      </c>
    </row>
    <row r="270" ht="15.75" customHeight="1">
      <c r="A270" s="8" t="s">
        <v>1161</v>
      </c>
      <c r="B270" s="7" t="s">
        <v>1163</v>
      </c>
      <c r="C270" s="8">
        <v>4.0</v>
      </c>
      <c r="D270" s="8" t="s">
        <v>4355</v>
      </c>
      <c r="E270" s="8" t="s">
        <v>2885</v>
      </c>
      <c r="F270" s="8" t="s">
        <v>532</v>
      </c>
      <c r="G270" s="7" t="s">
        <v>4356</v>
      </c>
      <c r="H270" s="8" t="s">
        <v>4358</v>
      </c>
      <c r="I270" s="7" t="s">
        <v>4359</v>
      </c>
      <c r="J270" s="7" t="s">
        <v>1589</v>
      </c>
      <c r="K270" s="8" t="s">
        <v>2514</v>
      </c>
      <c r="L270" s="7" t="s">
        <v>4361</v>
      </c>
      <c r="M270" s="7" t="s">
        <v>4363</v>
      </c>
      <c r="N270" s="8" t="s">
        <v>291</v>
      </c>
      <c r="O270" s="8" t="s">
        <v>378</v>
      </c>
      <c r="P270" s="8" t="s">
        <v>375</v>
      </c>
    </row>
    <row r="271" ht="15.75" customHeight="1">
      <c r="A271" s="6" t="s">
        <v>4365</v>
      </c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 ht="15.75" customHeight="1">
      <c r="A272" s="8" t="s">
        <v>1192</v>
      </c>
      <c r="B272" s="7" t="s">
        <v>1193</v>
      </c>
      <c r="C272" s="8">
        <v>1.0</v>
      </c>
      <c r="D272" s="8" t="s">
        <v>4373</v>
      </c>
      <c r="E272" s="8" t="s">
        <v>461</v>
      </c>
      <c r="F272" s="8" t="s">
        <v>532</v>
      </c>
      <c r="G272" s="7" t="s">
        <v>4379</v>
      </c>
      <c r="H272" s="8" t="s">
        <v>4369</v>
      </c>
      <c r="I272" s="7" t="s">
        <v>4381</v>
      </c>
      <c r="J272" s="7" t="s">
        <v>4383</v>
      </c>
      <c r="K272" s="8" t="s">
        <v>2527</v>
      </c>
      <c r="L272" s="7" t="s">
        <v>4386</v>
      </c>
      <c r="M272" s="7"/>
      <c r="N272" s="8"/>
      <c r="O272" s="8" t="s">
        <v>1204</v>
      </c>
      <c r="P272" s="8" t="s">
        <v>315</v>
      </c>
    </row>
    <row r="273" ht="15.75" customHeight="1">
      <c r="A273" s="5" t="s">
        <v>1192</v>
      </c>
      <c r="B273" s="4" t="s">
        <v>1193</v>
      </c>
      <c r="C273" s="5">
        <v>2.0</v>
      </c>
      <c r="D273" s="5" t="s">
        <v>4380</v>
      </c>
      <c r="E273" s="5" t="s">
        <v>287</v>
      </c>
      <c r="F273" s="5" t="s">
        <v>575</v>
      </c>
      <c r="G273" s="4" t="s">
        <v>4394</v>
      </c>
      <c r="H273" s="5" t="s">
        <v>4375</v>
      </c>
      <c r="I273" s="4" t="s">
        <v>4396</v>
      </c>
      <c r="J273" s="4" t="s">
        <v>4398</v>
      </c>
      <c r="K273" s="5" t="s">
        <v>2527</v>
      </c>
      <c r="L273" s="4" t="s">
        <v>4400</v>
      </c>
      <c r="M273" s="4" t="s">
        <v>4402</v>
      </c>
      <c r="N273" s="5"/>
      <c r="O273" s="5" t="s">
        <v>1204</v>
      </c>
      <c r="P273" s="5" t="s">
        <v>315</v>
      </c>
    </row>
    <row r="274" ht="15.75" customHeight="1">
      <c r="A274" s="8" t="s">
        <v>1192</v>
      </c>
      <c r="B274" s="7" t="s">
        <v>1193</v>
      </c>
      <c r="C274" s="8">
        <v>3.0</v>
      </c>
      <c r="D274" s="8" t="s">
        <v>4407</v>
      </c>
      <c r="E274" s="8" t="s">
        <v>287</v>
      </c>
      <c r="F274" s="8" t="s">
        <v>575</v>
      </c>
      <c r="G274" s="7" t="s">
        <v>4410</v>
      </c>
      <c r="H274" s="8" t="s">
        <v>4384</v>
      </c>
      <c r="I274" s="7" t="s">
        <v>2538</v>
      </c>
      <c r="J274" s="7" t="s">
        <v>4413</v>
      </c>
      <c r="K274" s="8" t="s">
        <v>582</v>
      </c>
      <c r="L274" s="7" t="s">
        <v>2544</v>
      </c>
      <c r="M274" s="7" t="s">
        <v>4416</v>
      </c>
      <c r="N274" s="8" t="s">
        <v>608</v>
      </c>
      <c r="O274" s="8" t="s">
        <v>1204</v>
      </c>
      <c r="P274" s="8" t="s">
        <v>315</v>
      </c>
    </row>
    <row r="275" ht="15.75" customHeight="1">
      <c r="A275" s="6" t="s">
        <v>4419</v>
      </c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ht="15.75" customHeight="1">
      <c r="A276" s="8" t="s">
        <v>1269</v>
      </c>
      <c r="B276" s="7" t="s">
        <v>1270</v>
      </c>
      <c r="C276" s="8">
        <v>1.0</v>
      </c>
      <c r="D276" s="8" t="s">
        <v>4393</v>
      </c>
      <c r="E276" s="8" t="s">
        <v>4429</v>
      </c>
      <c r="F276" s="8" t="s">
        <v>532</v>
      </c>
      <c r="G276" s="7" t="s">
        <v>4430</v>
      </c>
      <c r="H276" s="8" t="s">
        <v>4390</v>
      </c>
      <c r="I276" s="7" t="s">
        <v>4432</v>
      </c>
      <c r="J276" s="7" t="s">
        <v>4434</v>
      </c>
      <c r="K276" s="8" t="s">
        <v>2539</v>
      </c>
      <c r="L276" s="7"/>
      <c r="M276" s="7"/>
      <c r="N276" s="8"/>
      <c r="O276" s="8" t="s">
        <v>417</v>
      </c>
      <c r="P276" s="8" t="s">
        <v>375</v>
      </c>
    </row>
    <row r="277" ht="15.75" customHeight="1">
      <c r="A277" s="5" t="s">
        <v>1269</v>
      </c>
      <c r="B277" s="4" t="s">
        <v>1270</v>
      </c>
      <c r="C277" s="5">
        <v>2.0</v>
      </c>
      <c r="D277" s="5" t="s">
        <v>4403</v>
      </c>
      <c r="E277" s="5" t="s">
        <v>287</v>
      </c>
      <c r="F277" s="5" t="s">
        <v>575</v>
      </c>
      <c r="G277" s="4" t="s">
        <v>4441</v>
      </c>
      <c r="H277" s="5" t="s">
        <v>4397</v>
      </c>
      <c r="I277" s="4" t="s">
        <v>4442</v>
      </c>
      <c r="J277" s="4" t="s">
        <v>4444</v>
      </c>
      <c r="K277" s="5" t="s">
        <v>2539</v>
      </c>
      <c r="L277" s="4" t="s">
        <v>4446</v>
      </c>
      <c r="M277" s="4" t="s">
        <v>4447</v>
      </c>
      <c r="N277" s="5" t="s">
        <v>445</v>
      </c>
      <c r="O277" s="5" t="s">
        <v>417</v>
      </c>
      <c r="P277" s="5" t="s">
        <v>375</v>
      </c>
    </row>
    <row r="278" ht="15.75" customHeight="1">
      <c r="A278" s="8" t="s">
        <v>1269</v>
      </c>
      <c r="B278" s="7" t="s">
        <v>1270</v>
      </c>
      <c r="C278" s="8">
        <v>3.0</v>
      </c>
      <c r="D278" s="8" t="s">
        <v>4408</v>
      </c>
      <c r="E278" s="8" t="s">
        <v>1276</v>
      </c>
      <c r="F278" s="8" t="s">
        <v>532</v>
      </c>
      <c r="G278" s="7" t="s">
        <v>4450</v>
      </c>
      <c r="H278" s="8" t="s">
        <v>4405</v>
      </c>
      <c r="I278" s="7" t="s">
        <v>4453</v>
      </c>
      <c r="J278" s="7" t="s">
        <v>4454</v>
      </c>
      <c r="K278" s="8" t="s">
        <v>662</v>
      </c>
      <c r="L278" s="7"/>
      <c r="M278" s="7"/>
      <c r="N278" s="8" t="s">
        <v>259</v>
      </c>
      <c r="O278" s="8" t="s">
        <v>417</v>
      </c>
      <c r="P278" s="8" t="s">
        <v>375</v>
      </c>
    </row>
    <row r="279" ht="15.75" customHeight="1">
      <c r="A279" s="6" t="s">
        <v>4459</v>
      </c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ht="15.75" customHeight="1">
      <c r="A280" s="8" t="s">
        <v>1310</v>
      </c>
      <c r="B280" s="7" t="s">
        <v>1312</v>
      </c>
      <c r="C280" s="8">
        <v>1.0</v>
      </c>
      <c r="D280" s="8" t="s">
        <v>4414</v>
      </c>
      <c r="E280" s="8" t="s">
        <v>475</v>
      </c>
      <c r="F280" s="8" t="s">
        <v>532</v>
      </c>
      <c r="G280" s="7" t="s">
        <v>4468</v>
      </c>
      <c r="H280" s="8" t="s">
        <v>4411</v>
      </c>
      <c r="I280" s="7" t="s">
        <v>4471</v>
      </c>
      <c r="J280" s="7" t="s">
        <v>4472</v>
      </c>
      <c r="K280" s="8" t="s">
        <v>2401</v>
      </c>
      <c r="L280" s="7" t="s">
        <v>4210</v>
      </c>
      <c r="M280" s="7"/>
      <c r="N280" s="8"/>
      <c r="O280" s="8" t="s">
        <v>1321</v>
      </c>
      <c r="P280" s="8" t="s">
        <v>315</v>
      </c>
    </row>
    <row r="281" ht="15.75" customHeight="1">
      <c r="A281" s="5" t="s">
        <v>1310</v>
      </c>
      <c r="B281" s="4" t="s">
        <v>1312</v>
      </c>
      <c r="C281" s="5">
        <v>2.0</v>
      </c>
      <c r="D281" s="5" t="s">
        <v>4476</v>
      </c>
      <c r="E281" s="5" t="s">
        <v>654</v>
      </c>
      <c r="F281" s="5" t="s">
        <v>655</v>
      </c>
      <c r="G281" s="4" t="s">
        <v>4479</v>
      </c>
      <c r="H281" s="5" t="s">
        <v>622</v>
      </c>
      <c r="I281" s="4" t="s">
        <v>4481</v>
      </c>
      <c r="J281" s="4" t="s">
        <v>4482</v>
      </c>
      <c r="K281" s="5" t="s">
        <v>662</v>
      </c>
      <c r="L281" s="4" t="s">
        <v>698</v>
      </c>
      <c r="M281" s="4"/>
      <c r="N281" s="5" t="s">
        <v>259</v>
      </c>
      <c r="O281" s="5" t="s">
        <v>1321</v>
      </c>
      <c r="P281" s="5" t="s">
        <v>315</v>
      </c>
    </row>
    <row r="282" ht="15.75" customHeight="1">
      <c r="A282" s="8" t="s">
        <v>1310</v>
      </c>
      <c r="B282" s="7" t="s">
        <v>1312</v>
      </c>
      <c r="C282" s="8">
        <v>3.0</v>
      </c>
      <c r="D282" s="8" t="s">
        <v>4420</v>
      </c>
      <c r="E282" s="8" t="s">
        <v>287</v>
      </c>
      <c r="F282" s="8" t="s">
        <v>575</v>
      </c>
      <c r="G282" s="7" t="s">
        <v>1322</v>
      </c>
      <c r="H282" s="8" t="s">
        <v>4417</v>
      </c>
      <c r="I282" s="7" t="s">
        <v>2538</v>
      </c>
      <c r="J282" s="7" t="s">
        <v>4490</v>
      </c>
      <c r="K282" s="8" t="s">
        <v>582</v>
      </c>
      <c r="L282" s="7" t="s">
        <v>2544</v>
      </c>
      <c r="M282" s="7" t="s">
        <v>4493</v>
      </c>
      <c r="N282" s="8" t="s">
        <v>608</v>
      </c>
      <c r="O282" s="8" t="s">
        <v>1321</v>
      </c>
      <c r="P282" s="8" t="s">
        <v>315</v>
      </c>
    </row>
    <row r="283" ht="15.75" customHeight="1">
      <c r="A283" s="5" t="s">
        <v>1310</v>
      </c>
      <c r="B283" s="4" t="s">
        <v>1312</v>
      </c>
      <c r="C283" s="5">
        <v>4.0</v>
      </c>
      <c r="D283" s="5" t="s">
        <v>4425</v>
      </c>
      <c r="E283" s="5" t="s">
        <v>287</v>
      </c>
      <c r="F283" s="5" t="s">
        <v>575</v>
      </c>
      <c r="G283" s="4" t="s">
        <v>4501</v>
      </c>
      <c r="H283" s="5" t="s">
        <v>4422</v>
      </c>
      <c r="I283" s="4" t="s">
        <v>3739</v>
      </c>
      <c r="J283" s="4" t="s">
        <v>4505</v>
      </c>
      <c r="K283" s="5" t="s">
        <v>2415</v>
      </c>
      <c r="L283" s="4" t="s">
        <v>3742</v>
      </c>
      <c r="M283" s="4"/>
      <c r="N283" s="5"/>
      <c r="O283" s="5" t="s">
        <v>1321</v>
      </c>
      <c r="P283" s="5" t="s">
        <v>315</v>
      </c>
    </row>
    <row r="284" ht="15.75" customHeight="1">
      <c r="A284" s="6" t="s">
        <v>4511</v>
      </c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ht="15.75" customHeight="1">
      <c r="A285" s="5" t="s">
        <v>1341</v>
      </c>
      <c r="B285" s="4" t="s">
        <v>1343</v>
      </c>
      <c r="C285" s="5">
        <v>1.0</v>
      </c>
      <c r="D285" s="5" t="s">
        <v>4431</v>
      </c>
      <c r="E285" s="5" t="s">
        <v>331</v>
      </c>
      <c r="F285" s="5" t="s">
        <v>532</v>
      </c>
      <c r="G285" s="4" t="s">
        <v>4523</v>
      </c>
      <c r="H285" s="5" t="s">
        <v>4427</v>
      </c>
      <c r="I285" s="4" t="s">
        <v>4525</v>
      </c>
      <c r="J285" s="4" t="s">
        <v>4527</v>
      </c>
      <c r="K285" s="5" t="s">
        <v>2427</v>
      </c>
      <c r="L285" s="4"/>
      <c r="M285" s="4"/>
      <c r="N285" s="5"/>
      <c r="O285" s="5" t="s">
        <v>887</v>
      </c>
      <c r="P285" s="5" t="s">
        <v>315</v>
      </c>
    </row>
    <row r="286" ht="15.75" customHeight="1">
      <c r="A286" s="8" t="s">
        <v>1341</v>
      </c>
      <c r="B286" s="7" t="s">
        <v>1343</v>
      </c>
      <c r="C286" s="8">
        <v>2.0</v>
      </c>
      <c r="D286" s="8" t="s">
        <v>4437</v>
      </c>
      <c r="E286" s="8" t="s">
        <v>287</v>
      </c>
      <c r="F286" s="8" t="s">
        <v>575</v>
      </c>
      <c r="G286" s="7" t="s">
        <v>4535</v>
      </c>
      <c r="H286" s="8" t="s">
        <v>4435</v>
      </c>
      <c r="I286" s="7" t="s">
        <v>4538</v>
      </c>
      <c r="J286" s="7" t="s">
        <v>4540</v>
      </c>
      <c r="K286" s="8" t="s">
        <v>2427</v>
      </c>
      <c r="L286" s="7"/>
      <c r="M286" s="7" t="s">
        <v>4541</v>
      </c>
      <c r="N286" s="8" t="s">
        <v>3546</v>
      </c>
      <c r="O286" s="8" t="s">
        <v>887</v>
      </c>
      <c r="P286" s="8" t="s">
        <v>315</v>
      </c>
    </row>
    <row r="287" ht="15.75" customHeight="1">
      <c r="A287" s="5" t="s">
        <v>1341</v>
      </c>
      <c r="B287" s="4" t="s">
        <v>1343</v>
      </c>
      <c r="C287" s="5">
        <v>3.0</v>
      </c>
      <c r="D287" s="5" t="s">
        <v>4544</v>
      </c>
      <c r="E287" s="5" t="s">
        <v>654</v>
      </c>
      <c r="F287" s="5" t="s">
        <v>655</v>
      </c>
      <c r="G287" s="4" t="s">
        <v>4548</v>
      </c>
      <c r="H287" s="5" t="s">
        <v>622</v>
      </c>
      <c r="I287" s="4" t="s">
        <v>4550</v>
      </c>
      <c r="J287" s="4" t="s">
        <v>4551</v>
      </c>
      <c r="K287" s="5" t="s">
        <v>662</v>
      </c>
      <c r="L287" s="4" t="s">
        <v>698</v>
      </c>
      <c r="M287" s="4"/>
      <c r="N287" s="5" t="s">
        <v>259</v>
      </c>
      <c r="O287" s="5" t="s">
        <v>887</v>
      </c>
      <c r="P287" s="5" t="s">
        <v>315</v>
      </c>
    </row>
    <row r="288" ht="15.75" customHeight="1">
      <c r="A288" s="8" t="s">
        <v>1341</v>
      </c>
      <c r="B288" s="7" t="s">
        <v>1343</v>
      </c>
      <c r="C288" s="8">
        <v>4.0</v>
      </c>
      <c r="D288" s="8" t="s">
        <v>4443</v>
      </c>
      <c r="E288" s="8" t="s">
        <v>287</v>
      </c>
      <c r="F288" s="8" t="s">
        <v>575</v>
      </c>
      <c r="G288" s="7" t="s">
        <v>4561</v>
      </c>
      <c r="H288" s="8" t="s">
        <v>4439</v>
      </c>
      <c r="I288" s="7" t="s">
        <v>4564</v>
      </c>
      <c r="J288" s="7" t="s">
        <v>4566</v>
      </c>
      <c r="K288" s="8" t="s">
        <v>2427</v>
      </c>
      <c r="L288" s="7" t="s">
        <v>4219</v>
      </c>
      <c r="M288" s="7" t="s">
        <v>4570</v>
      </c>
      <c r="N288" s="8"/>
      <c r="O288" s="8" t="s">
        <v>887</v>
      </c>
      <c r="P288" s="8" t="s">
        <v>315</v>
      </c>
    </row>
    <row r="289" ht="15.75" customHeight="1">
      <c r="A289" s="6" t="s">
        <v>4574</v>
      </c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ht="15.75" customHeight="1">
      <c r="A290" s="8" t="s">
        <v>1366</v>
      </c>
      <c r="B290" s="7" t="s">
        <v>1368</v>
      </c>
      <c r="C290" s="8">
        <v>1.0</v>
      </c>
      <c r="D290" s="8" t="s">
        <v>4457</v>
      </c>
      <c r="E290" s="8" t="s">
        <v>4581</v>
      </c>
      <c r="F290" s="8" t="s">
        <v>532</v>
      </c>
      <c r="G290" s="7" t="s">
        <v>4582</v>
      </c>
      <c r="H290" s="8" t="s">
        <v>4449</v>
      </c>
      <c r="I290" s="7" t="s">
        <v>4583</v>
      </c>
      <c r="J290" s="7" t="s">
        <v>4452</v>
      </c>
      <c r="K290" s="8" t="s">
        <v>2560</v>
      </c>
      <c r="L290" s="7"/>
      <c r="M290" s="7" t="s">
        <v>4584</v>
      </c>
      <c r="N290" s="8" t="s">
        <v>316</v>
      </c>
      <c r="O290" s="8" t="s">
        <v>425</v>
      </c>
      <c r="P290" s="8" t="s">
        <v>221</v>
      </c>
    </row>
    <row r="291" ht="15.75" customHeight="1">
      <c r="A291" s="5" t="s">
        <v>1366</v>
      </c>
      <c r="B291" s="4" t="s">
        <v>1368</v>
      </c>
      <c r="C291" s="5">
        <v>2.0</v>
      </c>
      <c r="D291" s="5" t="s">
        <v>4463</v>
      </c>
      <c r="E291" s="5" t="s">
        <v>4581</v>
      </c>
      <c r="F291" s="5" t="s">
        <v>532</v>
      </c>
      <c r="G291" s="4" t="s">
        <v>4585</v>
      </c>
      <c r="H291" s="5" t="s">
        <v>4460</v>
      </c>
      <c r="I291" s="4" t="s">
        <v>4586</v>
      </c>
      <c r="J291" s="4" t="s">
        <v>4587</v>
      </c>
      <c r="K291" s="5" t="s">
        <v>2560</v>
      </c>
      <c r="L291" s="4"/>
      <c r="M291" s="4" t="s">
        <v>4588</v>
      </c>
      <c r="N291" s="5"/>
      <c r="O291" s="5" t="s">
        <v>425</v>
      </c>
      <c r="P291" s="5" t="s">
        <v>221</v>
      </c>
    </row>
    <row r="292" ht="15.75" customHeight="1">
      <c r="A292" s="8" t="s">
        <v>1366</v>
      </c>
      <c r="B292" s="7" t="s">
        <v>1368</v>
      </c>
      <c r="C292" s="8">
        <v>3.0</v>
      </c>
      <c r="D292" s="8" t="s">
        <v>4469</v>
      </c>
      <c r="E292" s="8" t="s">
        <v>4589</v>
      </c>
      <c r="F292" s="8" t="s">
        <v>324</v>
      </c>
      <c r="G292" s="7" t="s">
        <v>4590</v>
      </c>
      <c r="H292" s="8" t="s">
        <v>4465</v>
      </c>
      <c r="I292" s="7" t="s">
        <v>4591</v>
      </c>
      <c r="J292" s="7" t="s">
        <v>4592</v>
      </c>
      <c r="K292" s="8" t="s">
        <v>2567</v>
      </c>
      <c r="L292" s="7" t="s">
        <v>4593</v>
      </c>
      <c r="M292" s="7"/>
      <c r="N292" s="8"/>
      <c r="O292" s="8" t="s">
        <v>425</v>
      </c>
      <c r="P292" s="8" t="s">
        <v>221</v>
      </c>
    </row>
    <row r="293" ht="15.75" customHeight="1">
      <c r="A293" s="5" t="s">
        <v>1366</v>
      </c>
      <c r="B293" s="4" t="s">
        <v>1368</v>
      </c>
      <c r="C293" s="5">
        <v>4.0</v>
      </c>
      <c r="D293" s="5" t="s">
        <v>4475</v>
      </c>
      <c r="E293" s="5" t="s">
        <v>287</v>
      </c>
      <c r="F293" s="5" t="s">
        <v>592</v>
      </c>
      <c r="G293" s="4" t="s">
        <v>4594</v>
      </c>
      <c r="H293" s="5" t="s">
        <v>4473</v>
      </c>
      <c r="I293" s="4" t="s">
        <v>4595</v>
      </c>
      <c r="J293" s="4" t="s">
        <v>4198</v>
      </c>
      <c r="K293" s="5" t="s">
        <v>582</v>
      </c>
      <c r="L293" s="4"/>
      <c r="M293" s="4" t="s">
        <v>4597</v>
      </c>
      <c r="N293" s="5" t="s">
        <v>304</v>
      </c>
      <c r="O293" s="5" t="s">
        <v>425</v>
      </c>
      <c r="P293" s="5" t="s">
        <v>221</v>
      </c>
    </row>
    <row r="294" ht="15.75" customHeight="1">
      <c r="A294" s="8" t="s">
        <v>1366</v>
      </c>
      <c r="B294" s="7" t="s">
        <v>1368</v>
      </c>
      <c r="C294" s="8">
        <v>5.0</v>
      </c>
      <c r="D294" s="8" t="s">
        <v>4484</v>
      </c>
      <c r="E294" s="8" t="s">
        <v>287</v>
      </c>
      <c r="F294" s="8" t="s">
        <v>592</v>
      </c>
      <c r="G294" s="7" t="s">
        <v>4599</v>
      </c>
      <c r="H294" s="8" t="s">
        <v>4478</v>
      </c>
      <c r="I294" s="7" t="s">
        <v>4600</v>
      </c>
      <c r="J294" s="7" t="s">
        <v>4601</v>
      </c>
      <c r="K294" s="8" t="s">
        <v>2567</v>
      </c>
      <c r="L294" s="7" t="s">
        <v>4201</v>
      </c>
      <c r="M294" s="7" t="s">
        <v>4603</v>
      </c>
      <c r="N294" s="8"/>
      <c r="O294" s="8" t="s">
        <v>425</v>
      </c>
      <c r="P294" s="8" t="s">
        <v>221</v>
      </c>
    </row>
    <row r="295" ht="15.75" customHeight="1">
      <c r="A295" s="5" t="s">
        <v>1366</v>
      </c>
      <c r="B295" s="4" t="s">
        <v>1368</v>
      </c>
      <c r="C295" s="5">
        <v>6.0</v>
      </c>
      <c r="D295" s="5" t="s">
        <v>4488</v>
      </c>
      <c r="E295" s="5" t="s">
        <v>287</v>
      </c>
      <c r="F295" s="5" t="s">
        <v>575</v>
      </c>
      <c r="G295" s="4" t="s">
        <v>4608</v>
      </c>
      <c r="H295" s="5" t="s">
        <v>4486</v>
      </c>
      <c r="I295" s="4" t="s">
        <v>4609</v>
      </c>
      <c r="J295" s="4" t="s">
        <v>4610</v>
      </c>
      <c r="K295" s="5" t="s">
        <v>2567</v>
      </c>
      <c r="L295" s="4" t="s">
        <v>4191</v>
      </c>
      <c r="M295" s="4" t="s">
        <v>4612</v>
      </c>
      <c r="N295" s="5" t="s">
        <v>316</v>
      </c>
      <c r="O295" s="5" t="s">
        <v>425</v>
      </c>
      <c r="P295" s="5" t="s">
        <v>221</v>
      </c>
    </row>
    <row r="296" ht="15.75" customHeight="1">
      <c r="A296" s="8" t="s">
        <v>1366</v>
      </c>
      <c r="B296" s="7" t="s">
        <v>1368</v>
      </c>
      <c r="C296" s="8">
        <v>7.0</v>
      </c>
      <c r="D296" s="8" t="s">
        <v>4495</v>
      </c>
      <c r="E296" s="8" t="s">
        <v>287</v>
      </c>
      <c r="F296" s="8" t="s">
        <v>592</v>
      </c>
      <c r="G296" s="7" t="s">
        <v>4613</v>
      </c>
      <c r="H296" s="8" t="s">
        <v>4491</v>
      </c>
      <c r="I296" s="7" t="s">
        <v>4615</v>
      </c>
      <c r="J296" s="7" t="s">
        <v>4617</v>
      </c>
      <c r="K296" s="8" t="s">
        <v>2567</v>
      </c>
      <c r="L296" s="7"/>
      <c r="M296" s="7" t="s">
        <v>4619</v>
      </c>
      <c r="N296" s="8" t="s">
        <v>424</v>
      </c>
      <c r="O296" s="8" t="s">
        <v>425</v>
      </c>
      <c r="P296" s="8" t="s">
        <v>221</v>
      </c>
    </row>
    <row r="297" ht="15.75" customHeight="1">
      <c r="A297" s="6" t="s">
        <v>4623</v>
      </c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 ht="15.75" customHeight="1">
      <c r="A298" s="8" t="s">
        <v>1395</v>
      </c>
      <c r="B298" s="7" t="s">
        <v>1398</v>
      </c>
      <c r="C298" s="8">
        <v>1.0</v>
      </c>
      <c r="D298" s="8" t="s">
        <v>4502</v>
      </c>
      <c r="E298" s="8" t="s">
        <v>287</v>
      </c>
      <c r="F298" s="8" t="s">
        <v>575</v>
      </c>
      <c r="G298" s="7" t="s">
        <v>4634</v>
      </c>
      <c r="H298" s="8" t="s">
        <v>4497</v>
      </c>
      <c r="I298" s="7" t="s">
        <v>4636</v>
      </c>
      <c r="J298" s="7" t="s">
        <v>4639</v>
      </c>
      <c r="K298" s="8" t="s">
        <v>582</v>
      </c>
      <c r="L298" s="7"/>
      <c r="M298" s="7" t="s">
        <v>4644</v>
      </c>
      <c r="N298" s="8" t="s">
        <v>316</v>
      </c>
      <c r="O298" s="8" t="s">
        <v>598</v>
      </c>
      <c r="P298" s="8" t="s">
        <v>221</v>
      </c>
    </row>
    <row r="299" ht="15.75" customHeight="1">
      <c r="A299" s="5" t="s">
        <v>1395</v>
      </c>
      <c r="B299" s="4" t="s">
        <v>1398</v>
      </c>
      <c r="C299" s="5">
        <v>2.0</v>
      </c>
      <c r="D299" s="5" t="s">
        <v>4508</v>
      </c>
      <c r="E299" s="5" t="s">
        <v>287</v>
      </c>
      <c r="F299" s="5" t="s">
        <v>592</v>
      </c>
      <c r="G299" s="4" t="s">
        <v>4655</v>
      </c>
      <c r="H299" s="5" t="s">
        <v>4504</v>
      </c>
      <c r="I299" s="4" t="s">
        <v>4658</v>
      </c>
      <c r="J299" s="4" t="s">
        <v>4660</v>
      </c>
      <c r="K299" s="5" t="s">
        <v>2578</v>
      </c>
      <c r="L299" s="4" t="s">
        <v>4664</v>
      </c>
      <c r="M299" s="4" t="s">
        <v>4666</v>
      </c>
      <c r="N299" s="5"/>
      <c r="O299" s="5" t="s">
        <v>598</v>
      </c>
      <c r="P299" s="5" t="s">
        <v>221</v>
      </c>
    </row>
    <row r="300" ht="15.75" customHeight="1">
      <c r="A300" s="8" t="s">
        <v>1395</v>
      </c>
      <c r="B300" s="7" t="s">
        <v>1398</v>
      </c>
      <c r="C300" s="8">
        <v>3.0</v>
      </c>
      <c r="D300" s="8" t="s">
        <v>4513</v>
      </c>
      <c r="E300" s="8" t="s">
        <v>287</v>
      </c>
      <c r="F300" s="8" t="s">
        <v>575</v>
      </c>
      <c r="G300" s="7" t="s">
        <v>4674</v>
      </c>
      <c r="H300" s="8" t="s">
        <v>4510</v>
      </c>
      <c r="I300" s="7" t="s">
        <v>4676</v>
      </c>
      <c r="J300" s="7" t="s">
        <v>4678</v>
      </c>
      <c r="K300" s="8" t="s">
        <v>2578</v>
      </c>
      <c r="L300" s="7" t="s">
        <v>3205</v>
      </c>
      <c r="M300" s="7"/>
      <c r="N300" s="8"/>
      <c r="O300" s="8" t="s">
        <v>598</v>
      </c>
      <c r="P300" s="8" t="s">
        <v>221</v>
      </c>
    </row>
    <row r="301" ht="15.75" customHeight="1">
      <c r="A301" s="5" t="s">
        <v>1395</v>
      </c>
      <c r="B301" s="4" t="s">
        <v>1398</v>
      </c>
      <c r="C301" s="5">
        <v>4.0</v>
      </c>
      <c r="D301" s="5" t="s">
        <v>4519</v>
      </c>
      <c r="E301" s="5" t="s">
        <v>287</v>
      </c>
      <c r="F301" s="5" t="s">
        <v>324</v>
      </c>
      <c r="G301" s="4" t="s">
        <v>4694</v>
      </c>
      <c r="H301" s="5" t="s">
        <v>4515</v>
      </c>
      <c r="I301" s="4" t="s">
        <v>4696</v>
      </c>
      <c r="J301" s="4" t="s">
        <v>4699</v>
      </c>
      <c r="K301" s="5" t="s">
        <v>2578</v>
      </c>
      <c r="L301" s="4" t="s">
        <v>4701</v>
      </c>
      <c r="M301" s="4" t="s">
        <v>4704</v>
      </c>
      <c r="N301" s="5"/>
      <c r="O301" s="5" t="s">
        <v>598</v>
      </c>
      <c r="P301" s="5" t="s">
        <v>221</v>
      </c>
    </row>
    <row r="302" ht="15.75" customHeight="1">
      <c r="A302" s="8" t="s">
        <v>1395</v>
      </c>
      <c r="B302" s="7" t="s">
        <v>1398</v>
      </c>
      <c r="C302" s="8">
        <v>5.0</v>
      </c>
      <c r="D302" s="8" t="s">
        <v>4524</v>
      </c>
      <c r="E302" s="8" t="s">
        <v>287</v>
      </c>
      <c r="F302" s="8" t="s">
        <v>575</v>
      </c>
      <c r="G302" s="7" t="s">
        <v>4719</v>
      </c>
      <c r="H302" s="8" t="s">
        <v>4521</v>
      </c>
      <c r="I302" s="7" t="s">
        <v>2676</v>
      </c>
      <c r="J302" s="7" t="s">
        <v>4725</v>
      </c>
      <c r="K302" s="8" t="s">
        <v>2192</v>
      </c>
      <c r="L302" s="7" t="s">
        <v>3643</v>
      </c>
      <c r="M302" s="7"/>
      <c r="N302" s="8"/>
      <c r="O302" s="8" t="s">
        <v>598</v>
      </c>
      <c r="P302" s="8" t="s">
        <v>221</v>
      </c>
    </row>
    <row r="303" ht="15.75" customHeight="1">
      <c r="A303" s="6" t="s">
        <v>4733</v>
      </c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 ht="15.75" customHeight="1">
      <c r="A304" s="8" t="s">
        <v>1406</v>
      </c>
      <c r="B304" s="7" t="s">
        <v>1408</v>
      </c>
      <c r="C304" s="8">
        <v>1.0</v>
      </c>
      <c r="D304" s="8" t="s">
        <v>4531</v>
      </c>
      <c r="E304" s="8" t="s">
        <v>287</v>
      </c>
      <c r="F304" s="8" t="s">
        <v>575</v>
      </c>
      <c r="G304" s="7" t="s">
        <v>4753</v>
      </c>
      <c r="H304" s="8" t="s">
        <v>4528</v>
      </c>
      <c r="I304" s="7" t="s">
        <v>4756</v>
      </c>
      <c r="J304" s="7" t="s">
        <v>4759</v>
      </c>
      <c r="K304" s="8" t="s">
        <v>2589</v>
      </c>
      <c r="L304" s="7" t="s">
        <v>4761</v>
      </c>
      <c r="M304" s="7" t="s">
        <v>4763</v>
      </c>
      <c r="N304" s="8" t="s">
        <v>217</v>
      </c>
      <c r="O304" s="8" t="s">
        <v>598</v>
      </c>
      <c r="P304" s="8" t="s">
        <v>221</v>
      </c>
    </row>
    <row r="305" ht="15.75" customHeight="1">
      <c r="A305" s="5" t="s">
        <v>1406</v>
      </c>
      <c r="B305" s="4" t="s">
        <v>1408</v>
      </c>
      <c r="C305" s="5">
        <v>2.0</v>
      </c>
      <c r="D305" s="5" t="s">
        <v>4536</v>
      </c>
      <c r="E305" s="5" t="s">
        <v>1276</v>
      </c>
      <c r="F305" s="5" t="s">
        <v>532</v>
      </c>
      <c r="G305" s="4" t="s">
        <v>4772</v>
      </c>
      <c r="H305" s="5" t="s">
        <v>4533</v>
      </c>
      <c r="I305" s="4" t="s">
        <v>4775</v>
      </c>
      <c r="J305" s="4" t="s">
        <v>4777</v>
      </c>
      <c r="K305" s="5" t="s">
        <v>2589</v>
      </c>
      <c r="L305" s="4"/>
      <c r="M305" s="4"/>
      <c r="N305" s="5"/>
      <c r="O305" s="5" t="s">
        <v>598</v>
      </c>
      <c r="P305" s="5" t="s">
        <v>221</v>
      </c>
    </row>
    <row r="306" ht="15.75" customHeight="1">
      <c r="A306" s="6" t="s">
        <v>4781</v>
      </c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ht="15.75" customHeight="1">
      <c r="A307" s="5" t="s">
        <v>1444</v>
      </c>
      <c r="B307" s="4" t="s">
        <v>1446</v>
      </c>
      <c r="C307" s="5">
        <v>1.0</v>
      </c>
      <c r="D307" s="5" t="s">
        <v>4545</v>
      </c>
      <c r="E307" s="5" t="s">
        <v>4789</v>
      </c>
      <c r="F307" s="5" t="s">
        <v>575</v>
      </c>
      <c r="G307" s="4" t="s">
        <v>4791</v>
      </c>
      <c r="H307" s="5" t="s">
        <v>4542</v>
      </c>
      <c r="I307" s="4" t="s">
        <v>4793</v>
      </c>
      <c r="J307" s="4" t="s">
        <v>4795</v>
      </c>
      <c r="K307" s="5" t="s">
        <v>2602</v>
      </c>
      <c r="L307" s="4" t="s">
        <v>4797</v>
      </c>
      <c r="M307" s="4" t="s">
        <v>4798</v>
      </c>
      <c r="N307" s="5" t="s">
        <v>424</v>
      </c>
      <c r="O307" s="5"/>
      <c r="P307" s="5" t="s">
        <v>315</v>
      </c>
    </row>
    <row r="308" ht="15.75" customHeight="1">
      <c r="A308" s="8" t="s">
        <v>1444</v>
      </c>
      <c r="B308" s="7" t="s">
        <v>1446</v>
      </c>
      <c r="C308" s="8">
        <v>2.0</v>
      </c>
      <c r="D308" s="8" t="s">
        <v>4552</v>
      </c>
      <c r="E308" s="8" t="s">
        <v>4801</v>
      </c>
      <c r="F308" s="8" t="s">
        <v>1885</v>
      </c>
      <c r="G308" s="7" t="s">
        <v>4804</v>
      </c>
      <c r="H308" s="8" t="s">
        <v>4547</v>
      </c>
      <c r="I308" s="7" t="s">
        <v>4805</v>
      </c>
      <c r="J308" s="7" t="s">
        <v>4807</v>
      </c>
      <c r="K308" s="8" t="s">
        <v>582</v>
      </c>
      <c r="L308" s="7" t="s">
        <v>4128</v>
      </c>
      <c r="M308" s="7" t="s">
        <v>4810</v>
      </c>
      <c r="N308" s="8" t="s">
        <v>424</v>
      </c>
      <c r="O308" s="8"/>
      <c r="P308" s="8" t="s">
        <v>315</v>
      </c>
    </row>
    <row r="309" ht="15.75" customHeight="1">
      <c r="A309" s="5" t="s">
        <v>1444</v>
      </c>
      <c r="B309" s="4" t="s">
        <v>1446</v>
      </c>
      <c r="C309" s="5">
        <v>3.0</v>
      </c>
      <c r="D309" s="5" t="s">
        <v>4558</v>
      </c>
      <c r="E309" s="5" t="s">
        <v>4813</v>
      </c>
      <c r="F309" s="5" t="s">
        <v>575</v>
      </c>
      <c r="G309" s="4" t="s">
        <v>4815</v>
      </c>
      <c r="H309" s="5" t="s">
        <v>4554</v>
      </c>
      <c r="I309" s="4" t="s">
        <v>4818</v>
      </c>
      <c r="J309" s="4" t="s">
        <v>4820</v>
      </c>
      <c r="K309" s="5" t="s">
        <v>582</v>
      </c>
      <c r="L309" s="4" t="s">
        <v>4141</v>
      </c>
      <c r="M309" s="4" t="s">
        <v>4821</v>
      </c>
      <c r="N309" s="5" t="s">
        <v>424</v>
      </c>
      <c r="O309" s="5"/>
      <c r="P309" s="5" t="s">
        <v>315</v>
      </c>
    </row>
    <row r="310" ht="15.75" customHeight="1">
      <c r="A310" s="8" t="s">
        <v>1444</v>
      </c>
      <c r="B310" s="7" t="s">
        <v>1446</v>
      </c>
      <c r="C310" s="8">
        <v>4.0</v>
      </c>
      <c r="D310" s="8" t="s">
        <v>4568</v>
      </c>
      <c r="E310" s="8" t="s">
        <v>287</v>
      </c>
      <c r="F310" s="8" t="s">
        <v>592</v>
      </c>
      <c r="G310" s="7" t="s">
        <v>4827</v>
      </c>
      <c r="H310" s="8" t="s">
        <v>4560</v>
      </c>
      <c r="I310" s="7" t="s">
        <v>582</v>
      </c>
      <c r="J310" s="7" t="s">
        <v>4563</v>
      </c>
      <c r="K310" s="8" t="s">
        <v>582</v>
      </c>
      <c r="L310" s="7"/>
      <c r="M310" s="7" t="s">
        <v>4831</v>
      </c>
      <c r="N310" s="8" t="s">
        <v>424</v>
      </c>
      <c r="O310" s="8"/>
      <c r="P310" s="8" t="s">
        <v>315</v>
      </c>
    </row>
    <row r="311" ht="15.75" customHeight="1">
      <c r="A311" s="5" t="s">
        <v>1444</v>
      </c>
      <c r="B311" s="4" t="s">
        <v>1446</v>
      </c>
      <c r="C311" s="5">
        <v>5.0</v>
      </c>
      <c r="D311" s="5" t="s">
        <v>4575</v>
      </c>
      <c r="E311" s="5" t="s">
        <v>4833</v>
      </c>
      <c r="F311" s="5" t="s">
        <v>655</v>
      </c>
      <c r="G311" s="4" t="s">
        <v>4835</v>
      </c>
      <c r="H311" s="5" t="s">
        <v>4571</v>
      </c>
      <c r="I311" s="4" t="s">
        <v>972</v>
      </c>
      <c r="J311" s="4" t="s">
        <v>4836</v>
      </c>
      <c r="K311" s="5" t="s">
        <v>2602</v>
      </c>
      <c r="L311" s="4" t="s">
        <v>698</v>
      </c>
      <c r="M311" s="4" t="s">
        <v>4839</v>
      </c>
      <c r="N311" s="5" t="s">
        <v>259</v>
      </c>
      <c r="O311" s="5"/>
      <c r="P311" s="5" t="s">
        <v>315</v>
      </c>
    </row>
    <row r="312" ht="15.75" customHeight="1">
      <c r="A312" s="8" t="s">
        <v>1444</v>
      </c>
      <c r="B312" s="7" t="s">
        <v>1446</v>
      </c>
      <c r="C312" s="8">
        <v>6.0</v>
      </c>
      <c r="D312" s="8" t="s">
        <v>4579</v>
      </c>
      <c r="E312" s="8" t="s">
        <v>4844</v>
      </c>
      <c r="F312" s="8" t="s">
        <v>575</v>
      </c>
      <c r="G312" s="7" t="s">
        <v>4846</v>
      </c>
      <c r="H312" s="8" t="s">
        <v>4577</v>
      </c>
      <c r="I312" s="7" t="s">
        <v>2751</v>
      </c>
      <c r="J312" s="7" t="s">
        <v>4849</v>
      </c>
      <c r="K312" s="8" t="s">
        <v>582</v>
      </c>
      <c r="L312" s="7" t="s">
        <v>3979</v>
      </c>
      <c r="M312" s="7" t="s">
        <v>4850</v>
      </c>
      <c r="N312" s="8" t="s">
        <v>291</v>
      </c>
      <c r="O312" s="8"/>
      <c r="P312" s="8" t="s">
        <v>315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P$312"/>
  <mergeCells count="2">
    <mergeCell ref="A1:P1"/>
    <mergeCell ref="A2:P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1.86"/>
    <col customWidth="1" min="2" max="2" width="15.0"/>
    <col customWidth="1" min="3" max="3" width="6.0"/>
    <col customWidth="1" min="4" max="5" width="32.0"/>
    <col customWidth="1" min="6" max="6" width="34.0"/>
    <col customWidth="1" min="7" max="7" width="52.0"/>
    <col customWidth="1" min="8" max="8" width="34.0"/>
    <col customWidth="1" min="9" max="9" width="24.0"/>
    <col customWidth="1" min="10" max="10" width="40.0"/>
    <col customWidth="1" min="11" max="26" width="8.71"/>
  </cols>
  <sheetData>
    <row r="1" ht="19.5" customHeight="1">
      <c r="A1" s="1" t="s">
        <v>590</v>
      </c>
    </row>
    <row r="2" ht="25.5" customHeight="1">
      <c r="A2" s="2" t="s">
        <v>599</v>
      </c>
    </row>
    <row r="4" ht="30.0" customHeight="1">
      <c r="A4" s="3" t="s">
        <v>606</v>
      </c>
      <c r="B4" s="3" t="s">
        <v>607</v>
      </c>
      <c r="C4" s="3" t="s">
        <v>499</v>
      </c>
      <c r="D4" s="3" t="s">
        <v>609</v>
      </c>
      <c r="E4" s="3" t="s">
        <v>468</v>
      </c>
      <c r="F4" s="3" t="s">
        <v>613</v>
      </c>
      <c r="G4" s="3" t="s">
        <v>614</v>
      </c>
      <c r="H4" s="3" t="s">
        <v>616</v>
      </c>
      <c r="I4" s="3" t="s">
        <v>618</v>
      </c>
      <c r="J4" s="3" t="s">
        <v>104</v>
      </c>
    </row>
    <row r="5">
      <c r="A5" s="6" t="s">
        <v>625</v>
      </c>
      <c r="B5" s="6"/>
      <c r="C5" s="6"/>
      <c r="D5" s="6"/>
      <c r="E5" s="6"/>
      <c r="F5" s="6"/>
      <c r="G5" s="6"/>
      <c r="H5" s="6"/>
      <c r="I5" s="6"/>
      <c r="J5" s="6"/>
    </row>
    <row r="6">
      <c r="A6" s="8" t="s">
        <v>634</v>
      </c>
      <c r="B6" s="8" t="s">
        <v>637</v>
      </c>
      <c r="C6" s="8" t="s">
        <v>433</v>
      </c>
      <c r="D6" s="7" t="s">
        <v>643</v>
      </c>
      <c r="E6" s="7"/>
      <c r="F6" s="7"/>
      <c r="G6" s="7"/>
      <c r="H6" s="7"/>
      <c r="I6" s="7" t="s">
        <v>647</v>
      </c>
      <c r="J6" s="7"/>
    </row>
    <row r="7">
      <c r="A7" s="5" t="s">
        <v>634</v>
      </c>
      <c r="B7" s="5" t="s">
        <v>637</v>
      </c>
      <c r="C7" s="5" t="s">
        <v>633</v>
      </c>
      <c r="D7" s="4"/>
      <c r="E7" s="4"/>
      <c r="F7" s="4"/>
      <c r="G7" s="4" t="s">
        <v>660</v>
      </c>
      <c r="H7" s="4"/>
      <c r="I7" s="4" t="s">
        <v>663</v>
      </c>
      <c r="J7" s="4" t="s">
        <v>666</v>
      </c>
    </row>
    <row r="8">
      <c r="A8" s="8" t="s">
        <v>634</v>
      </c>
      <c r="B8" s="8" t="s">
        <v>637</v>
      </c>
      <c r="C8" s="8" t="s">
        <v>417</v>
      </c>
      <c r="D8" s="7" t="s">
        <v>671</v>
      </c>
      <c r="E8" s="7"/>
      <c r="F8" s="7"/>
      <c r="G8" s="7"/>
      <c r="H8" s="7"/>
      <c r="I8" s="7"/>
      <c r="J8" s="7"/>
    </row>
    <row r="9">
      <c r="A9" s="5" t="s">
        <v>634</v>
      </c>
      <c r="B9" s="5" t="s">
        <v>637</v>
      </c>
      <c r="C9" s="5" t="s">
        <v>678</v>
      </c>
      <c r="D9" s="4"/>
      <c r="E9" s="4"/>
      <c r="F9" s="4"/>
      <c r="G9" s="4" t="s">
        <v>682</v>
      </c>
      <c r="H9" s="4"/>
      <c r="I9" s="4"/>
      <c r="J9" s="4" t="s">
        <v>685</v>
      </c>
    </row>
    <row r="10">
      <c r="A10" s="8" t="s">
        <v>634</v>
      </c>
      <c r="B10" s="8" t="s">
        <v>637</v>
      </c>
      <c r="C10" s="8" t="s">
        <v>520</v>
      </c>
      <c r="D10" s="7"/>
      <c r="E10" s="7"/>
      <c r="F10" s="7"/>
      <c r="G10" s="7" t="s">
        <v>688</v>
      </c>
      <c r="H10" s="7"/>
      <c r="I10" s="7"/>
      <c r="J10" s="7" t="s">
        <v>694</v>
      </c>
    </row>
    <row r="11">
      <c r="A11" s="5" t="s">
        <v>634</v>
      </c>
      <c r="B11" s="5" t="s">
        <v>637</v>
      </c>
      <c r="C11" s="5" t="s">
        <v>534</v>
      </c>
      <c r="D11" s="4"/>
      <c r="E11" s="4"/>
      <c r="F11" s="4"/>
      <c r="G11" s="4" t="s">
        <v>700</v>
      </c>
      <c r="H11" s="4"/>
      <c r="I11" s="4"/>
      <c r="J11" s="4" t="s">
        <v>702</v>
      </c>
    </row>
    <row r="12">
      <c r="A12" s="8" t="s">
        <v>634</v>
      </c>
      <c r="B12" s="8" t="s">
        <v>637</v>
      </c>
      <c r="C12" s="8" t="s">
        <v>494</v>
      </c>
      <c r="D12" s="7"/>
      <c r="E12" s="7"/>
      <c r="F12" s="7"/>
      <c r="G12" s="7" t="s">
        <v>711</v>
      </c>
      <c r="H12" s="7"/>
      <c r="I12" s="7"/>
      <c r="J12" s="7" t="s">
        <v>715</v>
      </c>
    </row>
    <row r="13">
      <c r="A13" s="5" t="s">
        <v>634</v>
      </c>
      <c r="B13" s="5" t="s">
        <v>637</v>
      </c>
      <c r="C13" s="5" t="s">
        <v>220</v>
      </c>
      <c r="D13" s="4"/>
      <c r="E13" s="4"/>
      <c r="F13" s="4"/>
      <c r="G13" s="4" t="s">
        <v>723</v>
      </c>
      <c r="H13" s="4"/>
      <c r="I13" s="4"/>
      <c r="J13" s="4"/>
    </row>
    <row r="14">
      <c r="A14" s="8" t="s">
        <v>634</v>
      </c>
      <c r="B14" s="8" t="s">
        <v>637</v>
      </c>
      <c r="C14" s="8" t="s">
        <v>665</v>
      </c>
      <c r="D14" s="7"/>
      <c r="E14" s="7" t="s">
        <v>727</v>
      </c>
      <c r="F14" s="7"/>
      <c r="G14" s="7"/>
      <c r="H14" s="7"/>
      <c r="I14" s="7"/>
      <c r="J14" s="7"/>
    </row>
    <row r="15">
      <c r="A15" s="5" t="s">
        <v>634</v>
      </c>
      <c r="B15" s="5" t="s">
        <v>637</v>
      </c>
      <c r="C15" s="5" t="s">
        <v>570</v>
      </c>
      <c r="D15" s="4"/>
      <c r="E15" s="4"/>
      <c r="F15" s="4"/>
      <c r="G15" s="4" t="s">
        <v>736</v>
      </c>
      <c r="H15" s="4"/>
      <c r="I15" s="4"/>
      <c r="J15" s="4"/>
    </row>
    <row r="16">
      <c r="A16" s="8"/>
      <c r="B16" s="8"/>
      <c r="C16" s="8"/>
      <c r="D16" s="7"/>
      <c r="E16" s="7"/>
      <c r="F16" s="7"/>
      <c r="G16" s="7"/>
      <c r="H16" s="7"/>
      <c r="I16" s="7"/>
      <c r="J16" s="7"/>
    </row>
    <row r="17">
      <c r="A17" s="6" t="s">
        <v>743</v>
      </c>
      <c r="B17" s="6"/>
      <c r="C17" s="6"/>
      <c r="D17" s="6"/>
      <c r="E17" s="6"/>
      <c r="F17" s="6"/>
      <c r="G17" s="6"/>
      <c r="H17" s="6"/>
      <c r="I17" s="6"/>
      <c r="J17" s="6"/>
    </row>
    <row r="18">
      <c r="A18" s="8" t="s">
        <v>749</v>
      </c>
      <c r="B18" s="8" t="s">
        <v>751</v>
      </c>
      <c r="C18" s="8" t="s">
        <v>433</v>
      </c>
      <c r="D18" s="7" t="s">
        <v>754</v>
      </c>
      <c r="E18" s="7"/>
      <c r="F18" s="7"/>
      <c r="G18" s="7"/>
      <c r="H18" s="7"/>
      <c r="I18" s="7"/>
      <c r="J18" s="7"/>
    </row>
    <row r="19">
      <c r="A19" s="5" t="s">
        <v>749</v>
      </c>
      <c r="B19" s="5" t="s">
        <v>751</v>
      </c>
      <c r="C19" s="5" t="s">
        <v>633</v>
      </c>
      <c r="D19" s="4"/>
      <c r="E19" s="4"/>
      <c r="F19" s="4"/>
      <c r="G19" s="4" t="s">
        <v>764</v>
      </c>
      <c r="H19" s="4"/>
      <c r="I19" s="4"/>
      <c r="J19" s="4" t="s">
        <v>766</v>
      </c>
    </row>
    <row r="20">
      <c r="A20" s="8" t="s">
        <v>749</v>
      </c>
      <c r="B20" s="8" t="s">
        <v>751</v>
      </c>
      <c r="C20" s="8" t="s">
        <v>417</v>
      </c>
      <c r="D20" s="7"/>
      <c r="E20" s="7"/>
      <c r="F20" s="7"/>
      <c r="G20" s="7"/>
      <c r="H20" s="7" t="s">
        <v>769</v>
      </c>
      <c r="I20" s="7"/>
      <c r="J20" s="7"/>
    </row>
    <row r="21" ht="15.75" customHeight="1">
      <c r="A21" s="5" t="s">
        <v>749</v>
      </c>
      <c r="B21" s="5" t="s">
        <v>751</v>
      </c>
      <c r="C21" s="5" t="s">
        <v>678</v>
      </c>
      <c r="D21" s="4"/>
      <c r="E21" s="4" t="s">
        <v>770</v>
      </c>
      <c r="F21" s="4"/>
      <c r="G21" s="4"/>
      <c r="H21" s="4"/>
      <c r="I21" s="4"/>
      <c r="J21" s="4" t="s">
        <v>772</v>
      </c>
    </row>
    <row r="22" ht="15.75" customHeight="1">
      <c r="A22" s="8" t="s">
        <v>749</v>
      </c>
      <c r="B22" s="8" t="s">
        <v>751</v>
      </c>
      <c r="C22" s="8" t="s">
        <v>520</v>
      </c>
      <c r="D22" s="7"/>
      <c r="E22" s="7"/>
      <c r="F22" s="7" t="s">
        <v>778</v>
      </c>
      <c r="G22" s="7"/>
      <c r="H22" s="7"/>
      <c r="I22" s="7"/>
      <c r="J22" s="7"/>
    </row>
    <row r="23" ht="15.75" customHeight="1">
      <c r="A23" s="5" t="s">
        <v>749</v>
      </c>
      <c r="B23" s="5" t="s">
        <v>751</v>
      </c>
      <c r="C23" s="5" t="s">
        <v>534</v>
      </c>
      <c r="D23" s="4"/>
      <c r="E23" s="4"/>
      <c r="F23" s="4"/>
      <c r="G23" s="4" t="s">
        <v>790</v>
      </c>
      <c r="H23" s="4"/>
      <c r="I23" s="4"/>
      <c r="J23" s="4"/>
    </row>
    <row r="24" ht="15.75" customHeight="1">
      <c r="A24" s="8" t="s">
        <v>749</v>
      </c>
      <c r="B24" s="8" t="s">
        <v>751</v>
      </c>
      <c r="C24" s="8" t="s">
        <v>494</v>
      </c>
      <c r="D24" s="7" t="s">
        <v>800</v>
      </c>
      <c r="E24" s="7"/>
      <c r="F24" s="7"/>
      <c r="G24" s="7"/>
      <c r="H24" s="7"/>
      <c r="I24" s="7"/>
      <c r="J24" s="7"/>
    </row>
    <row r="25" ht="15.75" customHeight="1">
      <c r="A25" s="5"/>
      <c r="B25" s="5"/>
      <c r="C25" s="5"/>
      <c r="D25" s="4"/>
      <c r="E25" s="4"/>
      <c r="F25" s="4"/>
      <c r="G25" s="4"/>
      <c r="H25" s="4"/>
      <c r="I25" s="4"/>
      <c r="J25" s="4"/>
    </row>
    <row r="26" ht="15.75" customHeight="1">
      <c r="A26" s="6" t="s">
        <v>811</v>
      </c>
      <c r="B26" s="6"/>
      <c r="C26" s="6"/>
      <c r="D26" s="6"/>
      <c r="E26" s="6"/>
      <c r="F26" s="6"/>
      <c r="G26" s="6"/>
      <c r="H26" s="6"/>
      <c r="I26" s="6"/>
      <c r="J26" s="6"/>
    </row>
    <row r="27" ht="15.75" customHeight="1">
      <c r="A27" s="5" t="s">
        <v>824</v>
      </c>
      <c r="B27" s="5" t="s">
        <v>226</v>
      </c>
      <c r="C27" s="5" t="s">
        <v>433</v>
      </c>
      <c r="D27" s="4" t="s">
        <v>829</v>
      </c>
      <c r="E27" s="4"/>
      <c r="F27" s="4"/>
      <c r="G27" s="4"/>
      <c r="H27" s="4"/>
      <c r="I27" s="4"/>
      <c r="J27" s="4"/>
    </row>
    <row r="28" ht="15.75" customHeight="1">
      <c r="A28" s="8" t="s">
        <v>824</v>
      </c>
      <c r="B28" s="8" t="s">
        <v>226</v>
      </c>
      <c r="C28" s="8" t="s">
        <v>633</v>
      </c>
      <c r="D28" s="7"/>
      <c r="E28" s="7"/>
      <c r="F28" s="7"/>
      <c r="G28" s="7" t="s">
        <v>839</v>
      </c>
      <c r="H28" s="7"/>
      <c r="I28" s="7"/>
      <c r="J28" s="7" t="s">
        <v>842</v>
      </c>
    </row>
    <row r="29" ht="15.75" customHeight="1">
      <c r="A29" s="5" t="s">
        <v>824</v>
      </c>
      <c r="B29" s="5" t="s">
        <v>226</v>
      </c>
      <c r="C29" s="5" t="s">
        <v>417</v>
      </c>
      <c r="D29" s="4"/>
      <c r="E29" s="4" t="s">
        <v>846</v>
      </c>
      <c r="F29" s="4"/>
      <c r="G29" s="4"/>
      <c r="H29" s="4"/>
      <c r="I29" s="4"/>
      <c r="J29" s="4"/>
    </row>
    <row r="30" ht="15.75" customHeight="1">
      <c r="A30" s="8" t="s">
        <v>824</v>
      </c>
      <c r="B30" s="8" t="s">
        <v>226</v>
      </c>
      <c r="C30" s="8" t="s">
        <v>678</v>
      </c>
      <c r="D30" s="7"/>
      <c r="E30" s="7" t="s">
        <v>856</v>
      </c>
      <c r="F30" s="7"/>
      <c r="G30" s="7"/>
      <c r="H30" s="7"/>
      <c r="I30" s="7"/>
      <c r="J30" s="7" t="s">
        <v>862</v>
      </c>
    </row>
    <row r="31" ht="15.75" customHeight="1">
      <c r="A31" s="5" t="s">
        <v>824</v>
      </c>
      <c r="B31" s="5" t="s">
        <v>226</v>
      </c>
      <c r="C31" s="5" t="s">
        <v>520</v>
      </c>
      <c r="D31" s="4"/>
      <c r="E31" s="4"/>
      <c r="F31" s="4" t="s">
        <v>867</v>
      </c>
      <c r="G31" s="4"/>
      <c r="H31" s="4"/>
      <c r="I31" s="4"/>
      <c r="J31" s="4"/>
    </row>
    <row r="32" ht="15.75" customHeight="1">
      <c r="A32" s="8" t="s">
        <v>824</v>
      </c>
      <c r="B32" s="8" t="s">
        <v>226</v>
      </c>
      <c r="C32" s="8" t="s">
        <v>534</v>
      </c>
      <c r="D32" s="7"/>
      <c r="E32" s="7"/>
      <c r="F32" s="7"/>
      <c r="G32" s="7" t="s">
        <v>880</v>
      </c>
      <c r="H32" s="7"/>
      <c r="I32" s="7"/>
      <c r="J32" s="7"/>
    </row>
    <row r="33" ht="15.75" customHeight="1">
      <c r="A33" s="5" t="s">
        <v>824</v>
      </c>
      <c r="B33" s="5" t="s">
        <v>226</v>
      </c>
      <c r="C33" s="5" t="s">
        <v>494</v>
      </c>
      <c r="D33" s="4" t="s">
        <v>886</v>
      </c>
      <c r="E33" s="4"/>
      <c r="F33" s="4"/>
      <c r="G33" s="4"/>
      <c r="H33" s="4"/>
      <c r="I33" s="4"/>
      <c r="J33" s="4"/>
    </row>
    <row r="34" ht="15.75" customHeight="1">
      <c r="A34" s="8" t="s">
        <v>824</v>
      </c>
      <c r="B34" s="8" t="s">
        <v>226</v>
      </c>
      <c r="C34" s="8" t="s">
        <v>220</v>
      </c>
      <c r="D34" s="7"/>
      <c r="E34" s="7"/>
      <c r="F34" s="7" t="s">
        <v>897</v>
      </c>
      <c r="G34" s="7"/>
      <c r="H34" s="7"/>
      <c r="I34" s="7"/>
      <c r="J34" s="7" t="s">
        <v>901</v>
      </c>
    </row>
    <row r="35" ht="15.75" customHeight="1">
      <c r="A35" s="5" t="s">
        <v>824</v>
      </c>
      <c r="B35" s="5" t="s">
        <v>226</v>
      </c>
      <c r="C35" s="5" t="s">
        <v>665</v>
      </c>
      <c r="D35" s="4"/>
      <c r="E35" s="4"/>
      <c r="F35" s="4"/>
      <c r="G35" s="4" t="s">
        <v>910</v>
      </c>
      <c r="H35" s="4"/>
      <c r="I35" s="4"/>
      <c r="J35" s="4" t="s">
        <v>915</v>
      </c>
    </row>
    <row r="36" ht="15.75" customHeight="1">
      <c r="A36" s="8" t="s">
        <v>824</v>
      </c>
      <c r="B36" s="8" t="s">
        <v>226</v>
      </c>
      <c r="C36" s="8" t="s">
        <v>570</v>
      </c>
      <c r="D36" s="7" t="s">
        <v>922</v>
      </c>
      <c r="E36" s="7"/>
      <c r="F36" s="7"/>
      <c r="G36" s="7"/>
      <c r="H36" s="7"/>
      <c r="I36" s="7"/>
      <c r="J36" s="7"/>
    </row>
    <row r="37" ht="15.75" customHeight="1">
      <c r="A37" s="5"/>
      <c r="B37" s="5"/>
      <c r="C37" s="5"/>
      <c r="D37" s="4"/>
      <c r="E37" s="4"/>
      <c r="F37" s="4"/>
      <c r="G37" s="4"/>
      <c r="H37" s="4"/>
      <c r="I37" s="4"/>
      <c r="J37" s="4"/>
    </row>
    <row r="38" ht="15.75" customHeight="1">
      <c r="A38" s="6" t="s">
        <v>935</v>
      </c>
      <c r="B38" s="6"/>
      <c r="C38" s="6"/>
      <c r="D38" s="6"/>
      <c r="E38" s="6"/>
      <c r="F38" s="6"/>
      <c r="G38" s="6"/>
      <c r="H38" s="6"/>
      <c r="I38" s="6"/>
      <c r="J38" s="6"/>
    </row>
    <row r="39" ht="15.75" customHeight="1">
      <c r="A39" s="5" t="s">
        <v>942</v>
      </c>
      <c r="B39" s="5" t="s">
        <v>943</v>
      </c>
      <c r="C39" s="5" t="s">
        <v>433</v>
      </c>
      <c r="D39" s="4" t="s">
        <v>946</v>
      </c>
      <c r="E39" s="4"/>
      <c r="F39" s="4"/>
      <c r="G39" s="4"/>
      <c r="H39" s="4"/>
      <c r="I39" s="4" t="s">
        <v>951</v>
      </c>
      <c r="J39" s="4"/>
    </row>
    <row r="40" ht="15.75" customHeight="1">
      <c r="A40" s="8" t="s">
        <v>942</v>
      </c>
      <c r="B40" s="8" t="s">
        <v>943</v>
      </c>
      <c r="C40" s="8" t="s">
        <v>633</v>
      </c>
      <c r="D40" s="7"/>
      <c r="E40" s="7"/>
      <c r="F40" s="7"/>
      <c r="G40" s="7" t="s">
        <v>962</v>
      </c>
      <c r="H40" s="7"/>
      <c r="I40" s="7"/>
      <c r="J40" s="7" t="s">
        <v>964</v>
      </c>
    </row>
    <row r="41" ht="15.75" customHeight="1">
      <c r="A41" s="5" t="s">
        <v>942</v>
      </c>
      <c r="B41" s="5" t="s">
        <v>943</v>
      </c>
      <c r="C41" s="5" t="s">
        <v>417</v>
      </c>
      <c r="D41" s="4"/>
      <c r="E41" s="4" t="s">
        <v>968</v>
      </c>
      <c r="F41" s="4"/>
      <c r="G41" s="4"/>
      <c r="H41" s="4"/>
      <c r="I41" s="4"/>
      <c r="J41" s="4"/>
    </row>
    <row r="42" ht="15.75" customHeight="1">
      <c r="A42" s="8" t="s">
        <v>942</v>
      </c>
      <c r="B42" s="8" t="s">
        <v>943</v>
      </c>
      <c r="C42" s="8" t="s">
        <v>678</v>
      </c>
      <c r="D42" s="7"/>
      <c r="E42" s="7"/>
      <c r="F42" s="7"/>
      <c r="G42" s="7" t="s">
        <v>974</v>
      </c>
      <c r="H42" s="7"/>
      <c r="I42" s="7"/>
      <c r="J42" s="7" t="s">
        <v>978</v>
      </c>
    </row>
    <row r="43" ht="15.75" customHeight="1">
      <c r="A43" s="5" t="s">
        <v>942</v>
      </c>
      <c r="B43" s="5" t="s">
        <v>943</v>
      </c>
      <c r="C43" s="5" t="s">
        <v>520</v>
      </c>
      <c r="D43" s="4" t="s">
        <v>983</v>
      </c>
      <c r="E43" s="4"/>
      <c r="F43" s="4"/>
      <c r="G43" s="4"/>
      <c r="H43" s="4"/>
      <c r="I43" s="4"/>
      <c r="J43" s="4"/>
    </row>
    <row r="44" ht="15.75" customHeight="1">
      <c r="A44" s="8" t="s">
        <v>942</v>
      </c>
      <c r="B44" s="8" t="s">
        <v>943</v>
      </c>
      <c r="C44" s="8" t="s">
        <v>534</v>
      </c>
      <c r="D44" s="7"/>
      <c r="E44" s="7"/>
      <c r="F44" s="7"/>
      <c r="G44" s="7" t="s">
        <v>997</v>
      </c>
      <c r="H44" s="7"/>
      <c r="I44" s="7"/>
      <c r="J44" s="7"/>
    </row>
    <row r="45" ht="15.75" customHeight="1">
      <c r="A45" s="5"/>
      <c r="B45" s="5"/>
      <c r="C45" s="5"/>
      <c r="D45" s="4"/>
      <c r="E45" s="4"/>
      <c r="F45" s="4"/>
      <c r="G45" s="4"/>
      <c r="H45" s="4"/>
      <c r="I45" s="4"/>
      <c r="J45" s="4"/>
    </row>
    <row r="46" ht="15.75" customHeight="1">
      <c r="A46" s="6" t="s">
        <v>1004</v>
      </c>
      <c r="B46" s="6"/>
      <c r="C46" s="6"/>
      <c r="D46" s="6"/>
      <c r="E46" s="6"/>
      <c r="F46" s="6"/>
      <c r="G46" s="6"/>
      <c r="H46" s="6"/>
      <c r="I46" s="6"/>
      <c r="J46" s="6"/>
    </row>
    <row r="47" ht="15.75" customHeight="1">
      <c r="A47" s="5" t="s">
        <v>1010</v>
      </c>
      <c r="B47" s="5" t="s">
        <v>236</v>
      </c>
      <c r="C47" s="5" t="s">
        <v>433</v>
      </c>
      <c r="D47" s="4"/>
      <c r="E47" s="4"/>
      <c r="F47" s="4" t="s">
        <v>1016</v>
      </c>
      <c r="G47" s="4"/>
      <c r="H47" s="4"/>
      <c r="I47" s="4"/>
      <c r="J47" s="4"/>
    </row>
    <row r="48" ht="15.75" customHeight="1">
      <c r="A48" s="8" t="s">
        <v>1010</v>
      </c>
      <c r="B48" s="8" t="s">
        <v>236</v>
      </c>
      <c r="C48" s="8" t="s">
        <v>633</v>
      </c>
      <c r="D48" s="7"/>
      <c r="E48" s="7"/>
      <c r="F48" s="7" t="s">
        <v>1021</v>
      </c>
      <c r="G48" s="7"/>
      <c r="H48" s="7"/>
      <c r="I48" s="7"/>
      <c r="J48" s="7" t="s">
        <v>1024</v>
      </c>
    </row>
    <row r="49" ht="15.75" customHeight="1">
      <c r="A49" s="5" t="s">
        <v>1010</v>
      </c>
      <c r="B49" s="5" t="s">
        <v>236</v>
      </c>
      <c r="C49" s="5" t="s">
        <v>417</v>
      </c>
      <c r="D49" s="4"/>
      <c r="E49" s="4"/>
      <c r="F49" s="4"/>
      <c r="G49" s="4" t="s">
        <v>1033</v>
      </c>
      <c r="H49" s="4"/>
      <c r="I49" s="4"/>
      <c r="J49" s="4"/>
    </row>
    <row r="50" ht="15.75" customHeight="1">
      <c r="A50" s="8" t="s">
        <v>1010</v>
      </c>
      <c r="B50" s="8" t="s">
        <v>236</v>
      </c>
      <c r="C50" s="8" t="s">
        <v>678</v>
      </c>
      <c r="D50" s="7"/>
      <c r="E50" s="7"/>
      <c r="F50" s="7"/>
      <c r="G50" s="7" t="s">
        <v>1040</v>
      </c>
      <c r="H50" s="7"/>
      <c r="I50" s="7"/>
      <c r="J50" s="7"/>
    </row>
    <row r="51" ht="15.75" customHeight="1">
      <c r="A51" s="5" t="s">
        <v>1010</v>
      </c>
      <c r="B51" s="5" t="s">
        <v>236</v>
      </c>
      <c r="C51" s="5" t="s">
        <v>520</v>
      </c>
      <c r="D51" s="4"/>
      <c r="E51" s="4"/>
      <c r="F51" s="4"/>
      <c r="G51" s="4"/>
      <c r="H51" s="4" t="s">
        <v>1048</v>
      </c>
      <c r="I51" s="4"/>
      <c r="J51" s="4" t="s">
        <v>1050</v>
      </c>
    </row>
    <row r="52" ht="15.75" customHeight="1">
      <c r="A52" s="8" t="s">
        <v>1010</v>
      </c>
      <c r="B52" s="8" t="s">
        <v>236</v>
      </c>
      <c r="C52" s="8" t="s">
        <v>534</v>
      </c>
      <c r="D52" s="7"/>
      <c r="E52" s="7"/>
      <c r="F52" s="7" t="s">
        <v>1054</v>
      </c>
      <c r="G52" s="7"/>
      <c r="H52" s="7"/>
      <c r="I52" s="7"/>
      <c r="J52" s="7"/>
    </row>
    <row r="53" ht="15.75" customHeight="1">
      <c r="A53" s="5" t="s">
        <v>1010</v>
      </c>
      <c r="B53" s="5" t="s">
        <v>236</v>
      </c>
      <c r="C53" s="5" t="s">
        <v>494</v>
      </c>
      <c r="D53" s="4"/>
      <c r="E53" s="4"/>
      <c r="F53" s="4"/>
      <c r="G53" s="4" t="s">
        <v>1060</v>
      </c>
      <c r="H53" s="4"/>
      <c r="I53" s="4"/>
      <c r="J53" s="4"/>
    </row>
    <row r="54" ht="15.75" customHeight="1">
      <c r="A54" s="8" t="s">
        <v>1010</v>
      </c>
      <c r="B54" s="8" t="s">
        <v>236</v>
      </c>
      <c r="C54" s="8" t="s">
        <v>220</v>
      </c>
      <c r="D54" s="7"/>
      <c r="E54" s="7"/>
      <c r="F54" s="7"/>
      <c r="G54" s="7" t="s">
        <v>1065</v>
      </c>
      <c r="H54" s="7"/>
      <c r="I54" s="7"/>
      <c r="J54" s="7"/>
    </row>
    <row r="55" ht="15.75" customHeight="1">
      <c r="A55" s="5" t="s">
        <v>1010</v>
      </c>
      <c r="B55" s="5" t="s">
        <v>236</v>
      </c>
      <c r="C55" s="5" t="s">
        <v>665</v>
      </c>
      <c r="D55" s="4"/>
      <c r="E55" s="4"/>
      <c r="F55" s="4" t="s">
        <v>1072</v>
      </c>
      <c r="G55" s="4"/>
      <c r="H55" s="4"/>
      <c r="I55" s="4"/>
      <c r="J55" s="4" t="s">
        <v>1074</v>
      </c>
    </row>
    <row r="56" ht="15.75" customHeight="1">
      <c r="A56" s="8" t="s">
        <v>1010</v>
      </c>
      <c r="B56" s="8" t="s">
        <v>236</v>
      </c>
      <c r="C56" s="8" t="s">
        <v>570</v>
      </c>
      <c r="D56" s="7"/>
      <c r="E56" s="7"/>
      <c r="F56" s="7"/>
      <c r="G56" s="7" t="s">
        <v>1081</v>
      </c>
      <c r="H56" s="7"/>
      <c r="I56" s="7" t="s">
        <v>1083</v>
      </c>
      <c r="J56" s="7" t="s">
        <v>1085</v>
      </c>
    </row>
    <row r="57" ht="15.75" customHeight="1">
      <c r="A57" s="5" t="s">
        <v>1010</v>
      </c>
      <c r="B57" s="5" t="s">
        <v>236</v>
      </c>
      <c r="C57" s="5" t="s">
        <v>463</v>
      </c>
      <c r="D57" s="4"/>
      <c r="E57" s="4"/>
      <c r="F57" s="4"/>
      <c r="G57" s="4" t="s">
        <v>1094</v>
      </c>
      <c r="H57" s="4"/>
      <c r="I57" s="4" t="s">
        <v>1096</v>
      </c>
      <c r="J57" s="4" t="s">
        <v>1098</v>
      </c>
    </row>
    <row r="58" ht="15.75" customHeight="1">
      <c r="A58" s="8" t="s">
        <v>1010</v>
      </c>
      <c r="B58" s="8" t="s">
        <v>236</v>
      </c>
      <c r="C58" s="8" t="s">
        <v>456</v>
      </c>
      <c r="D58" s="7"/>
      <c r="E58" s="7"/>
      <c r="F58" s="7" t="s">
        <v>1104</v>
      </c>
      <c r="G58" s="7"/>
      <c r="H58" s="7"/>
      <c r="I58" s="7"/>
      <c r="J58" s="7" t="s">
        <v>1110</v>
      </c>
    </row>
    <row r="59" ht="15.75" customHeight="1">
      <c r="A59" s="5" t="s">
        <v>1010</v>
      </c>
      <c r="B59" s="5" t="s">
        <v>236</v>
      </c>
      <c r="C59" s="5" t="s">
        <v>446</v>
      </c>
      <c r="D59" s="4" t="s">
        <v>1115</v>
      </c>
      <c r="E59" s="4"/>
      <c r="F59" s="4"/>
      <c r="G59" s="4"/>
      <c r="H59" s="4"/>
      <c r="I59" s="4"/>
      <c r="J59" s="4" t="s">
        <v>1117</v>
      </c>
    </row>
    <row r="60" ht="15.75" customHeight="1">
      <c r="A60" s="8"/>
      <c r="B60" s="8"/>
      <c r="C60" s="8"/>
      <c r="D60" s="7"/>
      <c r="E60" s="7"/>
      <c r="F60" s="7"/>
      <c r="G60" s="7"/>
      <c r="H60" s="7"/>
      <c r="I60" s="7"/>
      <c r="J60" s="7"/>
    </row>
    <row r="61" ht="15.75" customHeight="1">
      <c r="A61" s="6" t="s">
        <v>1126</v>
      </c>
      <c r="B61" s="6"/>
      <c r="C61" s="6"/>
      <c r="D61" s="6"/>
      <c r="E61" s="6"/>
      <c r="F61" s="6"/>
      <c r="G61" s="6"/>
      <c r="H61" s="6"/>
      <c r="I61" s="6"/>
      <c r="J61" s="6"/>
    </row>
    <row r="62" ht="15.75" customHeight="1">
      <c r="A62" s="8" t="s">
        <v>1133</v>
      </c>
      <c r="B62" s="8" t="s">
        <v>1135</v>
      </c>
      <c r="C62" s="8" t="s">
        <v>433</v>
      </c>
      <c r="D62" s="7" t="s">
        <v>1138</v>
      </c>
      <c r="E62" s="7"/>
      <c r="F62" s="7"/>
      <c r="G62" s="7"/>
      <c r="H62" s="7"/>
      <c r="I62" s="7"/>
      <c r="J62" s="7"/>
    </row>
    <row r="63" ht="15.75" customHeight="1">
      <c r="A63" s="5" t="s">
        <v>1133</v>
      </c>
      <c r="B63" s="5" t="s">
        <v>1135</v>
      </c>
      <c r="C63" s="5" t="s">
        <v>633</v>
      </c>
      <c r="D63" s="4"/>
      <c r="E63" s="4"/>
      <c r="F63" s="4"/>
      <c r="G63" s="4" t="s">
        <v>1146</v>
      </c>
      <c r="H63" s="4"/>
      <c r="I63" s="4"/>
      <c r="J63" s="4" t="s">
        <v>1151</v>
      </c>
    </row>
    <row r="64" ht="15.75" customHeight="1">
      <c r="A64" s="8" t="s">
        <v>1133</v>
      </c>
      <c r="B64" s="8" t="s">
        <v>1135</v>
      </c>
      <c r="C64" s="8" t="s">
        <v>417</v>
      </c>
      <c r="D64" s="7"/>
      <c r="E64" s="7"/>
      <c r="F64" s="7"/>
      <c r="G64" s="7" t="s">
        <v>1159</v>
      </c>
      <c r="H64" s="7"/>
      <c r="I64" s="7"/>
      <c r="J64" s="7" t="s">
        <v>1164</v>
      </c>
    </row>
    <row r="65" ht="15.75" customHeight="1">
      <c r="A65" s="5" t="s">
        <v>1133</v>
      </c>
      <c r="B65" s="5" t="s">
        <v>1135</v>
      </c>
      <c r="C65" s="5" t="s">
        <v>678</v>
      </c>
      <c r="D65" s="4" t="s">
        <v>1168</v>
      </c>
      <c r="E65" s="4"/>
      <c r="F65" s="4"/>
      <c r="G65" s="4"/>
      <c r="H65" s="4"/>
      <c r="I65" s="4"/>
      <c r="J65" s="4"/>
    </row>
    <row r="66" ht="15.75" customHeight="1">
      <c r="A66" s="8" t="s">
        <v>1133</v>
      </c>
      <c r="B66" s="8" t="s">
        <v>1135</v>
      </c>
      <c r="C66" s="8" t="s">
        <v>520</v>
      </c>
      <c r="D66" s="7"/>
      <c r="E66" s="7" t="s">
        <v>1182</v>
      </c>
      <c r="F66" s="7"/>
      <c r="G66" s="7"/>
      <c r="H66" s="7"/>
      <c r="I66" s="7"/>
      <c r="J66" s="7"/>
    </row>
    <row r="67" ht="15.75" customHeight="1">
      <c r="A67" s="5" t="s">
        <v>1133</v>
      </c>
      <c r="B67" s="5" t="s">
        <v>1135</v>
      </c>
      <c r="C67" s="5" t="s">
        <v>534</v>
      </c>
      <c r="D67" s="4"/>
      <c r="E67" s="4"/>
      <c r="F67" s="4"/>
      <c r="G67" s="4" t="s">
        <v>1191</v>
      </c>
      <c r="H67" s="4"/>
      <c r="I67" s="4"/>
      <c r="J67" s="4"/>
    </row>
    <row r="68" ht="15.75" customHeight="1">
      <c r="A68" s="8" t="s">
        <v>1133</v>
      </c>
      <c r="B68" s="8" t="s">
        <v>1135</v>
      </c>
      <c r="C68" s="8" t="s">
        <v>494</v>
      </c>
      <c r="D68" s="7"/>
      <c r="E68" s="7"/>
      <c r="F68" s="7" t="s">
        <v>1202</v>
      </c>
      <c r="G68" s="7"/>
      <c r="H68" s="7"/>
      <c r="I68" s="7"/>
      <c r="J68" s="7"/>
    </row>
    <row r="69" ht="15.75" customHeight="1">
      <c r="A69" s="5" t="s">
        <v>1133</v>
      </c>
      <c r="B69" s="5" t="s">
        <v>1135</v>
      </c>
      <c r="C69" s="5" t="s">
        <v>220</v>
      </c>
      <c r="D69" s="4"/>
      <c r="E69" s="4"/>
      <c r="F69" s="4"/>
      <c r="G69" s="4" t="s">
        <v>1212</v>
      </c>
      <c r="H69" s="4"/>
      <c r="I69" s="4"/>
      <c r="J69" s="4"/>
    </row>
    <row r="70" ht="15.75" customHeight="1">
      <c r="A70" s="8" t="s">
        <v>1133</v>
      </c>
      <c r="B70" s="8" t="s">
        <v>1135</v>
      </c>
      <c r="C70" s="8" t="s">
        <v>665</v>
      </c>
      <c r="D70" s="7"/>
      <c r="E70" s="7"/>
      <c r="F70" s="7"/>
      <c r="G70" s="7" t="s">
        <v>1224</v>
      </c>
      <c r="H70" s="7"/>
      <c r="I70" s="7"/>
      <c r="J70" s="7" t="s">
        <v>1228</v>
      </c>
    </row>
    <row r="71" ht="15.75" customHeight="1">
      <c r="A71" s="5"/>
      <c r="B71" s="5"/>
      <c r="C71" s="5"/>
      <c r="D71" s="4"/>
      <c r="E71" s="4"/>
      <c r="F71" s="4"/>
      <c r="G71" s="4"/>
      <c r="H71" s="4"/>
      <c r="I71" s="4"/>
      <c r="J71" s="4"/>
    </row>
    <row r="72" ht="15.75" customHeight="1">
      <c r="A72" s="6" t="s">
        <v>1239</v>
      </c>
      <c r="B72" s="6"/>
      <c r="C72" s="6"/>
      <c r="D72" s="6"/>
      <c r="E72" s="6"/>
      <c r="F72" s="6"/>
      <c r="G72" s="6"/>
      <c r="H72" s="6"/>
      <c r="I72" s="6"/>
      <c r="J72" s="6"/>
    </row>
    <row r="73" ht="15.75" customHeight="1">
      <c r="A73" s="5" t="s">
        <v>1244</v>
      </c>
      <c r="B73" s="5" t="s">
        <v>1246</v>
      </c>
      <c r="C73" s="5" t="s">
        <v>433</v>
      </c>
      <c r="D73" s="4" t="s">
        <v>1248</v>
      </c>
      <c r="E73" s="4"/>
      <c r="F73" s="4"/>
      <c r="G73" s="4"/>
      <c r="H73" s="4"/>
      <c r="I73" s="4"/>
      <c r="J73" s="4"/>
    </row>
    <row r="74" ht="15.75" customHeight="1">
      <c r="A74" s="8" t="s">
        <v>1244</v>
      </c>
      <c r="B74" s="8" t="s">
        <v>1246</v>
      </c>
      <c r="C74" s="8" t="s">
        <v>633</v>
      </c>
      <c r="D74" s="7"/>
      <c r="E74" s="7" t="s">
        <v>1262</v>
      </c>
      <c r="F74" s="7"/>
      <c r="G74" s="7"/>
      <c r="H74" s="7"/>
      <c r="I74" s="7"/>
      <c r="J74" s="7"/>
    </row>
    <row r="75" ht="15.75" customHeight="1">
      <c r="A75" s="5" t="s">
        <v>1244</v>
      </c>
      <c r="B75" s="5" t="s">
        <v>1246</v>
      </c>
      <c r="C75" s="5" t="s">
        <v>417</v>
      </c>
      <c r="D75" s="4"/>
      <c r="E75" s="4"/>
      <c r="F75" s="4"/>
      <c r="G75" s="4" t="s">
        <v>1272</v>
      </c>
      <c r="H75" s="4"/>
      <c r="I75" s="4"/>
      <c r="J75" s="4" t="s">
        <v>1277</v>
      </c>
    </row>
    <row r="76" ht="15.75" customHeight="1">
      <c r="A76" s="8" t="s">
        <v>1244</v>
      </c>
      <c r="B76" s="8" t="s">
        <v>1246</v>
      </c>
      <c r="C76" s="8" t="s">
        <v>678</v>
      </c>
      <c r="D76" s="7"/>
      <c r="E76" s="7"/>
      <c r="F76" s="7" t="s">
        <v>1283</v>
      </c>
      <c r="G76" s="7"/>
      <c r="H76" s="7"/>
      <c r="I76" s="7"/>
      <c r="J76" s="7"/>
    </row>
    <row r="77" ht="15.75" customHeight="1">
      <c r="A77" s="5" t="s">
        <v>1244</v>
      </c>
      <c r="B77" s="5" t="s">
        <v>1246</v>
      </c>
      <c r="C77" s="5" t="s">
        <v>520</v>
      </c>
      <c r="D77" s="4"/>
      <c r="E77" s="4"/>
      <c r="F77" s="4"/>
      <c r="G77" s="4" t="s">
        <v>1293</v>
      </c>
      <c r="H77" s="4"/>
      <c r="I77" s="4"/>
      <c r="J77" s="4"/>
    </row>
    <row r="78" ht="15.75" customHeight="1">
      <c r="A78" s="8" t="s">
        <v>1244</v>
      </c>
      <c r="B78" s="8" t="s">
        <v>1246</v>
      </c>
      <c r="C78" s="8" t="s">
        <v>534</v>
      </c>
      <c r="D78" s="7"/>
      <c r="E78" s="7"/>
      <c r="F78" s="7"/>
      <c r="G78" s="7"/>
      <c r="H78" s="7" t="s">
        <v>1304</v>
      </c>
      <c r="I78" s="7"/>
      <c r="J78" s="7" t="s">
        <v>1307</v>
      </c>
    </row>
    <row r="79" ht="15.75" customHeight="1">
      <c r="A79" s="5" t="s">
        <v>1244</v>
      </c>
      <c r="B79" s="5" t="s">
        <v>1246</v>
      </c>
      <c r="C79" s="5" t="s">
        <v>494</v>
      </c>
      <c r="D79" s="4"/>
      <c r="E79" s="4"/>
      <c r="F79" s="4"/>
      <c r="G79" s="4" t="s">
        <v>1313</v>
      </c>
      <c r="H79" s="4"/>
      <c r="I79" s="4"/>
      <c r="J79" s="4"/>
    </row>
    <row r="80" ht="15.75" customHeight="1">
      <c r="A80" s="8" t="s">
        <v>1244</v>
      </c>
      <c r="B80" s="8" t="s">
        <v>1246</v>
      </c>
      <c r="C80" s="8" t="s">
        <v>220</v>
      </c>
      <c r="D80" s="7"/>
      <c r="E80" s="7"/>
      <c r="F80" s="7" t="s">
        <v>1320</v>
      </c>
      <c r="G80" s="7"/>
      <c r="H80" s="7"/>
      <c r="I80" s="7"/>
      <c r="J80" s="7"/>
    </row>
    <row r="81" ht="15.75" customHeight="1">
      <c r="A81" s="5" t="s">
        <v>1244</v>
      </c>
      <c r="B81" s="5" t="s">
        <v>1246</v>
      </c>
      <c r="C81" s="5" t="s">
        <v>665</v>
      </c>
      <c r="D81" s="4" t="s">
        <v>1330</v>
      </c>
      <c r="E81" s="4"/>
      <c r="F81" s="4"/>
      <c r="G81" s="4"/>
      <c r="H81" s="4"/>
      <c r="I81" s="4"/>
      <c r="J81" s="4"/>
    </row>
    <row r="82" ht="15.75" customHeight="1">
      <c r="A82" s="8"/>
      <c r="B82" s="8"/>
      <c r="C82" s="8"/>
      <c r="D82" s="7"/>
      <c r="E82" s="7"/>
      <c r="F82" s="7"/>
      <c r="G82" s="7"/>
      <c r="H82" s="7"/>
      <c r="I82" s="7"/>
      <c r="J82" s="7"/>
    </row>
    <row r="83" ht="15.75" customHeight="1">
      <c r="A83" s="6" t="s">
        <v>1347</v>
      </c>
      <c r="B83" s="6"/>
      <c r="C83" s="6"/>
      <c r="D83" s="6"/>
      <c r="E83" s="6"/>
      <c r="F83" s="6"/>
      <c r="G83" s="6"/>
      <c r="H83" s="6"/>
      <c r="I83" s="6"/>
      <c r="J83" s="6"/>
    </row>
    <row r="84" ht="15.75" customHeight="1">
      <c r="A84" s="8" t="s">
        <v>1355</v>
      </c>
      <c r="B84" s="8" t="s">
        <v>1357</v>
      </c>
      <c r="C84" s="8" t="s">
        <v>433</v>
      </c>
      <c r="D84" s="7"/>
      <c r="E84" s="7"/>
      <c r="F84" s="7"/>
      <c r="G84" s="7"/>
      <c r="H84" s="7"/>
      <c r="I84" s="7" t="s">
        <v>1362</v>
      </c>
      <c r="J84" s="7"/>
    </row>
    <row r="85" ht="15.75" customHeight="1">
      <c r="A85" s="5" t="s">
        <v>1355</v>
      </c>
      <c r="B85" s="5" t="s">
        <v>1357</v>
      </c>
      <c r="C85" s="5" t="s">
        <v>633</v>
      </c>
      <c r="D85" s="4"/>
      <c r="E85" s="4"/>
      <c r="F85" s="4"/>
      <c r="G85" s="4" t="s">
        <v>1371</v>
      </c>
      <c r="H85" s="4"/>
      <c r="I85" s="4"/>
      <c r="J85" s="4"/>
    </row>
    <row r="86" ht="15.75" customHeight="1">
      <c r="A86" s="8" t="s">
        <v>1355</v>
      </c>
      <c r="B86" s="8" t="s">
        <v>1357</v>
      </c>
      <c r="C86" s="8" t="s">
        <v>417</v>
      </c>
      <c r="D86" s="7"/>
      <c r="E86" s="7"/>
      <c r="F86" s="7"/>
      <c r="G86" s="7" t="s">
        <v>1382</v>
      </c>
      <c r="H86" s="7"/>
      <c r="I86" s="7"/>
      <c r="J86" s="7" t="s">
        <v>1388</v>
      </c>
    </row>
    <row r="87" ht="15.75" customHeight="1">
      <c r="A87" s="5" t="s">
        <v>1355</v>
      </c>
      <c r="B87" s="5" t="s">
        <v>1357</v>
      </c>
      <c r="C87" s="5" t="s">
        <v>678</v>
      </c>
      <c r="D87" s="4"/>
      <c r="E87" s="4"/>
      <c r="F87" s="4"/>
      <c r="G87" s="4" t="s">
        <v>1393</v>
      </c>
      <c r="H87" s="4"/>
      <c r="I87" s="4"/>
      <c r="J87" s="4" t="s">
        <v>1397</v>
      </c>
    </row>
    <row r="88" ht="15.75" customHeight="1">
      <c r="A88" s="8" t="s">
        <v>1355</v>
      </c>
      <c r="B88" s="8" t="s">
        <v>1357</v>
      </c>
      <c r="C88" s="8" t="s">
        <v>520</v>
      </c>
      <c r="D88" s="7"/>
      <c r="E88" s="7"/>
      <c r="F88" s="7" t="s">
        <v>1401</v>
      </c>
      <c r="G88" s="7"/>
      <c r="H88" s="7"/>
      <c r="I88" s="7"/>
      <c r="J88" s="7"/>
    </row>
    <row r="89" ht="15.75" customHeight="1">
      <c r="A89" s="5" t="s">
        <v>1355</v>
      </c>
      <c r="B89" s="5" t="s">
        <v>1357</v>
      </c>
      <c r="C89" s="5" t="s">
        <v>534</v>
      </c>
      <c r="D89" s="4"/>
      <c r="E89" s="4"/>
      <c r="F89" s="4"/>
      <c r="G89" s="4" t="s">
        <v>1409</v>
      </c>
      <c r="H89" s="4"/>
      <c r="I89" s="4"/>
      <c r="J89" s="4"/>
    </row>
    <row r="90" ht="15.75" customHeight="1">
      <c r="A90" s="8" t="s">
        <v>1355</v>
      </c>
      <c r="B90" s="8" t="s">
        <v>1357</v>
      </c>
      <c r="C90" s="8" t="s">
        <v>494</v>
      </c>
      <c r="D90" s="7"/>
      <c r="E90" s="7"/>
      <c r="F90" s="7"/>
      <c r="G90" s="7" t="s">
        <v>1420</v>
      </c>
      <c r="H90" s="7"/>
      <c r="I90" s="7"/>
      <c r="J90" s="7"/>
    </row>
    <row r="91" ht="15.75" customHeight="1">
      <c r="A91" s="5"/>
      <c r="B91" s="5"/>
      <c r="C91" s="5"/>
      <c r="D91" s="4"/>
      <c r="E91" s="4"/>
      <c r="F91" s="4"/>
      <c r="G91" s="4"/>
      <c r="H91" s="4"/>
      <c r="I91" s="4"/>
      <c r="J91" s="4"/>
    </row>
    <row r="92" ht="15.75" customHeight="1">
      <c r="A92" s="6" t="s">
        <v>1430</v>
      </c>
      <c r="B92" s="6"/>
      <c r="C92" s="6"/>
      <c r="D92" s="6"/>
      <c r="E92" s="6"/>
      <c r="F92" s="6"/>
      <c r="G92" s="6"/>
      <c r="H92" s="6"/>
      <c r="I92" s="6"/>
      <c r="J92" s="6"/>
    </row>
    <row r="93" ht="15.75" customHeight="1">
      <c r="A93" s="5" t="s">
        <v>1437</v>
      </c>
      <c r="B93" s="5" t="s">
        <v>1439</v>
      </c>
      <c r="C93" s="5" t="s">
        <v>433</v>
      </c>
      <c r="D93" s="4" t="s">
        <v>1441</v>
      </c>
      <c r="E93" s="4"/>
      <c r="F93" s="4"/>
      <c r="G93" s="4"/>
      <c r="H93" s="4"/>
      <c r="I93" s="4"/>
      <c r="J93" s="4"/>
    </row>
    <row r="94" ht="15.75" customHeight="1">
      <c r="A94" s="8" t="s">
        <v>1437</v>
      </c>
      <c r="B94" s="8" t="s">
        <v>1439</v>
      </c>
      <c r="C94" s="8" t="s">
        <v>633</v>
      </c>
      <c r="D94" s="7"/>
      <c r="E94" s="7"/>
      <c r="F94" s="7"/>
      <c r="G94" s="7" t="s">
        <v>1455</v>
      </c>
      <c r="H94" s="7"/>
      <c r="I94" s="7" t="s">
        <v>1457</v>
      </c>
      <c r="J94" s="7"/>
    </row>
    <row r="95" ht="15.75" customHeight="1">
      <c r="A95" s="5" t="s">
        <v>1437</v>
      </c>
      <c r="B95" s="5" t="s">
        <v>1439</v>
      </c>
      <c r="C95" s="5" t="s">
        <v>417</v>
      </c>
      <c r="D95" s="4"/>
      <c r="E95" s="4"/>
      <c r="F95" s="4" t="s">
        <v>1467</v>
      </c>
      <c r="G95" s="4"/>
      <c r="H95" s="4"/>
      <c r="I95" s="4"/>
      <c r="J95" s="4"/>
    </row>
    <row r="96" ht="15.75" customHeight="1">
      <c r="A96" s="8" t="s">
        <v>1437</v>
      </c>
      <c r="B96" s="8" t="s">
        <v>1439</v>
      </c>
      <c r="C96" s="8" t="s">
        <v>678</v>
      </c>
      <c r="D96" s="7"/>
      <c r="E96" s="7"/>
      <c r="F96" s="7"/>
      <c r="G96" s="7" t="s">
        <v>1475</v>
      </c>
      <c r="H96" s="7"/>
      <c r="I96" s="7" t="s">
        <v>1478</v>
      </c>
      <c r="J96" s="7"/>
    </row>
    <row r="97" ht="15.75" customHeight="1">
      <c r="A97" s="5" t="s">
        <v>1437</v>
      </c>
      <c r="B97" s="5" t="s">
        <v>1439</v>
      </c>
      <c r="C97" s="5" t="s">
        <v>520</v>
      </c>
      <c r="D97" s="4"/>
      <c r="E97" s="4"/>
      <c r="F97" s="4"/>
      <c r="G97" s="4" t="s">
        <v>1488</v>
      </c>
      <c r="H97" s="4"/>
      <c r="I97" s="4"/>
      <c r="J97" s="4" t="s">
        <v>1489</v>
      </c>
    </row>
    <row r="98" ht="15.75" customHeight="1">
      <c r="A98" s="8" t="s">
        <v>1437</v>
      </c>
      <c r="B98" s="8" t="s">
        <v>1439</v>
      </c>
      <c r="C98" s="8" t="s">
        <v>534</v>
      </c>
      <c r="D98" s="7" t="s">
        <v>1496</v>
      </c>
      <c r="E98" s="7"/>
      <c r="F98" s="7"/>
      <c r="G98" s="7"/>
      <c r="H98" s="7"/>
      <c r="I98" s="7"/>
      <c r="J98" s="7"/>
    </row>
    <row r="99" ht="15.75" customHeight="1">
      <c r="A99" s="5" t="s">
        <v>1437</v>
      </c>
      <c r="B99" s="5" t="s">
        <v>1439</v>
      </c>
      <c r="C99" s="5" t="s">
        <v>494</v>
      </c>
      <c r="D99" s="4"/>
      <c r="E99" s="4"/>
      <c r="F99" s="4"/>
      <c r="G99" s="4" t="s">
        <v>1505</v>
      </c>
      <c r="H99" s="4"/>
      <c r="I99" s="4"/>
      <c r="J99" s="4"/>
    </row>
    <row r="100" ht="15.75" customHeight="1">
      <c r="A100" s="8" t="s">
        <v>1437</v>
      </c>
      <c r="B100" s="8" t="s">
        <v>1439</v>
      </c>
      <c r="C100" s="8" t="s">
        <v>220</v>
      </c>
      <c r="D100" s="7"/>
      <c r="E100" s="7"/>
      <c r="F100" s="7" t="s">
        <v>1511</v>
      </c>
      <c r="G100" s="7"/>
      <c r="H100" s="7"/>
      <c r="I100" s="7"/>
      <c r="J100" s="7"/>
    </row>
    <row r="101" ht="15.75" customHeight="1">
      <c r="A101" s="5" t="s">
        <v>1437</v>
      </c>
      <c r="B101" s="5" t="s">
        <v>1439</v>
      </c>
      <c r="C101" s="5" t="s">
        <v>665</v>
      </c>
      <c r="D101" s="4"/>
      <c r="E101" s="4"/>
      <c r="F101" s="4"/>
      <c r="G101" s="4" t="s">
        <v>1521</v>
      </c>
      <c r="H101" s="4"/>
      <c r="I101" s="4" t="s">
        <v>1522</v>
      </c>
      <c r="J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101"/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43"/>
    <col customWidth="1" min="2" max="2" width="9.0"/>
    <col customWidth="1" min="3" max="3" width="68.0"/>
    <col customWidth="1" min="4" max="4" width="11.0"/>
    <col customWidth="1" min="5" max="5" width="10.0"/>
    <col customWidth="1" min="6" max="6" width="16.0"/>
    <col customWidth="1" min="7" max="7" width="10.0"/>
    <col customWidth="1" min="8" max="8" width="13.0"/>
    <col customWidth="1" min="9" max="9" width="70.0"/>
    <col customWidth="1" min="10" max="10" width="22.0"/>
    <col customWidth="1" min="11" max="26" width="8.71"/>
  </cols>
  <sheetData>
    <row r="1" ht="19.5" customHeight="1">
      <c r="A1" s="1" t="s">
        <v>784</v>
      </c>
    </row>
    <row r="2" ht="25.5" customHeight="1">
      <c r="A2" s="2" t="s">
        <v>794</v>
      </c>
    </row>
    <row r="4" ht="30.0" customHeight="1">
      <c r="A4" s="3" t="s">
        <v>803</v>
      </c>
      <c r="B4" s="3" t="s">
        <v>69</v>
      </c>
      <c r="C4" s="3" t="s">
        <v>808</v>
      </c>
      <c r="D4" s="3" t="s">
        <v>501</v>
      </c>
      <c r="E4" s="3" t="s">
        <v>810</v>
      </c>
      <c r="F4" s="3" t="s">
        <v>814</v>
      </c>
      <c r="G4" s="3" t="s">
        <v>818</v>
      </c>
      <c r="H4" s="3" t="s">
        <v>821</v>
      </c>
      <c r="I4" s="3" t="s">
        <v>827</v>
      </c>
      <c r="J4" s="3" t="s">
        <v>828</v>
      </c>
    </row>
    <row r="5">
      <c r="A5" s="6" t="s">
        <v>832</v>
      </c>
      <c r="B5" s="6"/>
      <c r="C5" s="6"/>
      <c r="D5" s="6"/>
      <c r="E5" s="6"/>
      <c r="F5" s="6"/>
      <c r="G5" s="6"/>
      <c r="H5" s="6"/>
      <c r="I5" s="6"/>
      <c r="J5" s="6"/>
    </row>
    <row r="6">
      <c r="A6" s="7" t="s">
        <v>849</v>
      </c>
      <c r="B6" s="8" t="s">
        <v>154</v>
      </c>
      <c r="C6" s="7" t="s">
        <v>857</v>
      </c>
      <c r="D6" s="8" t="s">
        <v>861</v>
      </c>
      <c r="E6" s="8" t="s">
        <v>863</v>
      </c>
      <c r="F6" s="8" t="s">
        <v>287</v>
      </c>
      <c r="G6" s="8" t="s">
        <v>865</v>
      </c>
      <c r="H6" s="8" t="s">
        <v>582</v>
      </c>
      <c r="I6" s="7" t="s">
        <v>869</v>
      </c>
      <c r="J6" s="8"/>
    </row>
    <row r="7">
      <c r="A7" s="4" t="s">
        <v>849</v>
      </c>
      <c r="B7" s="5" t="s">
        <v>154</v>
      </c>
      <c r="C7" s="4" t="s">
        <v>884</v>
      </c>
      <c r="D7" s="5" t="s">
        <v>885</v>
      </c>
      <c r="E7" s="5" t="s">
        <v>863</v>
      </c>
      <c r="F7" s="5" t="s">
        <v>888</v>
      </c>
      <c r="G7" s="5" t="s">
        <v>865</v>
      </c>
      <c r="H7" s="5" t="s">
        <v>582</v>
      </c>
      <c r="I7" s="4" t="s">
        <v>893</v>
      </c>
      <c r="J7" s="5"/>
    </row>
    <row r="8">
      <c r="A8" s="7" t="s">
        <v>900</v>
      </c>
      <c r="B8" s="8" t="s">
        <v>154</v>
      </c>
      <c r="C8" s="7" t="s">
        <v>905</v>
      </c>
      <c r="D8" s="8" t="s">
        <v>885</v>
      </c>
      <c r="E8" s="8" t="s">
        <v>863</v>
      </c>
      <c r="F8" s="8" t="s">
        <v>888</v>
      </c>
      <c r="G8" s="8" t="s">
        <v>909</v>
      </c>
      <c r="H8" s="8" t="s">
        <v>911</v>
      </c>
      <c r="I8" s="7" t="s">
        <v>913</v>
      </c>
      <c r="J8" s="8" t="s">
        <v>916</v>
      </c>
    </row>
    <row r="9">
      <c r="A9" s="4" t="s">
        <v>918</v>
      </c>
      <c r="B9" s="5" t="s">
        <v>154</v>
      </c>
      <c r="C9" s="4" t="s">
        <v>921</v>
      </c>
      <c r="D9" s="5" t="s">
        <v>885</v>
      </c>
      <c r="E9" s="5" t="s">
        <v>863</v>
      </c>
      <c r="F9" s="5" t="s">
        <v>888</v>
      </c>
      <c r="G9" s="5" t="s">
        <v>909</v>
      </c>
      <c r="H9" s="5" t="s">
        <v>582</v>
      </c>
      <c r="I9" s="4" t="s">
        <v>931</v>
      </c>
      <c r="J9" s="5" t="s">
        <v>933</v>
      </c>
    </row>
    <row r="10">
      <c r="A10" s="7" t="s">
        <v>934</v>
      </c>
      <c r="B10" s="8" t="s">
        <v>154</v>
      </c>
      <c r="C10" s="7" t="s">
        <v>937</v>
      </c>
      <c r="D10" s="8" t="s">
        <v>885</v>
      </c>
      <c r="E10" s="8" t="s">
        <v>863</v>
      </c>
      <c r="F10" s="8" t="s">
        <v>940</v>
      </c>
      <c r="G10" s="8" t="s">
        <v>909</v>
      </c>
      <c r="H10" s="8" t="s">
        <v>582</v>
      </c>
      <c r="I10" s="7" t="s">
        <v>945</v>
      </c>
      <c r="J10" s="8"/>
    </row>
    <row r="11">
      <c r="A11" s="4" t="s">
        <v>949</v>
      </c>
      <c r="B11" s="5" t="s">
        <v>154</v>
      </c>
      <c r="C11" s="4" t="s">
        <v>955</v>
      </c>
      <c r="D11" s="5" t="s">
        <v>958</v>
      </c>
      <c r="E11" s="5" t="s">
        <v>863</v>
      </c>
      <c r="F11" s="5" t="s">
        <v>940</v>
      </c>
      <c r="G11" s="5" t="s">
        <v>909</v>
      </c>
      <c r="H11" s="5" t="s">
        <v>582</v>
      </c>
      <c r="I11" s="4"/>
      <c r="J11" s="5"/>
    </row>
    <row r="12">
      <c r="A12" s="7" t="s">
        <v>965</v>
      </c>
      <c r="B12" s="8" t="s">
        <v>154</v>
      </c>
      <c r="C12" s="7" t="s">
        <v>970</v>
      </c>
      <c r="D12" s="8" t="s">
        <v>958</v>
      </c>
      <c r="E12" s="8" t="s">
        <v>863</v>
      </c>
      <c r="F12" s="8" t="s">
        <v>940</v>
      </c>
      <c r="G12" s="8" t="s">
        <v>909</v>
      </c>
      <c r="H12" s="8" t="s">
        <v>582</v>
      </c>
      <c r="I12" s="7" t="s">
        <v>975</v>
      </c>
      <c r="J12" s="8"/>
    </row>
    <row r="13">
      <c r="A13" s="4" t="s">
        <v>979</v>
      </c>
      <c r="B13" s="5" t="s">
        <v>154</v>
      </c>
      <c r="C13" s="4" t="s">
        <v>982</v>
      </c>
      <c r="D13" s="5" t="s">
        <v>984</v>
      </c>
      <c r="E13" s="5" t="s">
        <v>863</v>
      </c>
      <c r="F13" s="5" t="s">
        <v>888</v>
      </c>
      <c r="G13" s="5" t="s">
        <v>909</v>
      </c>
      <c r="H13" s="5" t="s">
        <v>582</v>
      </c>
      <c r="I13" s="4" t="s">
        <v>992</v>
      </c>
      <c r="J13" s="5"/>
    </row>
    <row r="14">
      <c r="A14" s="7" t="s">
        <v>995</v>
      </c>
      <c r="B14" s="8" t="s">
        <v>154</v>
      </c>
      <c r="C14" s="7" t="s">
        <v>998</v>
      </c>
      <c r="D14" s="8" t="s">
        <v>999</v>
      </c>
      <c r="E14" s="8" t="s">
        <v>863</v>
      </c>
      <c r="F14" s="8" t="s">
        <v>888</v>
      </c>
      <c r="G14" s="8" t="s">
        <v>909</v>
      </c>
      <c r="H14" s="8" t="s">
        <v>582</v>
      </c>
      <c r="I14" s="7" t="s">
        <v>1005</v>
      </c>
      <c r="J14" s="8"/>
    </row>
    <row r="15">
      <c r="A15" s="4" t="s">
        <v>1007</v>
      </c>
      <c r="B15" s="5" t="s">
        <v>154</v>
      </c>
      <c r="C15" s="4" t="s">
        <v>1008</v>
      </c>
      <c r="D15" s="5" t="s">
        <v>1011</v>
      </c>
      <c r="E15" s="5" t="s">
        <v>863</v>
      </c>
      <c r="F15" s="5" t="s">
        <v>287</v>
      </c>
      <c r="G15" s="5" t="s">
        <v>865</v>
      </c>
      <c r="H15" s="5" t="s">
        <v>582</v>
      </c>
      <c r="I15" s="4" t="s">
        <v>1018</v>
      </c>
      <c r="J15" s="5"/>
    </row>
    <row r="16">
      <c r="A16" s="7" t="s">
        <v>1019</v>
      </c>
      <c r="B16" s="8" t="s">
        <v>154</v>
      </c>
      <c r="C16" s="7" t="s">
        <v>1022</v>
      </c>
      <c r="D16" s="8" t="s">
        <v>999</v>
      </c>
      <c r="E16" s="8" t="s">
        <v>863</v>
      </c>
      <c r="F16" s="8" t="s">
        <v>888</v>
      </c>
      <c r="G16" s="8" t="s">
        <v>909</v>
      </c>
      <c r="H16" s="8" t="s">
        <v>582</v>
      </c>
      <c r="I16" s="7" t="s">
        <v>265</v>
      </c>
      <c r="J16" s="8"/>
    </row>
    <row r="17">
      <c r="A17" s="4" t="s">
        <v>1036</v>
      </c>
      <c r="B17" s="5" t="s">
        <v>154</v>
      </c>
      <c r="C17" s="4" t="s">
        <v>1039</v>
      </c>
      <c r="D17" s="5" t="s">
        <v>999</v>
      </c>
      <c r="E17" s="5" t="s">
        <v>863</v>
      </c>
      <c r="F17" s="5" t="s">
        <v>287</v>
      </c>
      <c r="G17" s="5" t="s">
        <v>1041</v>
      </c>
      <c r="H17" s="5" t="s">
        <v>1043</v>
      </c>
      <c r="I17" s="4"/>
      <c r="J17" s="5"/>
    </row>
    <row r="18">
      <c r="A18" s="7" t="s">
        <v>1046</v>
      </c>
      <c r="B18" s="8" t="s">
        <v>154</v>
      </c>
      <c r="C18" s="7" t="s">
        <v>1051</v>
      </c>
      <c r="D18" s="8" t="s">
        <v>999</v>
      </c>
      <c r="E18" s="8" t="s">
        <v>863</v>
      </c>
      <c r="F18" s="8" t="s">
        <v>287</v>
      </c>
      <c r="G18" s="8" t="s">
        <v>1041</v>
      </c>
      <c r="H18" s="8" t="s">
        <v>1056</v>
      </c>
      <c r="I18" s="7"/>
      <c r="J18" s="8"/>
    </row>
    <row r="19">
      <c r="A19" s="4" t="s">
        <v>1059</v>
      </c>
      <c r="B19" s="5" t="s">
        <v>154</v>
      </c>
      <c r="C19" s="4" t="s">
        <v>1061</v>
      </c>
      <c r="D19" s="5" t="s">
        <v>999</v>
      </c>
      <c r="E19" s="5" t="s">
        <v>863</v>
      </c>
      <c r="F19" s="5" t="s">
        <v>287</v>
      </c>
      <c r="G19" s="5" t="s">
        <v>865</v>
      </c>
      <c r="H19" s="5" t="s">
        <v>582</v>
      </c>
      <c r="I19" s="4" t="s">
        <v>1066</v>
      </c>
      <c r="J19" s="5"/>
    </row>
    <row r="20">
      <c r="A20" s="6" t="s">
        <v>321</v>
      </c>
      <c r="B20" s="6"/>
      <c r="C20" s="6"/>
      <c r="D20" s="6"/>
      <c r="E20" s="6"/>
      <c r="F20" s="6"/>
      <c r="G20" s="6"/>
      <c r="H20" s="6"/>
      <c r="I20" s="6"/>
      <c r="J20" s="6"/>
    </row>
    <row r="21" ht="15.75" customHeight="1">
      <c r="A21" s="4" t="s">
        <v>1077</v>
      </c>
      <c r="B21" s="5" t="s">
        <v>190</v>
      </c>
      <c r="C21" s="4" t="s">
        <v>1079</v>
      </c>
      <c r="D21" s="5" t="s">
        <v>861</v>
      </c>
      <c r="E21" s="5" t="s">
        <v>863</v>
      </c>
      <c r="F21" s="5" t="s">
        <v>1086</v>
      </c>
      <c r="G21" s="5" t="s">
        <v>865</v>
      </c>
      <c r="H21" s="5" t="s">
        <v>582</v>
      </c>
      <c r="I21" s="4" t="s">
        <v>1090</v>
      </c>
      <c r="J21" s="5" t="s">
        <v>1093</v>
      </c>
    </row>
    <row r="22" ht="15.75" customHeight="1">
      <c r="A22" s="7" t="s">
        <v>1077</v>
      </c>
      <c r="B22" s="8" t="s">
        <v>190</v>
      </c>
      <c r="C22" s="7" t="s">
        <v>1100</v>
      </c>
      <c r="D22" s="8" t="s">
        <v>1101</v>
      </c>
      <c r="E22" s="8" t="s">
        <v>863</v>
      </c>
      <c r="F22" s="8" t="s">
        <v>1103</v>
      </c>
      <c r="G22" s="8" t="s">
        <v>909</v>
      </c>
      <c r="H22" s="8" t="s">
        <v>1113</v>
      </c>
      <c r="I22" s="7" t="s">
        <v>1114</v>
      </c>
      <c r="J22" s="8" t="s">
        <v>1093</v>
      </c>
    </row>
    <row r="23" ht="15.75" customHeight="1">
      <c r="A23" s="4" t="s">
        <v>1077</v>
      </c>
      <c r="B23" s="5" t="s">
        <v>190</v>
      </c>
      <c r="C23" s="4" t="s">
        <v>1118</v>
      </c>
      <c r="D23" s="5" t="s">
        <v>885</v>
      </c>
      <c r="E23" s="5" t="s">
        <v>863</v>
      </c>
      <c r="F23" s="5" t="s">
        <v>461</v>
      </c>
      <c r="G23" s="5" t="s">
        <v>909</v>
      </c>
      <c r="H23" s="5" t="s">
        <v>1113</v>
      </c>
      <c r="I23" s="4"/>
      <c r="J23" s="5"/>
    </row>
    <row r="24" ht="15.75" customHeight="1">
      <c r="A24" s="7" t="s">
        <v>1077</v>
      </c>
      <c r="B24" s="8" t="s">
        <v>190</v>
      </c>
      <c r="C24" s="7" t="s">
        <v>1128</v>
      </c>
      <c r="D24" s="8" t="s">
        <v>1129</v>
      </c>
      <c r="E24" s="8" t="s">
        <v>1130</v>
      </c>
      <c r="F24" s="8" t="s">
        <v>461</v>
      </c>
      <c r="G24" s="8" t="s">
        <v>909</v>
      </c>
      <c r="H24" s="8" t="s">
        <v>1041</v>
      </c>
      <c r="I24" s="7" t="s">
        <v>1136</v>
      </c>
      <c r="J24" s="8" t="s">
        <v>1093</v>
      </c>
    </row>
    <row r="25" ht="15.75" customHeight="1">
      <c r="A25" s="4" t="s">
        <v>1077</v>
      </c>
      <c r="B25" s="5" t="s">
        <v>190</v>
      </c>
      <c r="C25" s="4" t="s">
        <v>1141</v>
      </c>
      <c r="D25" s="5" t="s">
        <v>1143</v>
      </c>
      <c r="E25" s="5" t="s">
        <v>1130</v>
      </c>
      <c r="F25" s="5" t="s">
        <v>461</v>
      </c>
      <c r="G25" s="5" t="s">
        <v>909</v>
      </c>
      <c r="H25" s="5" t="s">
        <v>1113</v>
      </c>
      <c r="I25" s="4"/>
      <c r="J25" s="5"/>
    </row>
    <row r="26" ht="15.75" customHeight="1">
      <c r="A26" s="7" t="s">
        <v>1148</v>
      </c>
      <c r="B26" s="8" t="s">
        <v>190</v>
      </c>
      <c r="C26" s="7" t="s">
        <v>1153</v>
      </c>
      <c r="D26" s="8" t="s">
        <v>1011</v>
      </c>
      <c r="E26" s="8" t="s">
        <v>863</v>
      </c>
      <c r="F26" s="8" t="s">
        <v>1155</v>
      </c>
      <c r="G26" s="8" t="s">
        <v>909</v>
      </c>
      <c r="H26" s="8" t="s">
        <v>582</v>
      </c>
      <c r="I26" s="7" t="s">
        <v>1157</v>
      </c>
      <c r="J26" s="8"/>
    </row>
    <row r="27" ht="15.75" customHeight="1">
      <c r="A27" s="4" t="s">
        <v>1162</v>
      </c>
      <c r="B27" s="5" t="s">
        <v>190</v>
      </c>
      <c r="C27" s="4" t="s">
        <v>1165</v>
      </c>
      <c r="D27" s="5" t="s">
        <v>1011</v>
      </c>
      <c r="E27" s="5" t="s">
        <v>863</v>
      </c>
      <c r="F27" s="5" t="s">
        <v>1155</v>
      </c>
      <c r="G27" s="5" t="s">
        <v>909</v>
      </c>
      <c r="H27" s="5" t="s">
        <v>582</v>
      </c>
      <c r="I27" s="4" t="s">
        <v>1171</v>
      </c>
      <c r="J27" s="5" t="s">
        <v>1172</v>
      </c>
    </row>
    <row r="28" ht="15.75" customHeight="1">
      <c r="A28" s="7" t="s">
        <v>1174</v>
      </c>
      <c r="B28" s="8" t="s">
        <v>190</v>
      </c>
      <c r="C28" s="7" t="s">
        <v>1179</v>
      </c>
      <c r="D28" s="8" t="s">
        <v>1011</v>
      </c>
      <c r="E28" s="8" t="s">
        <v>863</v>
      </c>
      <c r="F28" s="8" t="s">
        <v>1155</v>
      </c>
      <c r="G28" s="8" t="s">
        <v>909</v>
      </c>
      <c r="H28" s="8" t="s">
        <v>582</v>
      </c>
      <c r="I28" s="7" t="s">
        <v>1186</v>
      </c>
      <c r="J28" s="8" t="s">
        <v>1093</v>
      </c>
    </row>
    <row r="29" ht="15.75" customHeight="1">
      <c r="A29" s="4" t="s">
        <v>1174</v>
      </c>
      <c r="B29" s="5" t="s">
        <v>190</v>
      </c>
      <c r="C29" s="4" t="s">
        <v>1190</v>
      </c>
      <c r="D29" s="5" t="s">
        <v>1011</v>
      </c>
      <c r="E29" s="5" t="s">
        <v>1130</v>
      </c>
      <c r="F29" s="5" t="s">
        <v>525</v>
      </c>
      <c r="G29" s="5" t="s">
        <v>909</v>
      </c>
      <c r="H29" s="5" t="s">
        <v>582</v>
      </c>
      <c r="I29" s="4" t="s">
        <v>1198</v>
      </c>
      <c r="J29" s="5" t="s">
        <v>1201</v>
      </c>
    </row>
    <row r="30" ht="15.75" customHeight="1">
      <c r="A30" s="7" t="s">
        <v>1203</v>
      </c>
      <c r="B30" s="8" t="s">
        <v>190</v>
      </c>
      <c r="C30" s="7" t="s">
        <v>1206</v>
      </c>
      <c r="D30" s="8" t="s">
        <v>885</v>
      </c>
      <c r="E30" s="8" t="s">
        <v>863</v>
      </c>
      <c r="F30" s="8" t="s">
        <v>1103</v>
      </c>
      <c r="G30" s="8" t="s">
        <v>909</v>
      </c>
      <c r="H30" s="8" t="s">
        <v>582</v>
      </c>
      <c r="I30" s="7" t="s">
        <v>1213</v>
      </c>
      <c r="J30" s="8" t="s">
        <v>1215</v>
      </c>
    </row>
    <row r="31" ht="15.75" customHeight="1">
      <c r="A31" s="4" t="s">
        <v>1217</v>
      </c>
      <c r="B31" s="5" t="s">
        <v>190</v>
      </c>
      <c r="C31" s="4" t="s">
        <v>1219</v>
      </c>
      <c r="D31" s="5" t="s">
        <v>1011</v>
      </c>
      <c r="E31" s="5" t="s">
        <v>863</v>
      </c>
      <c r="F31" s="5" t="s">
        <v>888</v>
      </c>
      <c r="G31" s="5" t="s">
        <v>909</v>
      </c>
      <c r="H31" s="5" t="s">
        <v>582</v>
      </c>
      <c r="I31" s="4" t="s">
        <v>1230</v>
      </c>
      <c r="J31" s="5" t="s">
        <v>1231</v>
      </c>
    </row>
    <row r="32" ht="15.75" customHeight="1">
      <c r="A32" s="7" t="s">
        <v>1233</v>
      </c>
      <c r="B32" s="8" t="s">
        <v>190</v>
      </c>
      <c r="C32" s="7" t="s">
        <v>1236</v>
      </c>
      <c r="D32" s="8" t="s">
        <v>1011</v>
      </c>
      <c r="E32" s="8" t="s">
        <v>863</v>
      </c>
      <c r="F32" s="8" t="s">
        <v>888</v>
      </c>
      <c r="G32" s="8" t="s">
        <v>909</v>
      </c>
      <c r="H32" s="8" t="s">
        <v>582</v>
      </c>
      <c r="I32" s="7" t="s">
        <v>1242</v>
      </c>
      <c r="J32" s="8" t="s">
        <v>1201</v>
      </c>
    </row>
    <row r="33" ht="15.75" customHeight="1">
      <c r="A33" s="4" t="s">
        <v>1243</v>
      </c>
      <c r="B33" s="5" t="s">
        <v>190</v>
      </c>
      <c r="C33" s="4" t="s">
        <v>1245</v>
      </c>
      <c r="D33" s="5" t="s">
        <v>1011</v>
      </c>
      <c r="E33" s="5" t="s">
        <v>863</v>
      </c>
      <c r="F33" s="5" t="s">
        <v>1247</v>
      </c>
      <c r="G33" s="5" t="s">
        <v>909</v>
      </c>
      <c r="H33" s="5" t="s">
        <v>582</v>
      </c>
      <c r="I33" s="4" t="s">
        <v>1252</v>
      </c>
      <c r="J33" s="5" t="s">
        <v>1253</v>
      </c>
    </row>
    <row r="34" ht="15.75" customHeight="1">
      <c r="A34" s="7" t="s">
        <v>1256</v>
      </c>
      <c r="B34" s="8" t="s">
        <v>190</v>
      </c>
      <c r="C34" s="7" t="s">
        <v>1260</v>
      </c>
      <c r="D34" s="8" t="s">
        <v>1011</v>
      </c>
      <c r="E34" s="8" t="s">
        <v>1130</v>
      </c>
      <c r="F34" s="8" t="s">
        <v>1265</v>
      </c>
      <c r="G34" s="8" t="s">
        <v>909</v>
      </c>
      <c r="H34" s="8" t="s">
        <v>1113</v>
      </c>
      <c r="I34" s="7" t="s">
        <v>1268</v>
      </c>
      <c r="J34" s="8"/>
    </row>
    <row r="35" ht="15.75" customHeight="1">
      <c r="A35" s="4" t="s">
        <v>1271</v>
      </c>
      <c r="B35" s="5" t="s">
        <v>190</v>
      </c>
      <c r="C35" s="4" t="s">
        <v>1274</v>
      </c>
      <c r="D35" s="5" t="s">
        <v>885</v>
      </c>
      <c r="E35" s="5" t="s">
        <v>1130</v>
      </c>
      <c r="F35" s="5" t="s">
        <v>940</v>
      </c>
      <c r="G35" s="5" t="s">
        <v>909</v>
      </c>
      <c r="H35" s="5" t="s">
        <v>582</v>
      </c>
      <c r="I35" s="4"/>
      <c r="J35" s="5" t="s">
        <v>1282</v>
      </c>
    </row>
    <row r="36" ht="15.75" customHeight="1">
      <c r="A36" s="7" t="s">
        <v>1284</v>
      </c>
      <c r="B36" s="8" t="s">
        <v>190</v>
      </c>
      <c r="C36" s="7" t="s">
        <v>1289</v>
      </c>
      <c r="D36" s="8" t="s">
        <v>1011</v>
      </c>
      <c r="E36" s="8" t="s">
        <v>1130</v>
      </c>
      <c r="F36" s="8" t="s">
        <v>940</v>
      </c>
      <c r="G36" s="8" t="s">
        <v>909</v>
      </c>
      <c r="H36" s="8" t="s">
        <v>582</v>
      </c>
      <c r="I36" s="7" t="s">
        <v>1294</v>
      </c>
      <c r="J36" s="8" t="s">
        <v>1282</v>
      </c>
    </row>
    <row r="37" ht="15.75" customHeight="1">
      <c r="A37" s="6" t="s">
        <v>1297</v>
      </c>
      <c r="B37" s="6"/>
      <c r="C37" s="6"/>
      <c r="D37" s="6"/>
      <c r="E37" s="6"/>
      <c r="F37" s="6"/>
      <c r="G37" s="6"/>
      <c r="H37" s="6"/>
      <c r="I37" s="6"/>
      <c r="J37" s="6"/>
    </row>
    <row r="38" ht="15.75" customHeight="1">
      <c r="A38" s="7" t="s">
        <v>1306</v>
      </c>
      <c r="B38" s="8" t="s">
        <v>210</v>
      </c>
      <c r="C38" s="7" t="s">
        <v>1308</v>
      </c>
      <c r="D38" s="8" t="s">
        <v>1011</v>
      </c>
      <c r="E38" s="8" t="s">
        <v>863</v>
      </c>
      <c r="F38" s="8" t="s">
        <v>1311</v>
      </c>
      <c r="G38" s="8" t="s">
        <v>865</v>
      </c>
      <c r="H38" s="8" t="s">
        <v>1113</v>
      </c>
      <c r="I38" s="7" t="s">
        <v>1315</v>
      </c>
      <c r="J38" s="8" t="s">
        <v>1316</v>
      </c>
    </row>
    <row r="39" ht="15.75" customHeight="1">
      <c r="A39" s="4" t="s">
        <v>1317</v>
      </c>
      <c r="B39" s="5" t="s">
        <v>210</v>
      </c>
      <c r="C39" s="4" t="s">
        <v>1318</v>
      </c>
      <c r="D39" s="5" t="s">
        <v>1011</v>
      </c>
      <c r="E39" s="5" t="s">
        <v>863</v>
      </c>
      <c r="F39" s="5" t="s">
        <v>287</v>
      </c>
      <c r="G39" s="5" t="s">
        <v>865</v>
      </c>
      <c r="H39" s="5" t="s">
        <v>582</v>
      </c>
      <c r="I39" s="4" t="s">
        <v>1326</v>
      </c>
      <c r="J39" s="5" t="s">
        <v>1316</v>
      </c>
    </row>
    <row r="40" ht="15.75" customHeight="1">
      <c r="A40" s="7" t="s">
        <v>1332</v>
      </c>
      <c r="B40" s="8" t="s">
        <v>210</v>
      </c>
      <c r="C40" s="7" t="s">
        <v>1336</v>
      </c>
      <c r="D40" s="8" t="s">
        <v>1011</v>
      </c>
      <c r="E40" s="8" t="s">
        <v>863</v>
      </c>
      <c r="F40" s="8" t="s">
        <v>287</v>
      </c>
      <c r="G40" s="8" t="s">
        <v>865</v>
      </c>
      <c r="H40" s="8" t="s">
        <v>582</v>
      </c>
      <c r="I40" s="7" t="s">
        <v>1342</v>
      </c>
      <c r="J40" s="8" t="s">
        <v>1344</v>
      </c>
    </row>
    <row r="41" ht="15.75" customHeight="1">
      <c r="A41" s="4" t="s">
        <v>1348</v>
      </c>
      <c r="B41" s="5" t="s">
        <v>210</v>
      </c>
      <c r="C41" s="4" t="s">
        <v>1350</v>
      </c>
      <c r="D41" s="5" t="s">
        <v>1011</v>
      </c>
      <c r="E41" s="5" t="s">
        <v>863</v>
      </c>
      <c r="F41" s="5" t="s">
        <v>287</v>
      </c>
      <c r="G41" s="5" t="s">
        <v>865</v>
      </c>
      <c r="H41" s="5" t="s">
        <v>582</v>
      </c>
      <c r="I41" s="4" t="s">
        <v>1360</v>
      </c>
      <c r="J41" s="5" t="s">
        <v>1344</v>
      </c>
    </row>
    <row r="42" ht="15.75" customHeight="1">
      <c r="A42" s="7" t="s">
        <v>1348</v>
      </c>
      <c r="B42" s="8" t="s">
        <v>210</v>
      </c>
      <c r="C42" s="7" t="s">
        <v>1363</v>
      </c>
      <c r="D42" s="8" t="s">
        <v>1011</v>
      </c>
      <c r="E42" s="8" t="s">
        <v>863</v>
      </c>
      <c r="F42" s="8" t="s">
        <v>287</v>
      </c>
      <c r="G42" s="8" t="s">
        <v>865</v>
      </c>
      <c r="H42" s="8" t="s">
        <v>582</v>
      </c>
      <c r="I42" s="7" t="s">
        <v>1369</v>
      </c>
      <c r="J42" s="8" t="s">
        <v>1344</v>
      </c>
    </row>
    <row r="43" ht="15.75" customHeight="1">
      <c r="A43" s="4" t="s">
        <v>1348</v>
      </c>
      <c r="B43" s="5" t="s">
        <v>210</v>
      </c>
      <c r="C43" s="4" t="s">
        <v>1374</v>
      </c>
      <c r="D43" s="5" t="s">
        <v>1011</v>
      </c>
      <c r="E43" s="5" t="s">
        <v>863</v>
      </c>
      <c r="F43" s="5" t="s">
        <v>287</v>
      </c>
      <c r="G43" s="5" t="s">
        <v>865</v>
      </c>
      <c r="H43" s="5" t="s">
        <v>582</v>
      </c>
      <c r="I43" s="4" t="s">
        <v>1378</v>
      </c>
      <c r="J43" s="5" t="s">
        <v>1344</v>
      </c>
    </row>
    <row r="44" ht="15.75" customHeight="1">
      <c r="A44" s="7" t="s">
        <v>1348</v>
      </c>
      <c r="B44" s="8" t="s">
        <v>210</v>
      </c>
      <c r="C44" s="7" t="s">
        <v>1385</v>
      </c>
      <c r="D44" s="8" t="s">
        <v>1011</v>
      </c>
      <c r="E44" s="8" t="s">
        <v>863</v>
      </c>
      <c r="F44" s="8" t="s">
        <v>287</v>
      </c>
      <c r="G44" s="8" t="s">
        <v>865</v>
      </c>
      <c r="H44" s="8" t="s">
        <v>582</v>
      </c>
      <c r="I44" s="7"/>
      <c r="J44" s="8"/>
    </row>
    <row r="45" ht="15.75" customHeight="1">
      <c r="A45" s="4" t="s">
        <v>1348</v>
      </c>
      <c r="B45" s="5" t="s">
        <v>210</v>
      </c>
      <c r="C45" s="4" t="s">
        <v>1399</v>
      </c>
      <c r="D45" s="5" t="s">
        <v>1011</v>
      </c>
      <c r="E45" s="5" t="s">
        <v>863</v>
      </c>
      <c r="F45" s="5" t="s">
        <v>287</v>
      </c>
      <c r="G45" s="5" t="s">
        <v>865</v>
      </c>
      <c r="H45" s="5" t="s">
        <v>582</v>
      </c>
      <c r="I45" s="4" t="s">
        <v>1402</v>
      </c>
      <c r="J45" s="5" t="s">
        <v>1344</v>
      </c>
    </row>
    <row r="46" ht="15.75" customHeight="1">
      <c r="A46" s="7" t="s">
        <v>1403</v>
      </c>
      <c r="B46" s="8" t="s">
        <v>210</v>
      </c>
      <c r="C46" s="7" t="s">
        <v>1405</v>
      </c>
      <c r="D46" s="8" t="s">
        <v>1011</v>
      </c>
      <c r="E46" s="8" t="s">
        <v>1130</v>
      </c>
      <c r="F46" s="8" t="s">
        <v>287</v>
      </c>
      <c r="G46" s="8" t="s">
        <v>865</v>
      </c>
      <c r="H46" s="8" t="s">
        <v>582</v>
      </c>
      <c r="I46" s="7" t="s">
        <v>1413</v>
      </c>
      <c r="J46" s="8"/>
    </row>
    <row r="47" ht="15.75" customHeight="1">
      <c r="A47" s="4" t="s">
        <v>1417</v>
      </c>
      <c r="B47" s="5" t="s">
        <v>210</v>
      </c>
      <c r="C47" s="4" t="s">
        <v>1419</v>
      </c>
      <c r="D47" s="5" t="s">
        <v>1011</v>
      </c>
      <c r="E47" s="5" t="s">
        <v>863</v>
      </c>
      <c r="F47" s="5" t="s">
        <v>888</v>
      </c>
      <c r="G47" s="5" t="s">
        <v>909</v>
      </c>
      <c r="H47" s="5" t="s">
        <v>582</v>
      </c>
      <c r="I47" s="4"/>
      <c r="J47" s="5" t="s">
        <v>1425</v>
      </c>
    </row>
    <row r="48" ht="15.75" customHeight="1">
      <c r="A48" s="7" t="s">
        <v>1426</v>
      </c>
      <c r="B48" s="8" t="s">
        <v>210</v>
      </c>
      <c r="C48" s="7" t="s">
        <v>1428</v>
      </c>
      <c r="D48" s="8" t="s">
        <v>1431</v>
      </c>
      <c r="E48" s="8" t="s">
        <v>863</v>
      </c>
      <c r="F48" s="8" t="s">
        <v>888</v>
      </c>
      <c r="G48" s="8" t="s">
        <v>909</v>
      </c>
      <c r="H48" s="8" t="s">
        <v>582</v>
      </c>
      <c r="I48" s="7" t="s">
        <v>1436</v>
      </c>
      <c r="J48" s="8" t="s">
        <v>1425</v>
      </c>
    </row>
    <row r="49" ht="15.75" customHeight="1">
      <c r="A49" s="4" t="s">
        <v>1438</v>
      </c>
      <c r="B49" s="5" t="s">
        <v>210</v>
      </c>
      <c r="C49" s="4" t="s">
        <v>1440</v>
      </c>
      <c r="D49" s="5" t="s">
        <v>1011</v>
      </c>
      <c r="E49" s="5" t="s">
        <v>1130</v>
      </c>
      <c r="F49" s="5" t="s">
        <v>1443</v>
      </c>
      <c r="G49" s="5" t="s">
        <v>909</v>
      </c>
      <c r="H49" s="5" t="s">
        <v>582</v>
      </c>
      <c r="I49" s="4" t="s">
        <v>1448</v>
      </c>
      <c r="J49" s="5"/>
    </row>
    <row r="50" ht="15.75" customHeight="1">
      <c r="A50" s="7" t="s">
        <v>1452</v>
      </c>
      <c r="B50" s="8" t="s">
        <v>210</v>
      </c>
      <c r="C50" s="7" t="s">
        <v>1454</v>
      </c>
      <c r="D50" s="8" t="s">
        <v>1011</v>
      </c>
      <c r="E50" s="8" t="s">
        <v>863</v>
      </c>
      <c r="F50" s="8" t="s">
        <v>888</v>
      </c>
      <c r="G50" s="8" t="s">
        <v>909</v>
      </c>
      <c r="H50" s="8" t="s">
        <v>582</v>
      </c>
      <c r="I50" s="7" t="s">
        <v>1459</v>
      </c>
      <c r="J50" s="8" t="s">
        <v>1462</v>
      </c>
    </row>
    <row r="51" ht="15.75" customHeight="1">
      <c r="A51" s="4" t="s">
        <v>1464</v>
      </c>
      <c r="B51" s="5" t="s">
        <v>210</v>
      </c>
      <c r="C51" s="4" t="s">
        <v>1469</v>
      </c>
      <c r="D51" s="5" t="s">
        <v>1011</v>
      </c>
      <c r="E51" s="5" t="s">
        <v>863</v>
      </c>
      <c r="F51" s="5" t="s">
        <v>888</v>
      </c>
      <c r="G51" s="5" t="s">
        <v>909</v>
      </c>
      <c r="H51" s="5" t="s">
        <v>582</v>
      </c>
      <c r="I51" s="4"/>
      <c r="J51" s="5" t="s">
        <v>1462</v>
      </c>
    </row>
    <row r="52" ht="15.75" customHeight="1">
      <c r="A52" s="7" t="s">
        <v>1476</v>
      </c>
      <c r="B52" s="8" t="s">
        <v>210</v>
      </c>
      <c r="C52" s="7" t="s">
        <v>1481</v>
      </c>
      <c r="D52" s="8" t="s">
        <v>1011</v>
      </c>
      <c r="E52" s="8" t="s">
        <v>863</v>
      </c>
      <c r="F52" s="8" t="s">
        <v>888</v>
      </c>
      <c r="G52" s="8" t="s">
        <v>909</v>
      </c>
      <c r="H52" s="8" t="s">
        <v>582</v>
      </c>
      <c r="I52" s="7" t="s">
        <v>1491</v>
      </c>
      <c r="J52" s="8" t="s">
        <v>1492</v>
      </c>
    </row>
    <row r="53" ht="15.75" customHeight="1">
      <c r="A53" s="4" t="s">
        <v>1495</v>
      </c>
      <c r="B53" s="5" t="s">
        <v>210</v>
      </c>
      <c r="C53" s="4" t="s">
        <v>1499</v>
      </c>
      <c r="D53" s="5" t="s">
        <v>1011</v>
      </c>
      <c r="E53" s="5" t="s">
        <v>1130</v>
      </c>
      <c r="F53" s="5" t="s">
        <v>461</v>
      </c>
      <c r="G53" s="5" t="s">
        <v>865</v>
      </c>
      <c r="H53" s="5" t="s">
        <v>582</v>
      </c>
      <c r="I53" s="4" t="s">
        <v>1502</v>
      </c>
      <c r="J53" s="5" t="s">
        <v>1504</v>
      </c>
    </row>
    <row r="54" ht="15.75" customHeight="1">
      <c r="A54" s="7" t="s">
        <v>1506</v>
      </c>
      <c r="B54" s="8" t="s">
        <v>210</v>
      </c>
      <c r="C54" s="7" t="s">
        <v>1509</v>
      </c>
      <c r="D54" s="8" t="s">
        <v>1011</v>
      </c>
      <c r="E54" s="8" t="s">
        <v>1130</v>
      </c>
      <c r="F54" s="8" t="s">
        <v>287</v>
      </c>
      <c r="G54" s="8" t="s">
        <v>865</v>
      </c>
      <c r="H54" s="8" t="s">
        <v>582</v>
      </c>
      <c r="I54" s="7" t="s">
        <v>1513</v>
      </c>
      <c r="J54" s="8" t="s">
        <v>1516</v>
      </c>
    </row>
    <row r="55" ht="15.75" customHeight="1">
      <c r="A55" s="4" t="s">
        <v>1518</v>
      </c>
      <c r="B55" s="5" t="s">
        <v>210</v>
      </c>
      <c r="C55" s="4" t="s">
        <v>1520</v>
      </c>
      <c r="D55" s="5" t="s">
        <v>1011</v>
      </c>
      <c r="E55" s="5" t="s">
        <v>1130</v>
      </c>
      <c r="F55" s="5" t="s">
        <v>1523</v>
      </c>
      <c r="G55" s="5" t="s">
        <v>865</v>
      </c>
      <c r="H55" s="5" t="s">
        <v>582</v>
      </c>
      <c r="I55" s="4" t="s">
        <v>1526</v>
      </c>
      <c r="J55" s="5"/>
    </row>
    <row r="56" ht="15.75" customHeight="1">
      <c r="A56" s="7" t="s">
        <v>1529</v>
      </c>
      <c r="B56" s="8" t="s">
        <v>210</v>
      </c>
      <c r="C56" s="7" t="s">
        <v>1531</v>
      </c>
      <c r="D56" s="8" t="s">
        <v>1011</v>
      </c>
      <c r="E56" s="8" t="s">
        <v>1130</v>
      </c>
      <c r="F56" s="8" t="s">
        <v>287</v>
      </c>
      <c r="G56" s="8" t="s">
        <v>865</v>
      </c>
      <c r="H56" s="8" t="s">
        <v>582</v>
      </c>
      <c r="I56" s="7" t="s">
        <v>1534</v>
      </c>
      <c r="J56" s="8"/>
    </row>
    <row r="57" ht="15.75" customHeight="1">
      <c r="A57" s="4" t="s">
        <v>1539</v>
      </c>
      <c r="B57" s="5" t="s">
        <v>210</v>
      </c>
      <c r="C57" s="4" t="s">
        <v>1540</v>
      </c>
      <c r="D57" s="5" t="s">
        <v>1011</v>
      </c>
      <c r="E57" s="5" t="s">
        <v>863</v>
      </c>
      <c r="F57" s="5" t="s">
        <v>287</v>
      </c>
      <c r="G57" s="5" t="s">
        <v>865</v>
      </c>
      <c r="H57" s="5" t="s">
        <v>582</v>
      </c>
      <c r="I57" s="4" t="s">
        <v>1547</v>
      </c>
      <c r="J57" s="5"/>
    </row>
    <row r="58" ht="15.75" customHeight="1">
      <c r="A58" s="6" t="s">
        <v>486</v>
      </c>
      <c r="B58" s="6"/>
      <c r="C58" s="6"/>
      <c r="D58" s="6"/>
      <c r="E58" s="6"/>
      <c r="F58" s="6"/>
      <c r="G58" s="6"/>
      <c r="H58" s="6"/>
      <c r="I58" s="6"/>
      <c r="J58" s="6"/>
    </row>
    <row r="59" ht="15.75" customHeight="1">
      <c r="A59" s="4" t="s">
        <v>1550</v>
      </c>
      <c r="B59" s="5" t="s">
        <v>224</v>
      </c>
      <c r="C59" s="4" t="s">
        <v>1551</v>
      </c>
      <c r="D59" s="5" t="s">
        <v>1011</v>
      </c>
      <c r="E59" s="5" t="s">
        <v>863</v>
      </c>
      <c r="F59" s="5" t="s">
        <v>888</v>
      </c>
      <c r="G59" s="5" t="s">
        <v>909</v>
      </c>
      <c r="H59" s="5" t="s">
        <v>582</v>
      </c>
      <c r="I59" s="4"/>
      <c r="J59" s="5" t="s">
        <v>1557</v>
      </c>
    </row>
    <row r="60" ht="15.75" customHeight="1">
      <c r="A60" s="7" t="s">
        <v>1558</v>
      </c>
      <c r="B60" s="8" t="s">
        <v>224</v>
      </c>
      <c r="C60" s="7" t="s">
        <v>1559</v>
      </c>
      <c r="D60" s="8" t="s">
        <v>1011</v>
      </c>
      <c r="E60" s="8" t="s">
        <v>863</v>
      </c>
      <c r="F60" s="8" t="s">
        <v>888</v>
      </c>
      <c r="G60" s="8" t="s">
        <v>909</v>
      </c>
      <c r="H60" s="8" t="s">
        <v>582</v>
      </c>
      <c r="I60" s="7"/>
      <c r="J60" s="8" t="s">
        <v>1563</v>
      </c>
    </row>
    <row r="61" ht="15.75" customHeight="1">
      <c r="A61" s="4" t="s">
        <v>1566</v>
      </c>
      <c r="B61" s="5" t="s">
        <v>224</v>
      </c>
      <c r="C61" s="4" t="s">
        <v>1567</v>
      </c>
      <c r="D61" s="5" t="s">
        <v>1011</v>
      </c>
      <c r="E61" s="5" t="s">
        <v>863</v>
      </c>
      <c r="F61" s="5" t="s">
        <v>888</v>
      </c>
      <c r="G61" s="5" t="s">
        <v>909</v>
      </c>
      <c r="H61" s="5" t="s">
        <v>582</v>
      </c>
      <c r="I61" s="4"/>
      <c r="J61" s="5" t="s">
        <v>1569</v>
      </c>
    </row>
    <row r="62" ht="15.75" customHeight="1">
      <c r="A62" s="7" t="s">
        <v>1571</v>
      </c>
      <c r="B62" s="8" t="s">
        <v>224</v>
      </c>
      <c r="C62" s="7" t="s">
        <v>1573</v>
      </c>
      <c r="D62" s="8" t="s">
        <v>1011</v>
      </c>
      <c r="E62" s="8" t="s">
        <v>863</v>
      </c>
      <c r="F62" s="8" t="s">
        <v>888</v>
      </c>
      <c r="G62" s="8" t="s">
        <v>909</v>
      </c>
      <c r="H62" s="8" t="s">
        <v>582</v>
      </c>
      <c r="I62" s="7" t="s">
        <v>1579</v>
      </c>
      <c r="J62" s="8" t="s">
        <v>1557</v>
      </c>
    </row>
    <row r="63" ht="15.75" customHeight="1">
      <c r="A63" s="4" t="s">
        <v>1580</v>
      </c>
      <c r="B63" s="5" t="s">
        <v>224</v>
      </c>
      <c r="C63" s="4" t="s">
        <v>1581</v>
      </c>
      <c r="D63" s="5" t="s">
        <v>1011</v>
      </c>
      <c r="E63" s="5" t="s">
        <v>863</v>
      </c>
      <c r="F63" s="5" t="s">
        <v>287</v>
      </c>
      <c r="G63" s="5" t="s">
        <v>865</v>
      </c>
      <c r="H63" s="5" t="s">
        <v>582</v>
      </c>
      <c r="I63" s="4" t="s">
        <v>1586</v>
      </c>
      <c r="J63" s="5" t="s">
        <v>1588</v>
      </c>
    </row>
    <row r="64" ht="15.75" customHeight="1">
      <c r="A64" s="7" t="s">
        <v>1590</v>
      </c>
      <c r="B64" s="8" t="s">
        <v>224</v>
      </c>
      <c r="C64" s="7" t="s">
        <v>1592</v>
      </c>
      <c r="D64" s="8" t="s">
        <v>1011</v>
      </c>
      <c r="E64" s="8" t="s">
        <v>1130</v>
      </c>
      <c r="F64" s="8" t="s">
        <v>461</v>
      </c>
      <c r="G64" s="8" t="s">
        <v>865</v>
      </c>
      <c r="H64" s="8" t="s">
        <v>582</v>
      </c>
      <c r="I64" s="7"/>
      <c r="J64" s="8" t="s">
        <v>1594</v>
      </c>
    </row>
    <row r="65" ht="15.75" customHeight="1">
      <c r="A65" s="4" t="s">
        <v>1595</v>
      </c>
      <c r="B65" s="5" t="s">
        <v>224</v>
      </c>
      <c r="C65" s="4" t="s">
        <v>1599</v>
      </c>
      <c r="D65" s="5" t="s">
        <v>1011</v>
      </c>
      <c r="E65" s="5" t="s">
        <v>1130</v>
      </c>
      <c r="F65" s="5" t="s">
        <v>287</v>
      </c>
      <c r="G65" s="5" t="s">
        <v>865</v>
      </c>
      <c r="H65" s="5" t="s">
        <v>582</v>
      </c>
      <c r="I65" s="4" t="s">
        <v>1601</v>
      </c>
      <c r="J65" s="5" t="s">
        <v>1603</v>
      </c>
    </row>
    <row r="66" ht="15.75" customHeight="1">
      <c r="A66" s="6" t="s">
        <v>558</v>
      </c>
      <c r="B66" s="6"/>
      <c r="C66" s="6"/>
      <c r="D66" s="6"/>
      <c r="E66" s="6"/>
      <c r="F66" s="6"/>
      <c r="G66" s="6"/>
      <c r="H66" s="6"/>
      <c r="I66" s="6"/>
      <c r="J66" s="6"/>
    </row>
    <row r="67" ht="15.75" customHeight="1">
      <c r="A67" s="4" t="s">
        <v>1604</v>
      </c>
      <c r="B67" s="5" t="s">
        <v>85</v>
      </c>
      <c r="C67" s="4" t="s">
        <v>1605</v>
      </c>
      <c r="D67" s="5" t="s">
        <v>1011</v>
      </c>
      <c r="E67" s="5" t="s">
        <v>863</v>
      </c>
      <c r="F67" s="5" t="s">
        <v>236</v>
      </c>
      <c r="G67" s="5" t="s">
        <v>865</v>
      </c>
      <c r="H67" s="5" t="s">
        <v>911</v>
      </c>
      <c r="I67" s="4" t="s">
        <v>1609</v>
      </c>
      <c r="J67" s="5" t="s">
        <v>1611</v>
      </c>
    </row>
    <row r="68" ht="15.75" customHeight="1">
      <c r="A68" s="7" t="s">
        <v>1613</v>
      </c>
      <c r="B68" s="8" t="s">
        <v>85</v>
      </c>
      <c r="C68" s="7" t="s">
        <v>1614</v>
      </c>
      <c r="D68" s="8" t="s">
        <v>1011</v>
      </c>
      <c r="E68" s="8" t="s">
        <v>863</v>
      </c>
      <c r="F68" s="8" t="s">
        <v>287</v>
      </c>
      <c r="G68" s="8" t="s">
        <v>865</v>
      </c>
      <c r="H68" s="8" t="s">
        <v>582</v>
      </c>
      <c r="I68" s="7" t="s">
        <v>1615</v>
      </c>
      <c r="J68" s="8"/>
    </row>
    <row r="69" ht="15.75" customHeight="1">
      <c r="A69" s="4" t="s">
        <v>1617</v>
      </c>
      <c r="B69" s="5" t="s">
        <v>85</v>
      </c>
      <c r="C69" s="4" t="s">
        <v>1620</v>
      </c>
      <c r="D69" s="5" t="s">
        <v>1011</v>
      </c>
      <c r="E69" s="5" t="s">
        <v>863</v>
      </c>
      <c r="F69" s="5" t="s">
        <v>888</v>
      </c>
      <c r="G69" s="5" t="s">
        <v>909</v>
      </c>
      <c r="H69" s="5" t="s">
        <v>582</v>
      </c>
      <c r="I69" s="4" t="s">
        <v>1624</v>
      </c>
      <c r="J69" s="5" t="s">
        <v>1625</v>
      </c>
    </row>
    <row r="70" ht="15.75" customHeight="1">
      <c r="A70" s="7" t="s">
        <v>1626</v>
      </c>
      <c r="B70" s="8" t="s">
        <v>85</v>
      </c>
      <c r="C70" s="7" t="s">
        <v>1627</v>
      </c>
      <c r="D70" s="8" t="s">
        <v>1629</v>
      </c>
      <c r="E70" s="8" t="s">
        <v>863</v>
      </c>
      <c r="F70" s="8" t="s">
        <v>1630</v>
      </c>
      <c r="G70" s="8" t="s">
        <v>909</v>
      </c>
      <c r="H70" s="8" t="s">
        <v>1041</v>
      </c>
      <c r="I70" s="7" t="s">
        <v>1633</v>
      </c>
      <c r="J70" s="8" t="s">
        <v>1635</v>
      </c>
    </row>
    <row r="71" ht="15.75" customHeight="1">
      <c r="A71" s="4" t="s">
        <v>1637</v>
      </c>
      <c r="B71" s="5" t="s">
        <v>85</v>
      </c>
      <c r="C71" s="4" t="s">
        <v>1638</v>
      </c>
      <c r="D71" s="5" t="s">
        <v>1629</v>
      </c>
      <c r="E71" s="5" t="s">
        <v>863</v>
      </c>
      <c r="F71" s="5" t="s">
        <v>287</v>
      </c>
      <c r="G71" s="5" t="s">
        <v>865</v>
      </c>
      <c r="H71" s="5" t="s">
        <v>1041</v>
      </c>
      <c r="I71" s="4"/>
      <c r="J71" s="5"/>
    </row>
    <row r="72" ht="15.75" customHeight="1">
      <c r="A72" s="7" t="s">
        <v>1642</v>
      </c>
      <c r="B72" s="8" t="s">
        <v>85</v>
      </c>
      <c r="C72" s="7" t="s">
        <v>1645</v>
      </c>
      <c r="D72" s="8" t="s">
        <v>1011</v>
      </c>
      <c r="E72" s="8" t="s">
        <v>863</v>
      </c>
      <c r="F72" s="8" t="s">
        <v>287</v>
      </c>
      <c r="G72" s="8" t="s">
        <v>865</v>
      </c>
      <c r="H72" s="8" t="s">
        <v>1041</v>
      </c>
      <c r="I72" s="7" t="s">
        <v>1647</v>
      </c>
      <c r="J72" s="8"/>
    </row>
    <row r="73" ht="15.75" customHeight="1">
      <c r="A73" s="4" t="s">
        <v>1648</v>
      </c>
      <c r="B73" s="5" t="s">
        <v>85</v>
      </c>
      <c r="C73" s="4" t="s">
        <v>1649</v>
      </c>
      <c r="D73" s="5" t="s">
        <v>999</v>
      </c>
      <c r="E73" s="5" t="s">
        <v>863</v>
      </c>
      <c r="F73" s="5" t="s">
        <v>287</v>
      </c>
      <c r="G73" s="5" t="s">
        <v>865</v>
      </c>
      <c r="H73" s="5" t="s">
        <v>1041</v>
      </c>
      <c r="I73" s="4" t="s">
        <v>1650</v>
      </c>
      <c r="J73" s="5"/>
    </row>
    <row r="74" ht="15.75" customHeight="1">
      <c r="A74" s="7" t="s">
        <v>1651</v>
      </c>
      <c r="B74" s="8" t="s">
        <v>85</v>
      </c>
      <c r="C74" s="7" t="s">
        <v>1653</v>
      </c>
      <c r="D74" s="8" t="s">
        <v>1011</v>
      </c>
      <c r="E74" s="8" t="s">
        <v>1130</v>
      </c>
      <c r="F74" s="8" t="s">
        <v>287</v>
      </c>
      <c r="G74" s="8" t="s">
        <v>865</v>
      </c>
      <c r="H74" s="8" t="s">
        <v>582</v>
      </c>
      <c r="I74" s="7" t="s">
        <v>1657</v>
      </c>
      <c r="J74" s="8"/>
    </row>
    <row r="75" ht="15.75" customHeight="1">
      <c r="A75" s="4" t="s">
        <v>1659</v>
      </c>
      <c r="B75" s="5" t="s">
        <v>85</v>
      </c>
      <c r="C75" s="4" t="s">
        <v>1660</v>
      </c>
      <c r="D75" s="5" t="s">
        <v>1011</v>
      </c>
      <c r="E75" s="5" t="s">
        <v>1130</v>
      </c>
      <c r="F75" s="5" t="s">
        <v>1661</v>
      </c>
      <c r="G75" s="5" t="s">
        <v>865</v>
      </c>
      <c r="H75" s="5" t="s">
        <v>582</v>
      </c>
      <c r="I75" s="4" t="s">
        <v>1667</v>
      </c>
      <c r="J75" s="5" t="s">
        <v>1668</v>
      </c>
    </row>
    <row r="76" ht="15.75" customHeight="1">
      <c r="A76" s="7" t="s">
        <v>1669</v>
      </c>
      <c r="B76" s="8" t="s">
        <v>85</v>
      </c>
      <c r="C76" s="7" t="s">
        <v>1670</v>
      </c>
      <c r="D76" s="8" t="s">
        <v>1011</v>
      </c>
      <c r="E76" s="8" t="s">
        <v>863</v>
      </c>
      <c r="F76" s="8" t="s">
        <v>1276</v>
      </c>
      <c r="G76" s="8" t="s">
        <v>865</v>
      </c>
      <c r="H76" s="8" t="s">
        <v>1041</v>
      </c>
      <c r="I76" s="7" t="s">
        <v>1675</v>
      </c>
      <c r="J76" s="8"/>
    </row>
    <row r="77" ht="15.75" customHeight="1">
      <c r="A77" s="4" t="s">
        <v>1676</v>
      </c>
      <c r="B77" s="5" t="s">
        <v>85</v>
      </c>
      <c r="C77" s="4" t="s">
        <v>1678</v>
      </c>
      <c r="D77" s="5" t="s">
        <v>1011</v>
      </c>
      <c r="E77" s="5" t="s">
        <v>1130</v>
      </c>
      <c r="F77" s="5" t="s">
        <v>245</v>
      </c>
      <c r="G77" s="5" t="s">
        <v>865</v>
      </c>
      <c r="H77" s="5" t="s">
        <v>911</v>
      </c>
      <c r="I77" s="4"/>
      <c r="J77" s="5" t="s">
        <v>1682</v>
      </c>
    </row>
    <row r="78" ht="15.75" customHeight="1">
      <c r="A78" s="6" t="s">
        <v>1684</v>
      </c>
      <c r="B78" s="6"/>
      <c r="C78" s="6"/>
      <c r="D78" s="6"/>
      <c r="E78" s="6"/>
      <c r="F78" s="6"/>
      <c r="G78" s="6"/>
      <c r="H78" s="6"/>
      <c r="I78" s="6"/>
      <c r="J78" s="6"/>
    </row>
    <row r="79" ht="15.75" customHeight="1">
      <c r="A79" s="4" t="s">
        <v>1686</v>
      </c>
      <c r="B79" s="5" t="s">
        <v>279</v>
      </c>
      <c r="C79" s="4" t="s">
        <v>1689</v>
      </c>
      <c r="D79" s="5" t="s">
        <v>1011</v>
      </c>
      <c r="E79" s="5" t="s">
        <v>1130</v>
      </c>
      <c r="F79" s="5" t="s">
        <v>1276</v>
      </c>
      <c r="G79" s="5" t="s">
        <v>909</v>
      </c>
      <c r="H79" s="5" t="s">
        <v>911</v>
      </c>
      <c r="I79" s="4" t="s">
        <v>1691</v>
      </c>
      <c r="J79" s="5" t="s">
        <v>1692</v>
      </c>
    </row>
    <row r="80" ht="15.75" customHeight="1">
      <c r="A80" s="7" t="s">
        <v>1693</v>
      </c>
      <c r="B80" s="8" t="s">
        <v>279</v>
      </c>
      <c r="C80" s="7" t="s">
        <v>1695</v>
      </c>
      <c r="D80" s="8" t="s">
        <v>1011</v>
      </c>
      <c r="E80" s="8" t="s">
        <v>1130</v>
      </c>
      <c r="F80" s="8" t="s">
        <v>287</v>
      </c>
      <c r="G80" s="8" t="s">
        <v>909</v>
      </c>
      <c r="H80" s="8" t="s">
        <v>911</v>
      </c>
      <c r="I80" s="7" t="s">
        <v>1699</v>
      </c>
      <c r="J80" s="8" t="s">
        <v>1700</v>
      </c>
    </row>
    <row r="81" ht="15.75" customHeight="1">
      <c r="A81" s="4" t="s">
        <v>1702</v>
      </c>
      <c r="B81" s="5" t="s">
        <v>279</v>
      </c>
      <c r="C81" s="4" t="s">
        <v>1703</v>
      </c>
      <c r="D81" s="5" t="s">
        <v>1011</v>
      </c>
      <c r="E81" s="5" t="s">
        <v>1130</v>
      </c>
      <c r="F81" s="5" t="s">
        <v>287</v>
      </c>
      <c r="G81" s="5" t="s">
        <v>865</v>
      </c>
      <c r="H81" s="5" t="s">
        <v>911</v>
      </c>
      <c r="I81" s="4"/>
      <c r="J81" s="5"/>
    </row>
    <row r="82" ht="15.75" customHeight="1">
      <c r="A82" s="7" t="s">
        <v>1706</v>
      </c>
      <c r="B82" s="8" t="s">
        <v>279</v>
      </c>
      <c r="C82" s="7" t="s">
        <v>1707</v>
      </c>
      <c r="D82" s="8" t="s">
        <v>1011</v>
      </c>
      <c r="E82" s="8" t="s">
        <v>1130</v>
      </c>
      <c r="F82" s="8" t="s">
        <v>287</v>
      </c>
      <c r="G82" s="8" t="s">
        <v>865</v>
      </c>
      <c r="H82" s="8" t="s">
        <v>911</v>
      </c>
      <c r="I82" s="7" t="s">
        <v>1708</v>
      </c>
      <c r="J82" s="8"/>
    </row>
    <row r="83" ht="15.75" customHeight="1">
      <c r="A83" s="6" t="s">
        <v>741</v>
      </c>
      <c r="B83" s="6"/>
      <c r="C83" s="6"/>
      <c r="D83" s="6"/>
      <c r="E83" s="6"/>
      <c r="F83" s="6"/>
      <c r="G83" s="6"/>
      <c r="H83" s="6"/>
      <c r="I83" s="6"/>
      <c r="J83" s="6"/>
    </row>
    <row r="84" ht="15.75" customHeight="1">
      <c r="A84" s="7" t="s">
        <v>1715</v>
      </c>
      <c r="B84" s="8" t="s">
        <v>112</v>
      </c>
      <c r="C84" s="7" t="s">
        <v>1716</v>
      </c>
      <c r="D84" s="8" t="s">
        <v>1011</v>
      </c>
      <c r="E84" s="8" t="s">
        <v>863</v>
      </c>
      <c r="F84" s="8" t="s">
        <v>245</v>
      </c>
      <c r="G84" s="8" t="s">
        <v>909</v>
      </c>
      <c r="H84" s="8" t="s">
        <v>582</v>
      </c>
      <c r="I84" s="7" t="s">
        <v>1719</v>
      </c>
      <c r="J84" s="8"/>
    </row>
    <row r="85" ht="15.75" customHeight="1">
      <c r="A85" s="4" t="s">
        <v>1722</v>
      </c>
      <c r="B85" s="5" t="s">
        <v>112</v>
      </c>
      <c r="C85" s="4" t="s">
        <v>1723</v>
      </c>
      <c r="D85" s="5" t="s">
        <v>1011</v>
      </c>
      <c r="E85" s="5" t="s">
        <v>863</v>
      </c>
      <c r="F85" s="5" t="s">
        <v>245</v>
      </c>
      <c r="G85" s="5" t="s">
        <v>909</v>
      </c>
      <c r="H85" s="5" t="s">
        <v>582</v>
      </c>
      <c r="I85" s="4" t="s">
        <v>771</v>
      </c>
      <c r="J85" s="5" t="s">
        <v>1682</v>
      </c>
    </row>
    <row r="86" ht="15.75" customHeight="1">
      <c r="A86" s="7" t="s">
        <v>1726</v>
      </c>
      <c r="B86" s="8" t="s">
        <v>112</v>
      </c>
      <c r="C86" s="7" t="s">
        <v>1728</v>
      </c>
      <c r="D86" s="8" t="s">
        <v>1011</v>
      </c>
      <c r="E86" s="8" t="s">
        <v>863</v>
      </c>
      <c r="F86" s="8" t="s">
        <v>888</v>
      </c>
      <c r="G86" s="8" t="s">
        <v>909</v>
      </c>
      <c r="H86" s="8" t="s">
        <v>582</v>
      </c>
      <c r="I86" s="7" t="s">
        <v>1733</v>
      </c>
      <c r="J86" s="8" t="s">
        <v>1734</v>
      </c>
    </row>
    <row r="87" ht="15.75" customHeight="1">
      <c r="A87" s="4" t="s">
        <v>1735</v>
      </c>
      <c r="B87" s="5" t="s">
        <v>112</v>
      </c>
      <c r="C87" s="4" t="s">
        <v>1736</v>
      </c>
      <c r="D87" s="5" t="s">
        <v>1011</v>
      </c>
      <c r="E87" s="5" t="s">
        <v>1130</v>
      </c>
      <c r="F87" s="5" t="s">
        <v>287</v>
      </c>
      <c r="G87" s="5" t="s">
        <v>865</v>
      </c>
      <c r="H87" s="5" t="s">
        <v>911</v>
      </c>
      <c r="I87" s="4" t="s">
        <v>1740</v>
      </c>
      <c r="J87" s="5" t="s">
        <v>1734</v>
      </c>
    </row>
    <row r="88" ht="15.75" customHeight="1">
      <c r="A88" s="7" t="s">
        <v>1742</v>
      </c>
      <c r="B88" s="8" t="s">
        <v>112</v>
      </c>
      <c r="C88" s="7" t="s">
        <v>1745</v>
      </c>
      <c r="D88" s="8" t="s">
        <v>1011</v>
      </c>
      <c r="E88" s="8" t="s">
        <v>1130</v>
      </c>
      <c r="F88" s="8" t="s">
        <v>287</v>
      </c>
      <c r="G88" s="8" t="s">
        <v>909</v>
      </c>
      <c r="H88" s="8" t="s">
        <v>1041</v>
      </c>
      <c r="I88" s="7" t="s">
        <v>1747</v>
      </c>
      <c r="J88" s="8"/>
    </row>
    <row r="89" ht="15.75" customHeight="1">
      <c r="A89" s="4" t="s">
        <v>1748</v>
      </c>
      <c r="B89" s="5" t="s">
        <v>112</v>
      </c>
      <c r="C89" s="4" t="s">
        <v>1749</v>
      </c>
      <c r="D89" s="5" t="s">
        <v>1011</v>
      </c>
      <c r="E89" s="5" t="s">
        <v>863</v>
      </c>
      <c r="F89" s="5" t="s">
        <v>287</v>
      </c>
      <c r="G89" s="5" t="s">
        <v>865</v>
      </c>
      <c r="H89" s="5" t="s">
        <v>1041</v>
      </c>
      <c r="I89" s="4" t="s">
        <v>1750</v>
      </c>
      <c r="J89" s="5"/>
    </row>
    <row r="90" ht="15.75" customHeight="1">
      <c r="A90" s="6" t="s">
        <v>1751</v>
      </c>
      <c r="B90" s="6"/>
      <c r="C90" s="6"/>
      <c r="D90" s="6"/>
      <c r="E90" s="6"/>
      <c r="F90" s="6"/>
      <c r="G90" s="6"/>
      <c r="H90" s="6"/>
      <c r="I90" s="6"/>
      <c r="J90" s="6"/>
    </row>
    <row r="91" ht="15.75" customHeight="1">
      <c r="A91" s="4" t="s">
        <v>1758</v>
      </c>
      <c r="B91" s="5" t="s">
        <v>257</v>
      </c>
      <c r="C91" s="4" t="s">
        <v>1761</v>
      </c>
      <c r="D91" s="5" t="s">
        <v>1011</v>
      </c>
      <c r="E91" s="5" t="s">
        <v>863</v>
      </c>
      <c r="F91" s="5" t="s">
        <v>888</v>
      </c>
      <c r="G91" s="5" t="s">
        <v>909</v>
      </c>
      <c r="H91" s="5" t="s">
        <v>582</v>
      </c>
      <c r="I91" s="4" t="s">
        <v>1762</v>
      </c>
      <c r="J91" s="5" t="s">
        <v>1764</v>
      </c>
    </row>
    <row r="92" ht="15.75" customHeight="1">
      <c r="A92" s="7" t="s">
        <v>1765</v>
      </c>
      <c r="B92" s="8" t="s">
        <v>257</v>
      </c>
      <c r="C92" s="7" t="s">
        <v>1768</v>
      </c>
      <c r="D92" s="8" t="s">
        <v>1011</v>
      </c>
      <c r="E92" s="8" t="s">
        <v>1130</v>
      </c>
      <c r="F92" s="8" t="s">
        <v>1771</v>
      </c>
      <c r="G92" s="8" t="s">
        <v>865</v>
      </c>
      <c r="H92" s="8" t="s">
        <v>582</v>
      </c>
      <c r="I92" s="7" t="s">
        <v>1773</v>
      </c>
      <c r="J92" s="8" t="s">
        <v>1764</v>
      </c>
    </row>
    <row r="93" ht="15.75" customHeight="1">
      <c r="A93" s="4" t="s">
        <v>1774</v>
      </c>
      <c r="B93" s="5" t="s">
        <v>308</v>
      </c>
      <c r="C93" s="4" t="s">
        <v>1775</v>
      </c>
      <c r="D93" s="5" t="s">
        <v>1011</v>
      </c>
      <c r="E93" s="5" t="s">
        <v>1130</v>
      </c>
      <c r="F93" s="5" t="s">
        <v>525</v>
      </c>
      <c r="G93" s="5" t="s">
        <v>909</v>
      </c>
      <c r="H93" s="5" t="s">
        <v>582</v>
      </c>
      <c r="I93" s="4"/>
      <c r="J93" s="5" t="s">
        <v>1668</v>
      </c>
    </row>
    <row r="94" ht="15.75" customHeight="1">
      <c r="A94" s="7" t="s">
        <v>1780</v>
      </c>
      <c r="B94" s="8" t="s">
        <v>308</v>
      </c>
      <c r="C94" s="7" t="s">
        <v>1782</v>
      </c>
      <c r="D94" s="8" t="s">
        <v>1011</v>
      </c>
      <c r="E94" s="8" t="s">
        <v>1130</v>
      </c>
      <c r="F94" s="8" t="s">
        <v>525</v>
      </c>
      <c r="G94" s="8" t="s">
        <v>865</v>
      </c>
      <c r="H94" s="8" t="s">
        <v>582</v>
      </c>
      <c r="I94" s="7" t="s">
        <v>1784</v>
      </c>
      <c r="J94" s="8" t="s">
        <v>1668</v>
      </c>
    </row>
    <row r="95" ht="15.75" customHeight="1">
      <c r="A95" s="4" t="s">
        <v>1786</v>
      </c>
      <c r="B95" s="5" t="s">
        <v>308</v>
      </c>
      <c r="C95" s="4" t="s">
        <v>1788</v>
      </c>
      <c r="D95" s="5" t="s">
        <v>1011</v>
      </c>
      <c r="E95" s="5" t="s">
        <v>1130</v>
      </c>
      <c r="F95" s="5" t="s">
        <v>287</v>
      </c>
      <c r="G95" s="5" t="s">
        <v>865</v>
      </c>
      <c r="H95" s="5" t="s">
        <v>582</v>
      </c>
      <c r="I95" s="4" t="s">
        <v>1205</v>
      </c>
      <c r="J95" s="5" t="s">
        <v>1668</v>
      </c>
    </row>
    <row r="96" ht="15.75" customHeight="1">
      <c r="A96" s="7" t="s">
        <v>1791</v>
      </c>
      <c r="B96" s="8" t="s">
        <v>308</v>
      </c>
      <c r="C96" s="7" t="s">
        <v>1793</v>
      </c>
      <c r="D96" s="8" t="s">
        <v>1011</v>
      </c>
      <c r="E96" s="8" t="s">
        <v>1130</v>
      </c>
      <c r="F96" s="8" t="s">
        <v>1795</v>
      </c>
      <c r="G96" s="8" t="s">
        <v>865</v>
      </c>
      <c r="H96" s="8" t="s">
        <v>582</v>
      </c>
      <c r="I96" s="7" t="s">
        <v>1798</v>
      </c>
      <c r="J96" s="8" t="s">
        <v>1799</v>
      </c>
    </row>
    <row r="97" ht="15.75" customHeight="1">
      <c r="A97" s="4" t="s">
        <v>1800</v>
      </c>
      <c r="B97" s="5" t="s">
        <v>308</v>
      </c>
      <c r="C97" s="4" t="s">
        <v>1801</v>
      </c>
      <c r="D97" s="5" t="s">
        <v>1011</v>
      </c>
      <c r="E97" s="5" t="s">
        <v>863</v>
      </c>
      <c r="F97" s="5" t="s">
        <v>525</v>
      </c>
      <c r="G97" s="5" t="s">
        <v>909</v>
      </c>
      <c r="H97" s="5" t="s">
        <v>582</v>
      </c>
      <c r="I97" s="4"/>
      <c r="J97" s="5" t="s">
        <v>1803</v>
      </c>
    </row>
    <row r="98" ht="15.75" customHeight="1">
      <c r="A98" s="7" t="s">
        <v>1804</v>
      </c>
      <c r="B98" s="8" t="s">
        <v>308</v>
      </c>
      <c r="C98" s="7" t="s">
        <v>1805</v>
      </c>
      <c r="D98" s="8" t="s">
        <v>1011</v>
      </c>
      <c r="E98" s="8" t="s">
        <v>1130</v>
      </c>
      <c r="F98" s="8" t="s">
        <v>525</v>
      </c>
      <c r="G98" s="8" t="s">
        <v>865</v>
      </c>
      <c r="H98" s="8" t="s">
        <v>1113</v>
      </c>
      <c r="I98" s="7" t="s">
        <v>1807</v>
      </c>
      <c r="J98" s="8" t="s">
        <v>1803</v>
      </c>
    </row>
    <row r="99" ht="15.75" customHeight="1">
      <c r="A99" s="4" t="s">
        <v>1809</v>
      </c>
      <c r="B99" s="5" t="s">
        <v>290</v>
      </c>
      <c r="C99" s="4" t="s">
        <v>1812</v>
      </c>
      <c r="D99" s="5" t="s">
        <v>1011</v>
      </c>
      <c r="E99" s="5" t="s">
        <v>1130</v>
      </c>
      <c r="F99" s="5" t="s">
        <v>287</v>
      </c>
      <c r="G99" s="5" t="s">
        <v>865</v>
      </c>
      <c r="H99" s="5" t="s">
        <v>582</v>
      </c>
      <c r="I99" s="4" t="s">
        <v>1814</v>
      </c>
      <c r="J99" s="5" t="s">
        <v>1815</v>
      </c>
    </row>
    <row r="100" ht="15.75" customHeight="1">
      <c r="A100" s="6" t="s">
        <v>1816</v>
      </c>
      <c r="B100" s="6"/>
      <c r="C100" s="6"/>
      <c r="D100" s="6"/>
      <c r="E100" s="6"/>
      <c r="F100" s="6"/>
      <c r="G100" s="6"/>
      <c r="H100" s="6"/>
      <c r="I100" s="6"/>
      <c r="J100" s="6"/>
    </row>
    <row r="101" ht="15.75" customHeight="1">
      <c r="A101" s="4" t="s">
        <v>1821</v>
      </c>
      <c r="B101" s="5" t="s">
        <v>290</v>
      </c>
      <c r="C101" s="4" t="s">
        <v>1823</v>
      </c>
      <c r="D101" s="5" t="s">
        <v>1011</v>
      </c>
      <c r="E101" s="5" t="s">
        <v>1130</v>
      </c>
      <c r="F101" s="5" t="s">
        <v>1824</v>
      </c>
      <c r="G101" s="5" t="s">
        <v>909</v>
      </c>
      <c r="H101" s="5" t="s">
        <v>582</v>
      </c>
      <c r="I101" s="4" t="s">
        <v>1826</v>
      </c>
      <c r="J101" s="5" t="s">
        <v>1827</v>
      </c>
    </row>
    <row r="102" ht="15.75" customHeight="1">
      <c r="A102" s="7" t="s">
        <v>1829</v>
      </c>
      <c r="B102" s="8" t="s">
        <v>290</v>
      </c>
      <c r="C102" s="7" t="s">
        <v>1831</v>
      </c>
      <c r="D102" s="8" t="s">
        <v>1011</v>
      </c>
      <c r="E102" s="8" t="s">
        <v>1130</v>
      </c>
      <c r="F102" s="8" t="s">
        <v>1185</v>
      </c>
      <c r="G102" s="8" t="s">
        <v>865</v>
      </c>
      <c r="H102" s="8" t="s">
        <v>1113</v>
      </c>
      <c r="I102" s="7" t="s">
        <v>1188</v>
      </c>
      <c r="J102" s="8"/>
    </row>
    <row r="103" ht="15.75" customHeight="1">
      <c r="A103" s="4" t="s">
        <v>1833</v>
      </c>
      <c r="B103" s="5" t="s">
        <v>300</v>
      </c>
      <c r="C103" s="4" t="s">
        <v>1835</v>
      </c>
      <c r="D103" s="5" t="s">
        <v>1011</v>
      </c>
      <c r="E103" s="5" t="s">
        <v>1130</v>
      </c>
      <c r="F103" s="5" t="s">
        <v>1837</v>
      </c>
      <c r="G103" s="5" t="s">
        <v>909</v>
      </c>
      <c r="H103" s="5" t="s">
        <v>911</v>
      </c>
      <c r="I103" s="4" t="s">
        <v>1841</v>
      </c>
      <c r="J103" s="5"/>
    </row>
    <row r="104" ht="15.75" customHeight="1">
      <c r="A104" s="7" t="s">
        <v>1844</v>
      </c>
      <c r="B104" s="8" t="s">
        <v>300</v>
      </c>
      <c r="C104" s="7" t="s">
        <v>1846</v>
      </c>
      <c r="D104" s="8" t="s">
        <v>1011</v>
      </c>
      <c r="E104" s="8" t="s">
        <v>1130</v>
      </c>
      <c r="F104" s="8" t="s">
        <v>1847</v>
      </c>
      <c r="G104" s="8" t="s">
        <v>865</v>
      </c>
      <c r="H104" s="8" t="s">
        <v>911</v>
      </c>
      <c r="I104" s="7" t="s">
        <v>1849</v>
      </c>
      <c r="J104" s="8"/>
    </row>
    <row r="105" ht="15.75" customHeight="1">
      <c r="A105" s="6" t="s">
        <v>1850</v>
      </c>
      <c r="B105" s="6"/>
      <c r="C105" s="6"/>
      <c r="D105" s="6"/>
      <c r="E105" s="6"/>
      <c r="F105" s="6"/>
      <c r="G105" s="6"/>
      <c r="H105" s="6"/>
      <c r="I105" s="6"/>
      <c r="J105" s="6"/>
    </row>
    <row r="106" ht="15.75" customHeight="1">
      <c r="A106" s="7" t="s">
        <v>1855</v>
      </c>
      <c r="B106" s="8" t="s">
        <v>317</v>
      </c>
      <c r="C106" s="7" t="s">
        <v>1856</v>
      </c>
      <c r="D106" s="8" t="s">
        <v>1011</v>
      </c>
      <c r="E106" s="8" t="s">
        <v>863</v>
      </c>
      <c r="F106" s="8" t="s">
        <v>1276</v>
      </c>
      <c r="G106" s="8" t="s">
        <v>909</v>
      </c>
      <c r="H106" s="8" t="s">
        <v>582</v>
      </c>
      <c r="I106" s="7" t="s">
        <v>1859</v>
      </c>
      <c r="J106" s="8" t="s">
        <v>1625</v>
      </c>
    </row>
    <row r="107" ht="15.75" customHeight="1">
      <c r="A107" s="4" t="s">
        <v>1862</v>
      </c>
      <c r="B107" s="5" t="s">
        <v>317</v>
      </c>
      <c r="C107" s="4" t="s">
        <v>1863</v>
      </c>
      <c r="D107" s="5" t="s">
        <v>1011</v>
      </c>
      <c r="E107" s="5" t="s">
        <v>863</v>
      </c>
      <c r="F107" s="5" t="s">
        <v>287</v>
      </c>
      <c r="G107" s="5" t="s">
        <v>865</v>
      </c>
      <c r="H107" s="5" t="s">
        <v>911</v>
      </c>
      <c r="I107" s="4" t="s">
        <v>1866</v>
      </c>
      <c r="J107" s="5" t="s">
        <v>1625</v>
      </c>
    </row>
    <row r="108" ht="15.75" customHeight="1">
      <c r="A108" s="7" t="s">
        <v>1867</v>
      </c>
      <c r="B108" s="8" t="s">
        <v>317</v>
      </c>
      <c r="C108" s="7" t="s">
        <v>1868</v>
      </c>
      <c r="D108" s="8" t="s">
        <v>1011</v>
      </c>
      <c r="E108" s="8" t="s">
        <v>863</v>
      </c>
      <c r="F108" s="8" t="s">
        <v>287</v>
      </c>
      <c r="G108" s="8" t="s">
        <v>865</v>
      </c>
      <c r="H108" s="8" t="s">
        <v>911</v>
      </c>
      <c r="I108" s="7" t="s">
        <v>1869</v>
      </c>
      <c r="J108" s="8"/>
    </row>
    <row r="109" ht="15.75" customHeight="1">
      <c r="A109" s="4" t="s">
        <v>1870</v>
      </c>
      <c r="B109" s="5" t="s">
        <v>317</v>
      </c>
      <c r="C109" s="4" t="s">
        <v>1872</v>
      </c>
      <c r="D109" s="5" t="s">
        <v>1011</v>
      </c>
      <c r="E109" s="5" t="s">
        <v>863</v>
      </c>
      <c r="F109" s="5" t="s">
        <v>287</v>
      </c>
      <c r="G109" s="5" t="s">
        <v>865</v>
      </c>
      <c r="H109" s="5" t="s">
        <v>1113</v>
      </c>
      <c r="I109" s="4" t="s">
        <v>1878</v>
      </c>
      <c r="J109" s="5" t="s">
        <v>1880</v>
      </c>
    </row>
    <row r="110" ht="15.75" customHeight="1">
      <c r="A110" s="7" t="s">
        <v>1881</v>
      </c>
      <c r="B110" s="8" t="s">
        <v>317</v>
      </c>
      <c r="C110" s="7" t="s">
        <v>1882</v>
      </c>
      <c r="D110" s="8" t="s">
        <v>1011</v>
      </c>
      <c r="E110" s="8" t="s">
        <v>863</v>
      </c>
      <c r="F110" s="8" t="s">
        <v>888</v>
      </c>
      <c r="G110" s="8" t="s">
        <v>909</v>
      </c>
      <c r="H110" s="8" t="s">
        <v>582</v>
      </c>
      <c r="I110" s="7" t="s">
        <v>1886</v>
      </c>
      <c r="J110" s="8" t="s">
        <v>1880</v>
      </c>
    </row>
    <row r="111" ht="15.75" customHeight="1">
      <c r="A111" s="4" t="s">
        <v>1889</v>
      </c>
      <c r="B111" s="5" t="s">
        <v>317</v>
      </c>
      <c r="C111" s="4" t="s">
        <v>1892</v>
      </c>
      <c r="D111" s="5" t="s">
        <v>1011</v>
      </c>
      <c r="E111" s="5" t="s">
        <v>863</v>
      </c>
      <c r="F111" s="5" t="s">
        <v>287</v>
      </c>
      <c r="G111" s="5" t="s">
        <v>865</v>
      </c>
      <c r="H111" s="5" t="s">
        <v>911</v>
      </c>
      <c r="I111" s="4" t="s">
        <v>1421</v>
      </c>
      <c r="J111" s="5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111"/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2.0"/>
    <col customWidth="1" min="3" max="3" width="8.0"/>
    <col customWidth="1" min="4" max="4" width="24.0"/>
    <col customWidth="1" min="5" max="5" width="22.0"/>
    <col customWidth="1" min="6" max="6" width="56.0"/>
    <col customWidth="1" min="7" max="7" width="36.0"/>
    <col customWidth="1" min="8" max="8" width="32.0"/>
    <col customWidth="1" min="9" max="9" width="18.0"/>
    <col customWidth="1" min="10" max="10" width="20.0"/>
    <col customWidth="1" min="11" max="26" width="8.71"/>
  </cols>
  <sheetData>
    <row r="1" ht="19.5" customHeight="1">
      <c r="A1" s="1" t="s">
        <v>1919</v>
      </c>
    </row>
    <row r="2" ht="25.5" customHeight="1">
      <c r="A2" s="2" t="s">
        <v>1923</v>
      </c>
    </row>
    <row r="4" ht="30.0" customHeight="1">
      <c r="A4" s="3" t="s">
        <v>105</v>
      </c>
      <c r="B4" s="3" t="s">
        <v>510</v>
      </c>
      <c r="C4" s="3" t="s">
        <v>69</v>
      </c>
      <c r="D4" s="3" t="s">
        <v>1934</v>
      </c>
      <c r="E4" s="3" t="s">
        <v>169</v>
      </c>
      <c r="F4" s="3" t="s">
        <v>1936</v>
      </c>
      <c r="G4" s="3" t="s">
        <v>1937</v>
      </c>
      <c r="H4" s="3" t="s">
        <v>1938</v>
      </c>
      <c r="I4" s="3" t="s">
        <v>1939</v>
      </c>
      <c r="J4" s="3" t="s">
        <v>1940</v>
      </c>
    </row>
    <row r="5">
      <c r="A5" s="6" t="s">
        <v>1941</v>
      </c>
      <c r="B5" s="6"/>
      <c r="C5" s="6"/>
      <c r="D5" s="6"/>
      <c r="E5" s="6"/>
      <c r="F5" s="6"/>
      <c r="G5" s="6"/>
      <c r="H5" s="6"/>
      <c r="I5" s="6"/>
      <c r="J5" s="6"/>
    </row>
    <row r="6">
      <c r="A6" s="8" t="s">
        <v>541</v>
      </c>
      <c r="B6" s="7" t="s">
        <v>1948</v>
      </c>
      <c r="C6" s="8" t="s">
        <v>154</v>
      </c>
      <c r="D6" s="8" t="s">
        <v>204</v>
      </c>
      <c r="E6" s="8" t="s">
        <v>1951</v>
      </c>
      <c r="F6" s="7" t="s">
        <v>1952</v>
      </c>
      <c r="G6" s="7" t="s">
        <v>1954</v>
      </c>
      <c r="H6" s="7" t="s">
        <v>1956</v>
      </c>
      <c r="I6" s="8" t="s">
        <v>865</v>
      </c>
      <c r="J6" s="8" t="s">
        <v>187</v>
      </c>
    </row>
    <row r="7">
      <c r="A7" s="5" t="s">
        <v>783</v>
      </c>
      <c r="B7" s="4" t="s">
        <v>1961</v>
      </c>
      <c r="C7" s="5" t="s">
        <v>190</v>
      </c>
      <c r="D7" s="5" t="s">
        <v>1963</v>
      </c>
      <c r="E7" s="5" t="s">
        <v>1965</v>
      </c>
      <c r="F7" s="4" t="s">
        <v>1968</v>
      </c>
      <c r="G7" s="4" t="s">
        <v>1972</v>
      </c>
      <c r="H7" s="4" t="s">
        <v>1975</v>
      </c>
      <c r="I7" s="5" t="s">
        <v>1976</v>
      </c>
      <c r="J7" s="5" t="s">
        <v>1979</v>
      </c>
    </row>
    <row r="8">
      <c r="A8" s="8" t="s">
        <v>878</v>
      </c>
      <c r="B8" s="7" t="s">
        <v>1983</v>
      </c>
      <c r="C8" s="8" t="s">
        <v>190</v>
      </c>
      <c r="D8" s="8" t="s">
        <v>331</v>
      </c>
      <c r="E8" s="8" t="s">
        <v>1951</v>
      </c>
      <c r="F8" s="7" t="s">
        <v>1986</v>
      </c>
      <c r="G8" s="7" t="s">
        <v>1988</v>
      </c>
      <c r="H8" s="7" t="s">
        <v>1989</v>
      </c>
      <c r="I8" s="8" t="s">
        <v>865</v>
      </c>
      <c r="J8" s="8" t="s">
        <v>1990</v>
      </c>
    </row>
    <row r="9">
      <c r="A9" s="5" t="s">
        <v>838</v>
      </c>
      <c r="B9" s="4" t="s">
        <v>1991</v>
      </c>
      <c r="C9" s="5" t="s">
        <v>190</v>
      </c>
      <c r="D9" s="5" t="s">
        <v>1142</v>
      </c>
      <c r="E9" s="5" t="s">
        <v>1951</v>
      </c>
      <c r="F9" s="4" t="s">
        <v>1992</v>
      </c>
      <c r="G9" s="4" t="s">
        <v>1994</v>
      </c>
      <c r="H9" s="4" t="s">
        <v>1142</v>
      </c>
      <c r="I9" s="5" t="s">
        <v>865</v>
      </c>
      <c r="J9" s="5" t="s">
        <v>364</v>
      </c>
    </row>
    <row r="10">
      <c r="A10" s="8" t="s">
        <v>1158</v>
      </c>
      <c r="B10" s="7" t="s">
        <v>2000</v>
      </c>
      <c r="C10" s="8" t="s">
        <v>190</v>
      </c>
      <c r="D10" s="8" t="s">
        <v>2004</v>
      </c>
      <c r="E10" s="8" t="s">
        <v>1951</v>
      </c>
      <c r="F10" s="7" t="s">
        <v>2006</v>
      </c>
      <c r="G10" s="7" t="s">
        <v>2008</v>
      </c>
      <c r="H10" s="7" t="s">
        <v>2010</v>
      </c>
      <c r="I10" s="8" t="s">
        <v>865</v>
      </c>
      <c r="J10" s="8" t="s">
        <v>2012</v>
      </c>
    </row>
    <row r="11">
      <c r="A11" s="5" t="s">
        <v>1264</v>
      </c>
      <c r="B11" s="4" t="s">
        <v>2014</v>
      </c>
      <c r="C11" s="5" t="s">
        <v>190</v>
      </c>
      <c r="D11" s="5" t="s">
        <v>914</v>
      </c>
      <c r="E11" s="5" t="s">
        <v>1965</v>
      </c>
      <c r="F11" s="4" t="s">
        <v>2019</v>
      </c>
      <c r="G11" s="4" t="s">
        <v>2021</v>
      </c>
      <c r="H11" s="4" t="s">
        <v>2023</v>
      </c>
      <c r="I11" s="5" t="s">
        <v>2025</v>
      </c>
      <c r="J11" s="5" t="s">
        <v>395</v>
      </c>
    </row>
    <row r="12">
      <c r="A12" s="6" t="s">
        <v>1297</v>
      </c>
      <c r="B12" s="6"/>
      <c r="C12" s="6"/>
      <c r="D12" s="6"/>
      <c r="E12" s="6"/>
      <c r="F12" s="6"/>
      <c r="G12" s="6"/>
      <c r="H12" s="6"/>
      <c r="I12" s="6"/>
      <c r="J12" s="6"/>
    </row>
    <row r="13">
      <c r="A13" s="5" t="s">
        <v>1335</v>
      </c>
      <c r="B13" s="4" t="s">
        <v>2034</v>
      </c>
      <c r="C13" s="5" t="s">
        <v>210</v>
      </c>
      <c r="D13" s="5" t="s">
        <v>461</v>
      </c>
      <c r="E13" s="5" t="s">
        <v>2039</v>
      </c>
      <c r="F13" s="4" t="s">
        <v>2040</v>
      </c>
      <c r="G13" s="4" t="s">
        <v>2043</v>
      </c>
      <c r="H13" s="4" t="s">
        <v>2045</v>
      </c>
      <c r="I13" s="5" t="s">
        <v>2046</v>
      </c>
      <c r="J13" s="5" t="s">
        <v>428</v>
      </c>
    </row>
    <row r="14">
      <c r="A14" s="8" t="s">
        <v>1712</v>
      </c>
      <c r="B14" s="7" t="s">
        <v>2050</v>
      </c>
      <c r="C14" s="8" t="s">
        <v>210</v>
      </c>
      <c r="D14" s="8" t="s">
        <v>461</v>
      </c>
      <c r="E14" s="8" t="s">
        <v>2053</v>
      </c>
      <c r="F14" s="7" t="s">
        <v>2054</v>
      </c>
      <c r="G14" s="7" t="s">
        <v>2057</v>
      </c>
      <c r="H14" s="7" t="s">
        <v>2045</v>
      </c>
      <c r="I14" s="8" t="s">
        <v>2059</v>
      </c>
      <c r="J14" s="8" t="s">
        <v>2061</v>
      </c>
    </row>
    <row r="15">
      <c r="A15" s="5" t="s">
        <v>1576</v>
      </c>
      <c r="B15" s="4" t="s">
        <v>2064</v>
      </c>
      <c r="C15" s="5" t="s">
        <v>210</v>
      </c>
      <c r="D15" s="5" t="s">
        <v>2066</v>
      </c>
      <c r="E15" s="5" t="s">
        <v>1965</v>
      </c>
      <c r="F15" s="4" t="s">
        <v>2068</v>
      </c>
      <c r="G15" s="4" t="s">
        <v>2070</v>
      </c>
      <c r="H15" s="4" t="s">
        <v>2071</v>
      </c>
      <c r="I15" s="5" t="s">
        <v>865</v>
      </c>
      <c r="J15" s="5" t="s">
        <v>2074</v>
      </c>
    </row>
    <row r="16">
      <c r="A16" s="8" t="s">
        <v>1757</v>
      </c>
      <c r="B16" s="7" t="s">
        <v>943</v>
      </c>
      <c r="C16" s="8" t="s">
        <v>210</v>
      </c>
      <c r="D16" s="8" t="s">
        <v>2078</v>
      </c>
      <c r="E16" s="8" t="s">
        <v>2079</v>
      </c>
      <c r="F16" s="7" t="s">
        <v>2081</v>
      </c>
      <c r="G16" s="7" t="s">
        <v>2082</v>
      </c>
      <c r="H16" s="7" t="s">
        <v>2083</v>
      </c>
      <c r="I16" s="8" t="s">
        <v>865</v>
      </c>
      <c r="J16" s="8" t="s">
        <v>458</v>
      </c>
    </row>
    <row r="17">
      <c r="A17" s="5" t="s">
        <v>1842</v>
      </c>
      <c r="B17" s="4" t="s">
        <v>2091</v>
      </c>
      <c r="C17" s="5" t="s">
        <v>210</v>
      </c>
      <c r="D17" s="5" t="s">
        <v>2094</v>
      </c>
      <c r="E17" s="5" t="s">
        <v>1951</v>
      </c>
      <c r="F17" s="4" t="s">
        <v>2097</v>
      </c>
      <c r="G17" s="4" t="s">
        <v>2098</v>
      </c>
      <c r="H17" s="4" t="s">
        <v>2099</v>
      </c>
      <c r="I17" s="5" t="s">
        <v>865</v>
      </c>
      <c r="J17" s="5" t="s">
        <v>465</v>
      </c>
    </row>
    <row r="18">
      <c r="A18" s="8" t="s">
        <v>1877</v>
      </c>
      <c r="B18" s="7" t="s">
        <v>2103</v>
      </c>
      <c r="C18" s="8" t="s">
        <v>210</v>
      </c>
      <c r="D18" s="8" t="s">
        <v>2066</v>
      </c>
      <c r="E18" s="8" t="s">
        <v>1951</v>
      </c>
      <c r="F18" s="7" t="s">
        <v>2108</v>
      </c>
      <c r="G18" s="7" t="s">
        <v>2110</v>
      </c>
      <c r="H18" s="7" t="s">
        <v>2099</v>
      </c>
      <c r="I18" s="8" t="s">
        <v>865</v>
      </c>
      <c r="J18" s="8" t="s">
        <v>472</v>
      </c>
    </row>
    <row r="19">
      <c r="A19" s="5" t="s">
        <v>1933</v>
      </c>
      <c r="B19" s="4" t="s">
        <v>2115</v>
      </c>
      <c r="C19" s="5" t="s">
        <v>210</v>
      </c>
      <c r="D19" s="5" t="s">
        <v>2117</v>
      </c>
      <c r="E19" s="5" t="s">
        <v>1951</v>
      </c>
      <c r="F19" s="4" t="s">
        <v>2119</v>
      </c>
      <c r="G19" s="4" t="s">
        <v>2120</v>
      </c>
      <c r="H19" s="4" t="s">
        <v>940</v>
      </c>
      <c r="I19" s="5" t="s">
        <v>865</v>
      </c>
      <c r="J19" s="5" t="s">
        <v>477</v>
      </c>
    </row>
    <row r="20">
      <c r="A20" s="8" t="s">
        <v>1946</v>
      </c>
      <c r="B20" s="7" t="s">
        <v>2128</v>
      </c>
      <c r="C20" s="8" t="s">
        <v>210</v>
      </c>
      <c r="D20" s="8" t="s">
        <v>468</v>
      </c>
      <c r="E20" s="8" t="s">
        <v>2053</v>
      </c>
      <c r="F20" s="7" t="s">
        <v>2134</v>
      </c>
      <c r="G20" s="7" t="s">
        <v>2135</v>
      </c>
      <c r="H20" s="7" t="s">
        <v>2136</v>
      </c>
      <c r="I20" s="8" t="s">
        <v>1976</v>
      </c>
      <c r="J20" s="8" t="s">
        <v>481</v>
      </c>
    </row>
    <row r="21" ht="15.75" customHeight="1">
      <c r="A21" s="6" t="s">
        <v>486</v>
      </c>
      <c r="B21" s="6"/>
      <c r="C21" s="6"/>
      <c r="D21" s="6"/>
      <c r="E21" s="6"/>
      <c r="F21" s="6"/>
      <c r="G21" s="6"/>
      <c r="H21" s="6"/>
      <c r="I21" s="6"/>
      <c r="J21" s="6"/>
    </row>
    <row r="22" ht="15.75" customHeight="1">
      <c r="A22" s="8" t="s">
        <v>2143</v>
      </c>
      <c r="B22" s="7" t="s">
        <v>2145</v>
      </c>
      <c r="C22" s="8" t="s">
        <v>224</v>
      </c>
      <c r="D22" s="8" t="s">
        <v>461</v>
      </c>
      <c r="E22" s="8" t="s">
        <v>2079</v>
      </c>
      <c r="F22" s="7" t="s">
        <v>2149</v>
      </c>
      <c r="G22" s="7" t="s">
        <v>2151</v>
      </c>
      <c r="H22" s="7" t="s">
        <v>2045</v>
      </c>
      <c r="I22" s="8" t="s">
        <v>2154</v>
      </c>
      <c r="J22" s="8" t="s">
        <v>2157</v>
      </c>
    </row>
    <row r="23" ht="15.75" customHeight="1">
      <c r="A23" s="5" t="s">
        <v>2159</v>
      </c>
      <c r="B23" s="4" t="s">
        <v>2161</v>
      </c>
      <c r="C23" s="5" t="s">
        <v>224</v>
      </c>
      <c r="D23" s="5" t="s">
        <v>914</v>
      </c>
      <c r="E23" s="5" t="s">
        <v>2053</v>
      </c>
      <c r="F23" s="4" t="s">
        <v>2164</v>
      </c>
      <c r="G23" s="4" t="s">
        <v>2166</v>
      </c>
      <c r="H23" s="4" t="s">
        <v>2167</v>
      </c>
      <c r="I23" s="5" t="s">
        <v>1976</v>
      </c>
      <c r="J23" s="5" t="s">
        <v>547</v>
      </c>
    </row>
    <row r="24" ht="15.75" customHeight="1">
      <c r="A24" s="8" t="s">
        <v>2170</v>
      </c>
      <c r="B24" s="7" t="s">
        <v>2172</v>
      </c>
      <c r="C24" s="8" t="s">
        <v>224</v>
      </c>
      <c r="D24" s="8" t="s">
        <v>160</v>
      </c>
      <c r="E24" s="8" t="s">
        <v>1951</v>
      </c>
      <c r="F24" s="7" t="s">
        <v>2178</v>
      </c>
      <c r="G24" s="7" t="s">
        <v>2180</v>
      </c>
      <c r="H24" s="7" t="s">
        <v>2181</v>
      </c>
      <c r="I24" s="8" t="s">
        <v>865</v>
      </c>
      <c r="J24" s="8" t="s">
        <v>2184</v>
      </c>
    </row>
    <row r="25" ht="15.75" customHeight="1">
      <c r="A25" s="6" t="s">
        <v>558</v>
      </c>
      <c r="B25" s="6"/>
      <c r="C25" s="6"/>
      <c r="D25" s="6"/>
      <c r="E25" s="6"/>
      <c r="F25" s="6"/>
      <c r="G25" s="6"/>
      <c r="H25" s="6"/>
      <c r="I25" s="6"/>
      <c r="J25" s="6"/>
    </row>
    <row r="26" ht="15.75" customHeight="1">
      <c r="A26" s="8" t="s">
        <v>2192</v>
      </c>
      <c r="B26" s="7" t="s">
        <v>2194</v>
      </c>
      <c r="C26" s="8" t="s">
        <v>85</v>
      </c>
      <c r="D26" s="8" t="s">
        <v>567</v>
      </c>
      <c r="E26" s="8" t="s">
        <v>1951</v>
      </c>
      <c r="F26" s="7" t="s">
        <v>2198</v>
      </c>
      <c r="G26" s="7" t="s">
        <v>2199</v>
      </c>
      <c r="H26" s="7" t="s">
        <v>2200</v>
      </c>
      <c r="I26" s="8" t="s">
        <v>865</v>
      </c>
      <c r="J26" s="8" t="s">
        <v>2203</v>
      </c>
    </row>
    <row r="27" ht="15.75" customHeight="1">
      <c r="A27" s="5" t="s">
        <v>2205</v>
      </c>
      <c r="B27" s="4" t="s">
        <v>587</v>
      </c>
      <c r="C27" s="5" t="s">
        <v>85</v>
      </c>
      <c r="D27" s="5" t="s">
        <v>567</v>
      </c>
      <c r="E27" s="5" t="s">
        <v>1951</v>
      </c>
      <c r="F27" s="4" t="s">
        <v>2211</v>
      </c>
      <c r="G27" s="4" t="s">
        <v>2214</v>
      </c>
      <c r="H27" s="4" t="s">
        <v>2216</v>
      </c>
      <c r="I27" s="5" t="s">
        <v>865</v>
      </c>
      <c r="J27" s="5" t="s">
        <v>586</v>
      </c>
    </row>
    <row r="28" ht="15.75" customHeight="1">
      <c r="A28" s="8" t="s">
        <v>2219</v>
      </c>
      <c r="B28" s="7" t="s">
        <v>2221</v>
      </c>
      <c r="C28" s="8" t="s">
        <v>85</v>
      </c>
      <c r="D28" s="8" t="s">
        <v>2223</v>
      </c>
      <c r="E28" s="8" t="s">
        <v>1951</v>
      </c>
      <c r="F28" s="7" t="s">
        <v>2225</v>
      </c>
      <c r="G28" s="7" t="s">
        <v>2228</v>
      </c>
      <c r="H28" s="7" t="s">
        <v>2229</v>
      </c>
      <c r="I28" s="8" t="s">
        <v>865</v>
      </c>
      <c r="J28" s="8" t="s">
        <v>2232</v>
      </c>
    </row>
    <row r="29" ht="15.75" customHeight="1">
      <c r="A29" s="5" t="s">
        <v>2235</v>
      </c>
      <c r="B29" s="4" t="s">
        <v>2237</v>
      </c>
      <c r="C29" s="5" t="s">
        <v>85</v>
      </c>
      <c r="D29" s="5" t="s">
        <v>461</v>
      </c>
      <c r="E29" s="5" t="s">
        <v>2053</v>
      </c>
      <c r="F29" s="4" t="s">
        <v>2242</v>
      </c>
      <c r="G29" s="4" t="s">
        <v>2243</v>
      </c>
      <c r="H29" s="4" t="s">
        <v>2045</v>
      </c>
      <c r="I29" s="5" t="s">
        <v>2245</v>
      </c>
      <c r="J29" s="5" t="s">
        <v>721</v>
      </c>
    </row>
    <row r="30" ht="15.75" customHeight="1">
      <c r="A30" s="8" t="s">
        <v>2249</v>
      </c>
      <c r="B30" s="7" t="s">
        <v>2250</v>
      </c>
      <c r="C30" s="8" t="s">
        <v>85</v>
      </c>
      <c r="D30" s="8" t="s">
        <v>461</v>
      </c>
      <c r="E30" s="8" t="s">
        <v>2053</v>
      </c>
      <c r="F30" s="7" t="s">
        <v>2253</v>
      </c>
      <c r="G30" s="7" t="s">
        <v>2254</v>
      </c>
      <c r="H30" s="7" t="s">
        <v>2045</v>
      </c>
      <c r="I30" s="8" t="s">
        <v>865</v>
      </c>
      <c r="J30" s="8" t="s">
        <v>638</v>
      </c>
    </row>
    <row r="31" ht="15.75" customHeight="1">
      <c r="A31" s="5" t="s">
        <v>2257</v>
      </c>
      <c r="B31" s="4" t="s">
        <v>2258</v>
      </c>
      <c r="C31" s="5" t="s">
        <v>85</v>
      </c>
      <c r="D31" s="5" t="s">
        <v>1276</v>
      </c>
      <c r="E31" s="5" t="s">
        <v>1951</v>
      </c>
      <c r="F31" s="4" t="s">
        <v>2263</v>
      </c>
      <c r="G31" s="4" t="s">
        <v>2264</v>
      </c>
      <c r="H31" s="4" t="s">
        <v>2265</v>
      </c>
      <c r="I31" s="5" t="s">
        <v>865</v>
      </c>
      <c r="J31" s="5" t="s">
        <v>2268</v>
      </c>
    </row>
    <row r="32" ht="15.75" customHeight="1">
      <c r="A32" s="8" t="s">
        <v>2270</v>
      </c>
      <c r="B32" s="7" t="s">
        <v>2272</v>
      </c>
      <c r="C32" s="8" t="s">
        <v>85</v>
      </c>
      <c r="D32" s="8" t="s">
        <v>2274</v>
      </c>
      <c r="E32" s="8" t="s">
        <v>1951</v>
      </c>
      <c r="F32" s="7" t="s">
        <v>2276</v>
      </c>
      <c r="G32" s="7" t="s">
        <v>2277</v>
      </c>
      <c r="H32" s="7" t="s">
        <v>2278</v>
      </c>
      <c r="I32" s="8" t="s">
        <v>865</v>
      </c>
      <c r="J32" s="8" t="s">
        <v>2280</v>
      </c>
    </row>
    <row r="33" ht="15.75" customHeight="1">
      <c r="A33" s="6" t="s">
        <v>969</v>
      </c>
      <c r="B33" s="6"/>
      <c r="C33" s="6"/>
      <c r="D33" s="6"/>
      <c r="E33" s="6"/>
      <c r="F33" s="6"/>
      <c r="G33" s="6"/>
      <c r="H33" s="6"/>
      <c r="I33" s="6"/>
      <c r="J33" s="6"/>
    </row>
    <row r="34" ht="15.75" customHeight="1">
      <c r="A34" s="8" t="s">
        <v>662</v>
      </c>
      <c r="B34" s="7" t="s">
        <v>2287</v>
      </c>
      <c r="C34" s="8" t="s">
        <v>272</v>
      </c>
      <c r="D34" s="8" t="s">
        <v>2289</v>
      </c>
      <c r="E34" s="8" t="s">
        <v>2292</v>
      </c>
      <c r="F34" s="7" t="s">
        <v>2293</v>
      </c>
      <c r="G34" s="7" t="s">
        <v>2295</v>
      </c>
      <c r="H34" s="7" t="s">
        <v>2297</v>
      </c>
      <c r="I34" s="8" t="s">
        <v>2299</v>
      </c>
      <c r="J34" s="8" t="s">
        <v>2302</v>
      </c>
    </row>
    <row r="35" ht="15.75" customHeight="1">
      <c r="A35" s="5" t="s">
        <v>2305</v>
      </c>
      <c r="B35" s="4" t="s">
        <v>2307</v>
      </c>
      <c r="C35" s="5" t="s">
        <v>272</v>
      </c>
      <c r="D35" s="5" t="s">
        <v>461</v>
      </c>
      <c r="E35" s="5" t="s">
        <v>2311</v>
      </c>
      <c r="F35" s="4" t="s">
        <v>2312</v>
      </c>
      <c r="G35" s="4" t="s">
        <v>2313</v>
      </c>
      <c r="H35" s="4" t="s">
        <v>2315</v>
      </c>
      <c r="I35" s="5" t="s">
        <v>865</v>
      </c>
      <c r="J35" s="5" t="s">
        <v>2317</v>
      </c>
    </row>
    <row r="36" ht="15.75" customHeight="1">
      <c r="A36" s="8" t="s">
        <v>2319</v>
      </c>
      <c r="B36" s="7" t="s">
        <v>2322</v>
      </c>
      <c r="C36" s="8" t="s">
        <v>272</v>
      </c>
      <c r="D36" s="8" t="s">
        <v>461</v>
      </c>
      <c r="E36" s="8" t="s">
        <v>2073</v>
      </c>
      <c r="F36" s="7" t="s">
        <v>2328</v>
      </c>
      <c r="G36" s="7" t="s">
        <v>2330</v>
      </c>
      <c r="H36" s="7" t="s">
        <v>2045</v>
      </c>
      <c r="I36" s="8" t="s">
        <v>2331</v>
      </c>
      <c r="J36" s="8" t="s">
        <v>976</v>
      </c>
    </row>
    <row r="37" ht="15.75" customHeight="1">
      <c r="A37" s="6" t="s">
        <v>1751</v>
      </c>
      <c r="B37" s="6"/>
      <c r="C37" s="6"/>
      <c r="D37" s="6"/>
      <c r="E37" s="6"/>
      <c r="F37" s="6"/>
      <c r="G37" s="6"/>
      <c r="H37" s="6"/>
      <c r="I37" s="6"/>
      <c r="J37" s="6"/>
    </row>
    <row r="38" ht="15.75" customHeight="1">
      <c r="A38" s="8" t="s">
        <v>2337</v>
      </c>
      <c r="B38" s="7" t="s">
        <v>2338</v>
      </c>
      <c r="C38" s="8" t="s">
        <v>257</v>
      </c>
      <c r="D38" s="8" t="s">
        <v>331</v>
      </c>
      <c r="E38" s="8" t="s">
        <v>1951</v>
      </c>
      <c r="F38" s="7" t="s">
        <v>2341</v>
      </c>
      <c r="G38" s="7" t="s">
        <v>2343</v>
      </c>
      <c r="H38" s="7" t="s">
        <v>2344</v>
      </c>
      <c r="I38" s="8" t="s">
        <v>865</v>
      </c>
      <c r="J38" s="8" t="s">
        <v>858</v>
      </c>
    </row>
    <row r="39" ht="15.75" customHeight="1">
      <c r="A39" s="5" t="s">
        <v>2349</v>
      </c>
      <c r="B39" s="4" t="s">
        <v>2351</v>
      </c>
      <c r="C39" s="5" t="s">
        <v>257</v>
      </c>
      <c r="D39" s="5" t="s">
        <v>2354</v>
      </c>
      <c r="E39" s="5" t="s">
        <v>1965</v>
      </c>
      <c r="F39" s="4" t="s">
        <v>2357</v>
      </c>
      <c r="G39" s="4" t="s">
        <v>2358</v>
      </c>
      <c r="H39" s="4" t="s">
        <v>2359</v>
      </c>
      <c r="I39" s="5" t="s">
        <v>865</v>
      </c>
      <c r="J39" s="5" t="s">
        <v>926</v>
      </c>
    </row>
    <row r="40" ht="15.75" customHeight="1">
      <c r="A40" s="8" t="s">
        <v>2361</v>
      </c>
      <c r="B40" s="7" t="s">
        <v>2363</v>
      </c>
      <c r="C40" s="8" t="s">
        <v>257</v>
      </c>
      <c r="D40" s="8" t="s">
        <v>461</v>
      </c>
      <c r="E40" s="8" t="s">
        <v>2073</v>
      </c>
      <c r="F40" s="7" t="s">
        <v>2368</v>
      </c>
      <c r="G40" s="7" t="s">
        <v>2370</v>
      </c>
      <c r="H40" s="7" t="s">
        <v>2045</v>
      </c>
      <c r="I40" s="8" t="s">
        <v>865</v>
      </c>
      <c r="J40" s="8" t="s">
        <v>858</v>
      </c>
    </row>
    <row r="41" ht="15.75" customHeight="1">
      <c r="A41" s="5" t="s">
        <v>2375</v>
      </c>
      <c r="B41" s="4" t="s">
        <v>2378</v>
      </c>
      <c r="C41" s="5" t="s">
        <v>290</v>
      </c>
      <c r="D41" s="5" t="s">
        <v>461</v>
      </c>
      <c r="E41" s="5" t="s">
        <v>2053</v>
      </c>
      <c r="F41" s="4" t="s">
        <v>2381</v>
      </c>
      <c r="G41" s="4" t="s">
        <v>2383</v>
      </c>
      <c r="H41" s="4" t="s">
        <v>2045</v>
      </c>
      <c r="I41" s="5" t="s">
        <v>2386</v>
      </c>
      <c r="J41" s="5" t="s">
        <v>2387</v>
      </c>
    </row>
    <row r="42" ht="15.75" customHeight="1">
      <c r="A42" s="8" t="s">
        <v>2389</v>
      </c>
      <c r="B42" s="7" t="s">
        <v>2392</v>
      </c>
      <c r="C42" s="8" t="s">
        <v>190</v>
      </c>
      <c r="D42" s="8" t="s">
        <v>961</v>
      </c>
      <c r="E42" s="8" t="s">
        <v>1951</v>
      </c>
      <c r="F42" s="7" t="s">
        <v>2397</v>
      </c>
      <c r="G42" s="7" t="s">
        <v>2398</v>
      </c>
      <c r="H42" s="7" t="s">
        <v>940</v>
      </c>
      <c r="I42" s="8" t="s">
        <v>865</v>
      </c>
      <c r="J42" s="8" t="s">
        <v>953</v>
      </c>
    </row>
    <row r="43" ht="15.75" customHeight="1">
      <c r="A43" s="5" t="s">
        <v>2401</v>
      </c>
      <c r="B43" s="4" t="s">
        <v>2403</v>
      </c>
      <c r="C43" s="5" t="s">
        <v>308</v>
      </c>
      <c r="D43" s="5" t="s">
        <v>2404</v>
      </c>
      <c r="E43" s="5" t="s">
        <v>2053</v>
      </c>
      <c r="F43" s="4" t="s">
        <v>2407</v>
      </c>
      <c r="G43" s="4" t="s">
        <v>2408</v>
      </c>
      <c r="H43" s="4" t="s">
        <v>2410</v>
      </c>
      <c r="I43" s="5" t="s">
        <v>865</v>
      </c>
      <c r="J43" s="5" t="s">
        <v>1310</v>
      </c>
    </row>
    <row r="44" ht="15.75" customHeight="1">
      <c r="A44" s="8" t="s">
        <v>2415</v>
      </c>
      <c r="B44" s="7" t="s">
        <v>2416</v>
      </c>
      <c r="C44" s="8" t="s">
        <v>308</v>
      </c>
      <c r="D44" s="8" t="s">
        <v>2418</v>
      </c>
      <c r="E44" s="8" t="s">
        <v>2292</v>
      </c>
      <c r="F44" s="7" t="s">
        <v>2421</v>
      </c>
      <c r="G44" s="7" t="s">
        <v>2422</v>
      </c>
      <c r="H44" s="7" t="s">
        <v>2423</v>
      </c>
      <c r="I44" s="8" t="s">
        <v>1976</v>
      </c>
      <c r="J44" s="8" t="s">
        <v>1324</v>
      </c>
    </row>
    <row r="45" ht="15.75" customHeight="1">
      <c r="A45" s="5" t="s">
        <v>2427</v>
      </c>
      <c r="B45" s="4" t="s">
        <v>2428</v>
      </c>
      <c r="C45" s="5" t="s">
        <v>308</v>
      </c>
      <c r="D45" s="5" t="s">
        <v>331</v>
      </c>
      <c r="E45" s="5" t="s">
        <v>1951</v>
      </c>
      <c r="F45" s="4" t="s">
        <v>2431</v>
      </c>
      <c r="G45" s="4" t="s">
        <v>2433</v>
      </c>
      <c r="H45" s="4" t="s">
        <v>2344</v>
      </c>
      <c r="I45" s="5" t="s">
        <v>865</v>
      </c>
      <c r="J45" s="5" t="s">
        <v>1341</v>
      </c>
    </row>
    <row r="46" ht="15.75" customHeight="1">
      <c r="A46" s="6" t="s">
        <v>741</v>
      </c>
      <c r="B46" s="6"/>
      <c r="C46" s="6"/>
      <c r="D46" s="6"/>
      <c r="E46" s="6"/>
      <c r="F46" s="6"/>
      <c r="G46" s="6"/>
      <c r="H46" s="6"/>
      <c r="I46" s="6"/>
      <c r="J46" s="6"/>
    </row>
    <row r="47" ht="15.75" customHeight="1">
      <c r="A47" s="5" t="s">
        <v>2444</v>
      </c>
      <c r="B47" s="4" t="s">
        <v>2446</v>
      </c>
      <c r="C47" s="5" t="s">
        <v>112</v>
      </c>
      <c r="D47" s="5" t="s">
        <v>2449</v>
      </c>
      <c r="E47" s="5" t="s">
        <v>1951</v>
      </c>
      <c r="F47" s="4" t="s">
        <v>2451</v>
      </c>
      <c r="G47" s="4" t="s">
        <v>2453</v>
      </c>
      <c r="H47" s="4" t="s">
        <v>2449</v>
      </c>
      <c r="I47" s="5" t="s">
        <v>865</v>
      </c>
      <c r="J47" s="5" t="s">
        <v>746</v>
      </c>
    </row>
    <row r="48" ht="15.75" customHeight="1">
      <c r="A48" s="8" t="s">
        <v>2457</v>
      </c>
      <c r="B48" s="7" t="s">
        <v>2459</v>
      </c>
      <c r="C48" s="8" t="s">
        <v>112</v>
      </c>
      <c r="D48" s="8" t="s">
        <v>2462</v>
      </c>
      <c r="E48" s="8" t="s">
        <v>1951</v>
      </c>
      <c r="F48" s="7" t="s">
        <v>2464</v>
      </c>
      <c r="G48" s="7" t="s">
        <v>2465</v>
      </c>
      <c r="H48" s="7" t="s">
        <v>2466</v>
      </c>
      <c r="I48" s="8" t="s">
        <v>865</v>
      </c>
      <c r="J48" s="8" t="s">
        <v>746</v>
      </c>
    </row>
    <row r="49" ht="15.75" customHeight="1">
      <c r="A49" s="5" t="s">
        <v>2470</v>
      </c>
      <c r="B49" s="4" t="s">
        <v>2472</v>
      </c>
      <c r="C49" s="5" t="s">
        <v>112</v>
      </c>
      <c r="D49" s="5" t="s">
        <v>2475</v>
      </c>
      <c r="E49" s="5" t="s">
        <v>1965</v>
      </c>
      <c r="F49" s="4" t="s">
        <v>2478</v>
      </c>
      <c r="G49" s="4" t="s">
        <v>2480</v>
      </c>
      <c r="H49" s="4" t="s">
        <v>2410</v>
      </c>
      <c r="I49" s="5" t="s">
        <v>1976</v>
      </c>
      <c r="J49" s="5" t="s">
        <v>757</v>
      </c>
    </row>
    <row r="50" ht="15.75" customHeight="1">
      <c r="A50" s="8" t="s">
        <v>2483</v>
      </c>
      <c r="B50" s="7" t="s">
        <v>2485</v>
      </c>
      <c r="C50" s="8" t="s">
        <v>112</v>
      </c>
      <c r="D50" s="8" t="s">
        <v>1292</v>
      </c>
      <c r="E50" s="8" t="s">
        <v>1951</v>
      </c>
      <c r="F50" s="7" t="s">
        <v>2488</v>
      </c>
      <c r="G50" s="7" t="s">
        <v>2490</v>
      </c>
      <c r="H50" s="7" t="s">
        <v>2010</v>
      </c>
      <c r="I50" s="8" t="s">
        <v>865</v>
      </c>
      <c r="J50" s="8" t="s">
        <v>773</v>
      </c>
    </row>
    <row r="51" ht="15.75" customHeight="1">
      <c r="A51" s="6" t="s">
        <v>2495</v>
      </c>
      <c r="B51" s="6"/>
      <c r="C51" s="6"/>
      <c r="D51" s="6"/>
      <c r="E51" s="6"/>
      <c r="F51" s="6"/>
      <c r="G51" s="6"/>
      <c r="H51" s="6"/>
      <c r="I51" s="6"/>
      <c r="J51" s="6"/>
    </row>
    <row r="52" ht="15.75" customHeight="1">
      <c r="A52" s="8" t="s">
        <v>2501</v>
      </c>
      <c r="B52" s="7" t="s">
        <v>2502</v>
      </c>
      <c r="C52" s="8" t="s">
        <v>279</v>
      </c>
      <c r="D52" s="8" t="s">
        <v>2505</v>
      </c>
      <c r="E52" s="8" t="s">
        <v>2053</v>
      </c>
      <c r="F52" s="7" t="s">
        <v>2507</v>
      </c>
      <c r="G52" s="7" t="s">
        <v>2509</v>
      </c>
      <c r="H52" s="7" t="s">
        <v>2511</v>
      </c>
      <c r="I52" s="8" t="s">
        <v>865</v>
      </c>
      <c r="J52" s="8" t="s">
        <v>2512</v>
      </c>
    </row>
    <row r="53" ht="15.75" customHeight="1">
      <c r="A53" s="5" t="s">
        <v>2514</v>
      </c>
      <c r="B53" s="4" t="s">
        <v>2517</v>
      </c>
      <c r="C53" s="5" t="s">
        <v>290</v>
      </c>
      <c r="D53" s="5" t="s">
        <v>2518</v>
      </c>
      <c r="E53" s="5" t="s">
        <v>1951</v>
      </c>
      <c r="F53" s="4" t="s">
        <v>2521</v>
      </c>
      <c r="G53" s="4" t="s">
        <v>2522</v>
      </c>
      <c r="H53" s="4" t="s">
        <v>2524</v>
      </c>
      <c r="I53" s="5" t="s">
        <v>865</v>
      </c>
      <c r="J53" s="5" t="s">
        <v>1161</v>
      </c>
    </row>
    <row r="54" ht="15.75" customHeight="1">
      <c r="A54" s="8" t="s">
        <v>2527</v>
      </c>
      <c r="B54" s="7" t="s">
        <v>2528</v>
      </c>
      <c r="C54" s="8" t="s">
        <v>290</v>
      </c>
      <c r="D54" s="8" t="s">
        <v>914</v>
      </c>
      <c r="E54" s="8" t="s">
        <v>2053</v>
      </c>
      <c r="F54" s="7" t="s">
        <v>2531</v>
      </c>
      <c r="G54" s="7" t="s">
        <v>2533</v>
      </c>
      <c r="H54" s="7" t="s">
        <v>2534</v>
      </c>
      <c r="I54" s="8" t="s">
        <v>865</v>
      </c>
      <c r="J54" s="8" t="s">
        <v>1192</v>
      </c>
    </row>
    <row r="55" ht="15.75" customHeight="1">
      <c r="A55" s="5" t="s">
        <v>2539</v>
      </c>
      <c r="B55" s="4" t="s">
        <v>2542</v>
      </c>
      <c r="C55" s="5" t="s">
        <v>300</v>
      </c>
      <c r="D55" s="5" t="s">
        <v>2545</v>
      </c>
      <c r="E55" s="5" t="s">
        <v>1951</v>
      </c>
      <c r="F55" s="4" t="s">
        <v>2548</v>
      </c>
      <c r="G55" s="4" t="s">
        <v>2549</v>
      </c>
      <c r="H55" s="4" t="s">
        <v>2550</v>
      </c>
      <c r="I55" s="5" t="s">
        <v>865</v>
      </c>
      <c r="J55" s="5" t="s">
        <v>2551</v>
      </c>
    </row>
    <row r="56" ht="15.75" customHeight="1">
      <c r="A56" s="6" t="s">
        <v>2553</v>
      </c>
      <c r="B56" s="6"/>
      <c r="C56" s="6"/>
      <c r="D56" s="6"/>
      <c r="E56" s="6"/>
      <c r="F56" s="6"/>
      <c r="G56" s="6"/>
      <c r="H56" s="6"/>
      <c r="I56" s="6"/>
      <c r="J56" s="6"/>
    </row>
    <row r="57" ht="15.75" customHeight="1">
      <c r="A57" s="5" t="s">
        <v>2560</v>
      </c>
      <c r="B57" s="4" t="s">
        <v>2561</v>
      </c>
      <c r="C57" s="5" t="s">
        <v>317</v>
      </c>
      <c r="D57" s="5" t="s">
        <v>160</v>
      </c>
      <c r="E57" s="5" t="s">
        <v>1951</v>
      </c>
      <c r="F57" s="4" t="s">
        <v>2565</v>
      </c>
      <c r="G57" s="4" t="s">
        <v>2566</v>
      </c>
      <c r="H57" s="4" t="s">
        <v>2181</v>
      </c>
      <c r="I57" s="5" t="s">
        <v>865</v>
      </c>
      <c r="J57" s="5" t="s">
        <v>1366</v>
      </c>
    </row>
    <row r="58" ht="15.75" customHeight="1">
      <c r="A58" s="8" t="s">
        <v>2567</v>
      </c>
      <c r="B58" s="7" t="s">
        <v>2569</v>
      </c>
      <c r="C58" s="8" t="s">
        <v>317</v>
      </c>
      <c r="D58" s="8" t="s">
        <v>2571</v>
      </c>
      <c r="E58" s="8" t="s">
        <v>1951</v>
      </c>
      <c r="F58" s="7" t="s">
        <v>2572</v>
      </c>
      <c r="G58" s="7" t="s">
        <v>2573</v>
      </c>
      <c r="H58" s="7" t="s">
        <v>940</v>
      </c>
      <c r="I58" s="8" t="s">
        <v>865</v>
      </c>
      <c r="J58" s="8" t="s">
        <v>1366</v>
      </c>
    </row>
    <row r="59" ht="15.75" customHeight="1">
      <c r="A59" s="5" t="s">
        <v>2578</v>
      </c>
      <c r="B59" s="4" t="s">
        <v>2580</v>
      </c>
      <c r="C59" s="5" t="s">
        <v>317</v>
      </c>
      <c r="D59" s="5" t="s">
        <v>1276</v>
      </c>
      <c r="E59" s="5" t="s">
        <v>1951</v>
      </c>
      <c r="F59" s="4" t="s">
        <v>2582</v>
      </c>
      <c r="G59" s="4" t="s">
        <v>2584</v>
      </c>
      <c r="H59" s="4" t="s">
        <v>1276</v>
      </c>
      <c r="I59" s="5" t="s">
        <v>865</v>
      </c>
      <c r="J59" s="5" t="s">
        <v>2587</v>
      </c>
    </row>
    <row r="60" ht="15.75" customHeight="1">
      <c r="A60" s="8" t="s">
        <v>2589</v>
      </c>
      <c r="B60" s="7" t="s">
        <v>2591</v>
      </c>
      <c r="C60" s="8" t="s">
        <v>317</v>
      </c>
      <c r="D60" s="8" t="s">
        <v>1276</v>
      </c>
      <c r="E60" s="8" t="s">
        <v>1951</v>
      </c>
      <c r="F60" s="7" t="s">
        <v>2594</v>
      </c>
      <c r="G60" s="7" t="s">
        <v>2597</v>
      </c>
      <c r="H60" s="7" t="s">
        <v>1276</v>
      </c>
      <c r="I60" s="8" t="s">
        <v>865</v>
      </c>
      <c r="J60" s="8" t="s">
        <v>1406</v>
      </c>
    </row>
    <row r="61" ht="15.75" customHeight="1">
      <c r="A61" s="5" t="s">
        <v>2602</v>
      </c>
      <c r="B61" s="4" t="s">
        <v>2603</v>
      </c>
      <c r="C61" s="5" t="s">
        <v>324</v>
      </c>
      <c r="D61" s="5" t="s">
        <v>2604</v>
      </c>
      <c r="E61" s="5" t="s">
        <v>1951</v>
      </c>
      <c r="F61" s="4" t="s">
        <v>2607</v>
      </c>
      <c r="G61" s="4" t="s">
        <v>2608</v>
      </c>
      <c r="H61" s="4" t="s">
        <v>2610</v>
      </c>
      <c r="I61" s="5" t="s">
        <v>865</v>
      </c>
      <c r="J61" s="5" t="s">
        <v>2613</v>
      </c>
    </row>
    <row r="62" ht="15.75" customHeight="1">
      <c r="A62" s="8" t="s">
        <v>2615</v>
      </c>
      <c r="B62" s="7" t="s">
        <v>2617</v>
      </c>
      <c r="C62" s="8" t="s">
        <v>324</v>
      </c>
      <c r="D62" s="8" t="s">
        <v>2618</v>
      </c>
      <c r="E62" s="8" t="s">
        <v>1965</v>
      </c>
      <c r="F62" s="7" t="s">
        <v>2621</v>
      </c>
      <c r="G62" s="7" t="s">
        <v>2624</v>
      </c>
      <c r="H62" s="7" t="s">
        <v>2627</v>
      </c>
      <c r="I62" s="8" t="s">
        <v>1976</v>
      </c>
      <c r="J62" s="8" t="s">
        <v>1474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62"/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57"/>
    <col customWidth="1" min="2" max="2" width="14.0"/>
    <col customWidth="1" min="3" max="3" width="30.0"/>
    <col customWidth="1" min="4" max="4" width="18.0"/>
    <col customWidth="1" min="5" max="5" width="34.0"/>
    <col customWidth="1" min="6" max="6" width="12.0"/>
    <col customWidth="1" min="7" max="7" width="44.0"/>
    <col customWidth="1" min="8" max="8" width="20.0"/>
    <col customWidth="1" min="9" max="9" width="26.0"/>
    <col customWidth="1" min="10" max="10" width="48.0"/>
    <col customWidth="1" min="11" max="26" width="8.71"/>
  </cols>
  <sheetData>
    <row r="1" ht="19.5" customHeight="1">
      <c r="A1" s="1" t="s">
        <v>1949</v>
      </c>
    </row>
    <row r="2" ht="25.5" customHeight="1">
      <c r="A2" s="2" t="s">
        <v>1959</v>
      </c>
    </row>
    <row r="4" ht="30.0" customHeight="1">
      <c r="A4" s="3" t="s">
        <v>105</v>
      </c>
      <c r="B4" s="3" t="s">
        <v>1964</v>
      </c>
      <c r="C4" s="3" t="s">
        <v>1967</v>
      </c>
      <c r="D4" s="3" t="s">
        <v>1970</v>
      </c>
      <c r="E4" s="3" t="s">
        <v>1974</v>
      </c>
      <c r="F4" s="3" t="s">
        <v>1977</v>
      </c>
      <c r="G4" s="3" t="s">
        <v>1981</v>
      </c>
      <c r="H4" s="3" t="s">
        <v>1982</v>
      </c>
      <c r="I4" s="3" t="s">
        <v>1984</v>
      </c>
      <c r="J4" s="3" t="s">
        <v>104</v>
      </c>
    </row>
    <row r="5">
      <c r="A5" s="6" t="s">
        <v>1987</v>
      </c>
      <c r="B5" s="6"/>
      <c r="C5" s="6"/>
      <c r="D5" s="6"/>
      <c r="E5" s="6"/>
      <c r="F5" s="6"/>
      <c r="G5" s="6"/>
      <c r="H5" s="6"/>
      <c r="I5" s="6"/>
      <c r="J5" s="6"/>
    </row>
    <row r="6">
      <c r="A6" s="8" t="s">
        <v>783</v>
      </c>
      <c r="B6" s="8" t="s">
        <v>1995</v>
      </c>
      <c r="C6" s="7" t="s">
        <v>1998</v>
      </c>
      <c r="D6" s="8" t="s">
        <v>2001</v>
      </c>
      <c r="E6" s="7" t="s">
        <v>2003</v>
      </c>
      <c r="F6" s="8" t="s">
        <v>863</v>
      </c>
      <c r="G6" s="7" t="s">
        <v>2005</v>
      </c>
      <c r="H6" s="8" t="s">
        <v>2007</v>
      </c>
      <c r="I6" s="8" t="s">
        <v>2009</v>
      </c>
      <c r="J6" s="7" t="s">
        <v>2011</v>
      </c>
    </row>
    <row r="7">
      <c r="A7" s="5" t="s">
        <v>783</v>
      </c>
      <c r="B7" s="5" t="s">
        <v>1995</v>
      </c>
      <c r="C7" s="4" t="s">
        <v>2018</v>
      </c>
      <c r="D7" s="5" t="s">
        <v>2022</v>
      </c>
      <c r="E7" s="4" t="s">
        <v>2024</v>
      </c>
      <c r="F7" s="5" t="s">
        <v>863</v>
      </c>
      <c r="G7" s="4" t="s">
        <v>2027</v>
      </c>
      <c r="H7" s="5" t="s">
        <v>582</v>
      </c>
      <c r="I7" s="5" t="s">
        <v>2009</v>
      </c>
      <c r="J7" s="4" t="s">
        <v>2028</v>
      </c>
    </row>
    <row r="8">
      <c r="A8" s="8" t="s">
        <v>783</v>
      </c>
      <c r="B8" s="8" t="s">
        <v>1995</v>
      </c>
      <c r="C8" s="7" t="s">
        <v>2030</v>
      </c>
      <c r="D8" s="8" t="s">
        <v>2031</v>
      </c>
      <c r="E8" s="7" t="s">
        <v>2032</v>
      </c>
      <c r="F8" s="8" t="s">
        <v>863</v>
      </c>
      <c r="G8" s="7" t="s">
        <v>2037</v>
      </c>
      <c r="H8" s="8" t="s">
        <v>582</v>
      </c>
      <c r="I8" s="8" t="s">
        <v>2009</v>
      </c>
      <c r="J8" s="7" t="s">
        <v>2042</v>
      </c>
    </row>
    <row r="9">
      <c r="A9" s="5" t="s">
        <v>783</v>
      </c>
      <c r="B9" s="5" t="s">
        <v>1995</v>
      </c>
      <c r="C9" s="4" t="s">
        <v>2047</v>
      </c>
      <c r="D9" s="5" t="s">
        <v>2048</v>
      </c>
      <c r="E9" s="4" t="s">
        <v>2049</v>
      </c>
      <c r="F9" s="5" t="s">
        <v>863</v>
      </c>
      <c r="G9" s="4" t="s">
        <v>2051</v>
      </c>
      <c r="H9" s="5" t="s">
        <v>582</v>
      </c>
      <c r="I9" s="5" t="s">
        <v>2009</v>
      </c>
      <c r="J9" s="4" t="s">
        <v>2055</v>
      </c>
    </row>
    <row r="10">
      <c r="A10" s="8" t="s">
        <v>783</v>
      </c>
      <c r="B10" s="8" t="s">
        <v>1995</v>
      </c>
      <c r="C10" s="7" t="s">
        <v>864</v>
      </c>
      <c r="D10" s="8" t="s">
        <v>2048</v>
      </c>
      <c r="E10" s="7" t="s">
        <v>2062</v>
      </c>
      <c r="F10" s="8" t="s">
        <v>863</v>
      </c>
      <c r="G10" s="7" t="s">
        <v>2065</v>
      </c>
      <c r="H10" s="8" t="s">
        <v>582</v>
      </c>
      <c r="I10" s="8" t="s">
        <v>2009</v>
      </c>
      <c r="J10" s="7" t="s">
        <v>2067</v>
      </c>
    </row>
    <row r="11">
      <c r="A11" s="5" t="s">
        <v>783</v>
      </c>
      <c r="B11" s="5" t="s">
        <v>2072</v>
      </c>
      <c r="C11" s="4" t="s">
        <v>2073</v>
      </c>
      <c r="D11" s="5" t="s">
        <v>2075</v>
      </c>
      <c r="E11" s="4" t="s">
        <v>2076</v>
      </c>
      <c r="F11" s="5" t="s">
        <v>863</v>
      </c>
      <c r="G11" s="4" t="s">
        <v>2077</v>
      </c>
      <c r="H11" s="5" t="s">
        <v>582</v>
      </c>
      <c r="I11" s="5" t="s">
        <v>2009</v>
      </c>
      <c r="J11" s="4" t="s">
        <v>2080</v>
      </c>
    </row>
    <row r="12">
      <c r="A12" s="8" t="s">
        <v>783</v>
      </c>
      <c r="B12" s="8" t="s">
        <v>2072</v>
      </c>
      <c r="C12" s="7" t="s">
        <v>2085</v>
      </c>
      <c r="D12" s="8" t="s">
        <v>2086</v>
      </c>
      <c r="E12" s="7" t="s">
        <v>2087</v>
      </c>
      <c r="F12" s="8" t="s">
        <v>1130</v>
      </c>
      <c r="G12" s="7" t="s">
        <v>2090</v>
      </c>
      <c r="H12" s="8" t="s">
        <v>582</v>
      </c>
      <c r="I12" s="8" t="s">
        <v>2009</v>
      </c>
      <c r="J12" s="7" t="s">
        <v>2095</v>
      </c>
    </row>
    <row r="13">
      <c r="A13" s="5" t="s">
        <v>783</v>
      </c>
      <c r="B13" s="5" t="s">
        <v>2072</v>
      </c>
      <c r="C13" s="4" t="s">
        <v>2100</v>
      </c>
      <c r="D13" s="5" t="s">
        <v>2101</v>
      </c>
      <c r="E13" s="4" t="s">
        <v>2102</v>
      </c>
      <c r="F13" s="5" t="s">
        <v>863</v>
      </c>
      <c r="G13" s="4" t="s">
        <v>2104</v>
      </c>
      <c r="H13" s="5" t="s">
        <v>582</v>
      </c>
      <c r="I13" s="5" t="s">
        <v>2009</v>
      </c>
      <c r="J13" s="4" t="s">
        <v>2106</v>
      </c>
    </row>
    <row r="14">
      <c r="A14" s="8" t="s">
        <v>783</v>
      </c>
      <c r="B14" s="8" t="s">
        <v>2072</v>
      </c>
      <c r="C14" s="7" t="s">
        <v>2112</v>
      </c>
      <c r="D14" s="8" t="s">
        <v>2113</v>
      </c>
      <c r="E14" s="7" t="s">
        <v>2114</v>
      </c>
      <c r="F14" s="8" t="s">
        <v>863</v>
      </c>
      <c r="G14" s="7" t="s">
        <v>2116</v>
      </c>
      <c r="H14" s="8" t="s">
        <v>582</v>
      </c>
      <c r="I14" s="8" t="s">
        <v>2009</v>
      </c>
      <c r="J14" s="7" t="s">
        <v>2118</v>
      </c>
    </row>
    <row r="15">
      <c r="A15" s="5" t="s">
        <v>783</v>
      </c>
      <c r="B15" s="5" t="s">
        <v>2122</v>
      </c>
      <c r="C15" s="4" t="s">
        <v>2123</v>
      </c>
      <c r="D15" s="5" t="s">
        <v>2124</v>
      </c>
      <c r="E15" s="4" t="s">
        <v>2126</v>
      </c>
      <c r="F15" s="5" t="s">
        <v>1130</v>
      </c>
      <c r="G15" s="4" t="s">
        <v>2129</v>
      </c>
      <c r="H15" s="5" t="s">
        <v>582</v>
      </c>
      <c r="I15" s="5" t="s">
        <v>2131</v>
      </c>
      <c r="J15" s="4" t="s">
        <v>2132</v>
      </c>
    </row>
    <row r="16">
      <c r="A16" s="8" t="s">
        <v>783</v>
      </c>
      <c r="B16" s="8" t="s">
        <v>2122</v>
      </c>
      <c r="C16" s="7" t="s">
        <v>2137</v>
      </c>
      <c r="D16" s="8" t="s">
        <v>2124</v>
      </c>
      <c r="E16" s="7" t="s">
        <v>2139</v>
      </c>
      <c r="F16" s="8" t="s">
        <v>1130</v>
      </c>
      <c r="G16" s="7" t="s">
        <v>2140</v>
      </c>
      <c r="H16" s="8" t="s">
        <v>582</v>
      </c>
      <c r="I16" s="8" t="s">
        <v>2131</v>
      </c>
      <c r="J16" s="7" t="s">
        <v>2141</v>
      </c>
    </row>
    <row r="17">
      <c r="A17" s="5" t="s">
        <v>783</v>
      </c>
      <c r="B17" s="5" t="s">
        <v>2122</v>
      </c>
      <c r="C17" s="4" t="s">
        <v>2142</v>
      </c>
      <c r="D17" s="5" t="s">
        <v>2022</v>
      </c>
      <c r="E17" s="4" t="s">
        <v>2144</v>
      </c>
      <c r="F17" s="5" t="s">
        <v>1130</v>
      </c>
      <c r="G17" s="4" t="s">
        <v>2146</v>
      </c>
      <c r="H17" s="5" t="s">
        <v>582</v>
      </c>
      <c r="I17" s="5" t="s">
        <v>2148</v>
      </c>
      <c r="J17" s="4" t="s">
        <v>2150</v>
      </c>
    </row>
    <row r="18">
      <c r="A18" s="8" t="s">
        <v>783</v>
      </c>
      <c r="B18" s="8" t="s">
        <v>2122</v>
      </c>
      <c r="C18" s="7" t="s">
        <v>2156</v>
      </c>
      <c r="D18" s="8" t="s">
        <v>2022</v>
      </c>
      <c r="E18" s="7" t="s">
        <v>2160</v>
      </c>
      <c r="F18" s="8" t="s">
        <v>1130</v>
      </c>
      <c r="G18" s="7" t="s">
        <v>2163</v>
      </c>
      <c r="H18" s="8" t="s">
        <v>582</v>
      </c>
      <c r="I18" s="8" t="s">
        <v>2148</v>
      </c>
      <c r="J18" s="7" t="s">
        <v>2165</v>
      </c>
    </row>
    <row r="19">
      <c r="A19" s="5" t="s">
        <v>783</v>
      </c>
      <c r="B19" s="5" t="s">
        <v>1083</v>
      </c>
      <c r="C19" s="4" t="s">
        <v>2168</v>
      </c>
      <c r="D19" s="5" t="s">
        <v>2124</v>
      </c>
      <c r="E19" s="4" t="s">
        <v>2171</v>
      </c>
      <c r="F19" s="5" t="s">
        <v>863</v>
      </c>
      <c r="G19" s="4" t="s">
        <v>2174</v>
      </c>
      <c r="H19" s="5" t="s">
        <v>582</v>
      </c>
      <c r="I19" s="5" t="s">
        <v>2131</v>
      </c>
      <c r="J19" s="4" t="s">
        <v>2179</v>
      </c>
    </row>
    <row r="20">
      <c r="A20" s="8" t="s">
        <v>783</v>
      </c>
      <c r="B20" s="8" t="s">
        <v>1083</v>
      </c>
      <c r="C20" s="7" t="s">
        <v>2183</v>
      </c>
      <c r="D20" s="8" t="s">
        <v>2022</v>
      </c>
      <c r="E20" s="7" t="s">
        <v>2185</v>
      </c>
      <c r="F20" s="8" t="s">
        <v>863</v>
      </c>
      <c r="G20" s="7" t="s">
        <v>2186</v>
      </c>
      <c r="H20" s="8" t="s">
        <v>582</v>
      </c>
      <c r="I20" s="8" t="s">
        <v>2148</v>
      </c>
      <c r="J20" s="7" t="s">
        <v>2188</v>
      </c>
    </row>
    <row r="21" ht="15.75" customHeight="1">
      <c r="A21" s="6" t="s">
        <v>2190</v>
      </c>
      <c r="B21" s="6"/>
      <c r="C21" s="6"/>
      <c r="D21" s="6"/>
      <c r="E21" s="6"/>
      <c r="F21" s="6"/>
      <c r="G21" s="6"/>
      <c r="H21" s="6"/>
      <c r="I21" s="6"/>
      <c r="J21" s="6"/>
    </row>
    <row r="22" ht="15.75" customHeight="1">
      <c r="A22" s="8" t="s">
        <v>878</v>
      </c>
      <c r="B22" s="8" t="s">
        <v>2201</v>
      </c>
      <c r="C22" s="7" t="s">
        <v>2202</v>
      </c>
      <c r="D22" s="8" t="s">
        <v>2204</v>
      </c>
      <c r="E22" s="7" t="s">
        <v>2206</v>
      </c>
      <c r="F22" s="8" t="s">
        <v>863</v>
      </c>
      <c r="G22" s="7" t="s">
        <v>2208</v>
      </c>
      <c r="H22" s="8" t="s">
        <v>582</v>
      </c>
      <c r="I22" s="8" t="s">
        <v>525</v>
      </c>
      <c r="J22" s="7" t="s">
        <v>2212</v>
      </c>
    </row>
    <row r="23" ht="15.75" customHeight="1">
      <c r="A23" s="5" t="s">
        <v>878</v>
      </c>
      <c r="B23" s="5" t="s">
        <v>2201</v>
      </c>
      <c r="C23" s="4" t="s">
        <v>2217</v>
      </c>
      <c r="D23" s="5" t="s">
        <v>2204</v>
      </c>
      <c r="E23" s="4" t="s">
        <v>2220</v>
      </c>
      <c r="F23" s="5" t="s">
        <v>863</v>
      </c>
      <c r="G23" s="4" t="s">
        <v>2222</v>
      </c>
      <c r="H23" s="5" t="s">
        <v>2224</v>
      </c>
      <c r="I23" s="5" t="s">
        <v>525</v>
      </c>
      <c r="J23" s="4" t="s">
        <v>2226</v>
      </c>
    </row>
    <row r="24" ht="15.75" customHeight="1">
      <c r="A24" s="8" t="s">
        <v>878</v>
      </c>
      <c r="B24" s="8" t="s">
        <v>2201</v>
      </c>
      <c r="C24" s="7" t="s">
        <v>2230</v>
      </c>
      <c r="D24" s="8" t="s">
        <v>2204</v>
      </c>
      <c r="E24" s="7" t="s">
        <v>2234</v>
      </c>
      <c r="F24" s="8" t="s">
        <v>863</v>
      </c>
      <c r="G24" s="7" t="s">
        <v>2239</v>
      </c>
      <c r="H24" s="8" t="s">
        <v>582</v>
      </c>
      <c r="I24" s="8" t="s">
        <v>525</v>
      </c>
      <c r="J24" s="7" t="s">
        <v>2241</v>
      </c>
    </row>
    <row r="25" ht="15.75" customHeight="1">
      <c r="A25" s="5" t="s">
        <v>878</v>
      </c>
      <c r="B25" s="5" t="s">
        <v>2201</v>
      </c>
      <c r="C25" s="4" t="s">
        <v>2246</v>
      </c>
      <c r="D25" s="5" t="s">
        <v>2247</v>
      </c>
      <c r="E25" s="4" t="s">
        <v>2248</v>
      </c>
      <c r="F25" s="5" t="s">
        <v>863</v>
      </c>
      <c r="G25" s="4" t="s">
        <v>582</v>
      </c>
      <c r="H25" s="5" t="s">
        <v>2251</v>
      </c>
      <c r="I25" s="5" t="s">
        <v>525</v>
      </c>
      <c r="J25" s="4" t="s">
        <v>2252</v>
      </c>
    </row>
    <row r="26" ht="15.75" customHeight="1">
      <c r="A26" s="8" t="s">
        <v>878</v>
      </c>
      <c r="B26" s="8" t="s">
        <v>2201</v>
      </c>
      <c r="C26" s="7" t="s">
        <v>2255</v>
      </c>
      <c r="D26" s="8" t="s">
        <v>2204</v>
      </c>
      <c r="E26" s="7" t="s">
        <v>2256</v>
      </c>
      <c r="F26" s="8" t="s">
        <v>863</v>
      </c>
      <c r="G26" s="7" t="s">
        <v>2259</v>
      </c>
      <c r="H26" s="8" t="s">
        <v>582</v>
      </c>
      <c r="I26" s="8" t="s">
        <v>525</v>
      </c>
      <c r="J26" s="7" t="s">
        <v>2261</v>
      </c>
    </row>
    <row r="27" ht="15.75" customHeight="1">
      <c r="A27" s="5" t="s">
        <v>878</v>
      </c>
      <c r="B27" s="5" t="s">
        <v>2201</v>
      </c>
      <c r="C27" s="4" t="s">
        <v>2266</v>
      </c>
      <c r="D27" s="5" t="s">
        <v>2204</v>
      </c>
      <c r="E27" s="4" t="s">
        <v>2269</v>
      </c>
      <c r="F27" s="5" t="s">
        <v>863</v>
      </c>
      <c r="G27" s="4" t="s">
        <v>2271</v>
      </c>
      <c r="H27" s="5" t="s">
        <v>2273</v>
      </c>
      <c r="I27" s="5" t="s">
        <v>525</v>
      </c>
      <c r="J27" s="4" t="s">
        <v>2275</v>
      </c>
    </row>
    <row r="28" ht="15.75" customHeight="1">
      <c r="A28" s="8" t="s">
        <v>878</v>
      </c>
      <c r="B28" s="8" t="s">
        <v>2201</v>
      </c>
      <c r="C28" s="7" t="s">
        <v>468</v>
      </c>
      <c r="D28" s="8" t="s">
        <v>2204</v>
      </c>
      <c r="E28" s="7" t="s">
        <v>2281</v>
      </c>
      <c r="F28" s="8" t="s">
        <v>863</v>
      </c>
      <c r="G28" s="7" t="s">
        <v>2283</v>
      </c>
      <c r="H28" s="8" t="s">
        <v>582</v>
      </c>
      <c r="I28" s="8" t="s">
        <v>525</v>
      </c>
      <c r="J28" s="7" t="s">
        <v>2285</v>
      </c>
    </row>
    <row r="29" ht="15.75" customHeight="1">
      <c r="A29" s="5" t="s">
        <v>878</v>
      </c>
      <c r="B29" s="5" t="s">
        <v>2201</v>
      </c>
      <c r="C29" s="4" t="s">
        <v>2286</v>
      </c>
      <c r="D29" s="5" t="s">
        <v>2204</v>
      </c>
      <c r="E29" s="4" t="s">
        <v>2288</v>
      </c>
      <c r="F29" s="5" t="s">
        <v>863</v>
      </c>
      <c r="G29" s="4" t="s">
        <v>2290</v>
      </c>
      <c r="H29" s="5" t="s">
        <v>2224</v>
      </c>
      <c r="I29" s="5" t="s">
        <v>525</v>
      </c>
      <c r="J29" s="4" t="s">
        <v>2294</v>
      </c>
    </row>
    <row r="30" ht="15.75" customHeight="1">
      <c r="A30" s="8" t="s">
        <v>878</v>
      </c>
      <c r="B30" s="8" t="s">
        <v>2301</v>
      </c>
      <c r="C30" s="7" t="s">
        <v>2304</v>
      </c>
      <c r="D30" s="8" t="s">
        <v>2031</v>
      </c>
      <c r="E30" s="7" t="s">
        <v>2308</v>
      </c>
      <c r="F30" s="8" t="s">
        <v>863</v>
      </c>
      <c r="G30" s="7" t="s">
        <v>2310</v>
      </c>
      <c r="H30" s="8" t="s">
        <v>582</v>
      </c>
      <c r="I30" s="8" t="s">
        <v>525</v>
      </c>
      <c r="J30" s="7" t="s">
        <v>2314</v>
      </c>
    </row>
    <row r="31" ht="15.75" customHeight="1">
      <c r="A31" s="5" t="s">
        <v>878</v>
      </c>
      <c r="B31" s="5" t="s">
        <v>2301</v>
      </c>
      <c r="C31" s="4" t="s">
        <v>2318</v>
      </c>
      <c r="D31" s="5" t="s">
        <v>2320</v>
      </c>
      <c r="E31" s="4" t="s">
        <v>2323</v>
      </c>
      <c r="F31" s="5" t="s">
        <v>1130</v>
      </c>
      <c r="G31" s="4" t="s">
        <v>2325</v>
      </c>
      <c r="H31" s="5" t="s">
        <v>2327</v>
      </c>
      <c r="I31" s="5" t="s">
        <v>525</v>
      </c>
      <c r="J31" s="4" t="s">
        <v>818</v>
      </c>
    </row>
    <row r="32" ht="15.75" customHeight="1">
      <c r="A32" s="8" t="s">
        <v>878</v>
      </c>
      <c r="B32" s="8" t="s">
        <v>2301</v>
      </c>
      <c r="C32" s="7" t="s">
        <v>2332</v>
      </c>
      <c r="D32" s="8" t="s">
        <v>2031</v>
      </c>
      <c r="E32" s="7" t="s">
        <v>2334</v>
      </c>
      <c r="F32" s="8" t="s">
        <v>1130</v>
      </c>
      <c r="G32" s="7" t="s">
        <v>2335</v>
      </c>
      <c r="H32" s="8" t="s">
        <v>2327</v>
      </c>
      <c r="I32" s="8" t="s">
        <v>525</v>
      </c>
      <c r="J32" s="7" t="s">
        <v>2336</v>
      </c>
    </row>
    <row r="33" ht="15.75" customHeight="1">
      <c r="A33" s="5" t="s">
        <v>878</v>
      </c>
      <c r="B33" s="5" t="s">
        <v>2301</v>
      </c>
      <c r="C33" s="4" t="s">
        <v>2339</v>
      </c>
      <c r="D33" s="5" t="s">
        <v>2031</v>
      </c>
      <c r="E33" s="4" t="s">
        <v>2340</v>
      </c>
      <c r="F33" s="5" t="s">
        <v>1130</v>
      </c>
      <c r="G33" s="4" t="s">
        <v>2335</v>
      </c>
      <c r="H33" s="5" t="s">
        <v>2327</v>
      </c>
      <c r="I33" s="5" t="s">
        <v>525</v>
      </c>
      <c r="J33" s="4" t="s">
        <v>2346</v>
      </c>
    </row>
    <row r="34" ht="15.75" customHeight="1">
      <c r="A34" s="8" t="s">
        <v>878</v>
      </c>
      <c r="B34" s="8" t="s">
        <v>2301</v>
      </c>
      <c r="C34" s="7" t="s">
        <v>2352</v>
      </c>
      <c r="D34" s="8" t="s">
        <v>2031</v>
      </c>
      <c r="E34" s="7" t="s">
        <v>2355</v>
      </c>
      <c r="F34" s="8" t="s">
        <v>1130</v>
      </c>
      <c r="G34" s="7" t="s">
        <v>2335</v>
      </c>
      <c r="H34" s="8" t="s">
        <v>2327</v>
      </c>
      <c r="I34" s="8" t="s">
        <v>525</v>
      </c>
      <c r="J34" s="7" t="s">
        <v>2360</v>
      </c>
    </row>
    <row r="35" ht="15.75" customHeight="1">
      <c r="A35" s="5" t="s">
        <v>878</v>
      </c>
      <c r="B35" s="5" t="s">
        <v>2301</v>
      </c>
      <c r="C35" s="4" t="s">
        <v>2362</v>
      </c>
      <c r="D35" s="5" t="s">
        <v>2204</v>
      </c>
      <c r="E35" s="4" t="s">
        <v>2365</v>
      </c>
      <c r="F35" s="5" t="s">
        <v>863</v>
      </c>
      <c r="G35" s="4" t="s">
        <v>2367</v>
      </c>
      <c r="H35" s="5" t="s">
        <v>582</v>
      </c>
      <c r="I35" s="5" t="s">
        <v>525</v>
      </c>
      <c r="J35" s="4" t="s">
        <v>2373</v>
      </c>
    </row>
    <row r="36" ht="15.75" customHeight="1">
      <c r="A36" s="8" t="s">
        <v>878</v>
      </c>
      <c r="B36" s="8" t="s">
        <v>2301</v>
      </c>
      <c r="C36" s="7" t="s">
        <v>2377</v>
      </c>
      <c r="D36" s="8" t="s">
        <v>2048</v>
      </c>
      <c r="E36" s="7" t="s">
        <v>2379</v>
      </c>
      <c r="F36" s="8" t="s">
        <v>863</v>
      </c>
      <c r="G36" s="7" t="s">
        <v>2380</v>
      </c>
      <c r="H36" s="8" t="s">
        <v>2382</v>
      </c>
      <c r="I36" s="8" t="s">
        <v>525</v>
      </c>
      <c r="J36" s="7" t="s">
        <v>2385</v>
      </c>
    </row>
    <row r="37" ht="15.75" customHeight="1">
      <c r="A37" s="5" t="s">
        <v>878</v>
      </c>
      <c r="B37" s="5" t="s">
        <v>2301</v>
      </c>
      <c r="C37" s="4" t="s">
        <v>2391</v>
      </c>
      <c r="D37" s="5" t="s">
        <v>2022</v>
      </c>
      <c r="E37" s="4" t="s">
        <v>2394</v>
      </c>
      <c r="F37" s="5" t="s">
        <v>2395</v>
      </c>
      <c r="G37" s="4" t="s">
        <v>2396</v>
      </c>
      <c r="H37" s="5" t="s">
        <v>582</v>
      </c>
      <c r="I37" s="5" t="s">
        <v>525</v>
      </c>
      <c r="J37" s="4" t="s">
        <v>2399</v>
      </c>
    </row>
    <row r="38" ht="15.75" customHeight="1">
      <c r="A38" s="6" t="s">
        <v>2400</v>
      </c>
      <c r="B38" s="6"/>
      <c r="C38" s="6"/>
      <c r="D38" s="6"/>
      <c r="E38" s="6"/>
      <c r="F38" s="6"/>
      <c r="G38" s="6"/>
      <c r="H38" s="6"/>
      <c r="I38" s="6"/>
      <c r="J38" s="6"/>
    </row>
    <row r="39" ht="15.75" customHeight="1">
      <c r="A39" s="5" t="s">
        <v>2143</v>
      </c>
      <c r="B39" s="5" t="s">
        <v>2411</v>
      </c>
      <c r="C39" s="4" t="s">
        <v>2412</v>
      </c>
      <c r="D39" s="5" t="s">
        <v>2031</v>
      </c>
      <c r="E39" s="4" t="s">
        <v>2414</v>
      </c>
      <c r="F39" s="5" t="s">
        <v>863</v>
      </c>
      <c r="G39" s="4" t="s">
        <v>2417</v>
      </c>
      <c r="H39" s="5" t="s">
        <v>582</v>
      </c>
      <c r="I39" s="5" t="s">
        <v>461</v>
      </c>
      <c r="J39" s="4" t="s">
        <v>2420</v>
      </c>
    </row>
    <row r="40" ht="15.75" customHeight="1">
      <c r="A40" s="8" t="s">
        <v>2143</v>
      </c>
      <c r="B40" s="8" t="s">
        <v>2411</v>
      </c>
      <c r="C40" s="7" t="s">
        <v>2424</v>
      </c>
      <c r="D40" s="8" t="s">
        <v>2425</v>
      </c>
      <c r="E40" s="7" t="s">
        <v>2426</v>
      </c>
      <c r="F40" s="8" t="s">
        <v>863</v>
      </c>
      <c r="G40" s="7" t="s">
        <v>2429</v>
      </c>
      <c r="H40" s="8" t="s">
        <v>582</v>
      </c>
      <c r="I40" s="8" t="s">
        <v>461</v>
      </c>
      <c r="J40" s="7" t="s">
        <v>2430</v>
      </c>
    </row>
    <row r="41" ht="15.75" customHeight="1">
      <c r="A41" s="5" t="s">
        <v>2143</v>
      </c>
      <c r="B41" s="5" t="s">
        <v>2411</v>
      </c>
      <c r="C41" s="4" t="s">
        <v>2434</v>
      </c>
      <c r="D41" s="5" t="s">
        <v>2320</v>
      </c>
      <c r="E41" s="4" t="s">
        <v>2437</v>
      </c>
      <c r="F41" s="5" t="s">
        <v>1130</v>
      </c>
      <c r="G41" s="4" t="s">
        <v>2439</v>
      </c>
      <c r="H41" s="5" t="s">
        <v>2440</v>
      </c>
      <c r="I41" s="5" t="s">
        <v>461</v>
      </c>
      <c r="J41" s="4"/>
    </row>
    <row r="42" ht="15.75" customHeight="1">
      <c r="A42" s="8" t="s">
        <v>2143</v>
      </c>
      <c r="B42" s="8" t="s">
        <v>2411</v>
      </c>
      <c r="C42" s="7" t="s">
        <v>2443</v>
      </c>
      <c r="D42" s="8" t="s">
        <v>2445</v>
      </c>
      <c r="E42" s="7" t="s">
        <v>2447</v>
      </c>
      <c r="F42" s="8" t="s">
        <v>863</v>
      </c>
      <c r="G42" s="7" t="s">
        <v>582</v>
      </c>
      <c r="H42" s="8" t="s">
        <v>2450</v>
      </c>
      <c r="I42" s="8" t="s">
        <v>461</v>
      </c>
      <c r="J42" s="7" t="s">
        <v>2252</v>
      </c>
    </row>
    <row r="43" ht="15.75" customHeight="1">
      <c r="A43" s="5" t="s">
        <v>2143</v>
      </c>
      <c r="B43" s="5" t="s">
        <v>2411</v>
      </c>
      <c r="C43" s="4" t="s">
        <v>2456</v>
      </c>
      <c r="D43" s="5" t="s">
        <v>2022</v>
      </c>
      <c r="E43" s="4" t="s">
        <v>2460</v>
      </c>
      <c r="F43" s="5" t="s">
        <v>2461</v>
      </c>
      <c r="G43" s="4" t="s">
        <v>2463</v>
      </c>
      <c r="H43" s="5" t="s">
        <v>582</v>
      </c>
      <c r="I43" s="5" t="s">
        <v>461</v>
      </c>
      <c r="J43" s="4"/>
    </row>
    <row r="44" ht="15.75" customHeight="1">
      <c r="A44" s="8" t="s">
        <v>2143</v>
      </c>
      <c r="B44" s="8" t="s">
        <v>2411</v>
      </c>
      <c r="C44" s="7" t="s">
        <v>2468</v>
      </c>
      <c r="D44" s="8" t="s">
        <v>2075</v>
      </c>
      <c r="E44" s="7" t="s">
        <v>2473</v>
      </c>
      <c r="F44" s="8" t="s">
        <v>1130</v>
      </c>
      <c r="G44" s="7" t="s">
        <v>2476</v>
      </c>
      <c r="H44" s="8" t="s">
        <v>2073</v>
      </c>
      <c r="I44" s="8" t="s">
        <v>461</v>
      </c>
      <c r="J44" s="7"/>
    </row>
    <row r="45" ht="15.75" customHeight="1">
      <c r="A45" s="5" t="s">
        <v>2143</v>
      </c>
      <c r="B45" s="5" t="s">
        <v>2481</v>
      </c>
      <c r="C45" s="4" t="s">
        <v>2482</v>
      </c>
      <c r="D45" s="5" t="s">
        <v>2484</v>
      </c>
      <c r="E45" s="4" t="s">
        <v>2486</v>
      </c>
      <c r="F45" s="5" t="s">
        <v>582</v>
      </c>
      <c r="G45" s="4" t="s">
        <v>582</v>
      </c>
      <c r="H45" s="5" t="s">
        <v>2450</v>
      </c>
      <c r="I45" s="5" t="s">
        <v>461</v>
      </c>
      <c r="J45" s="4" t="s">
        <v>2491</v>
      </c>
    </row>
    <row r="46" ht="15.75" customHeight="1">
      <c r="A46" s="8" t="s">
        <v>2143</v>
      </c>
      <c r="B46" s="8" t="s">
        <v>2481</v>
      </c>
      <c r="C46" s="7" t="s">
        <v>2494</v>
      </c>
      <c r="D46" s="8" t="s">
        <v>2496</v>
      </c>
      <c r="E46" s="7" t="s">
        <v>2498</v>
      </c>
      <c r="F46" s="8" t="s">
        <v>582</v>
      </c>
      <c r="G46" s="7" t="s">
        <v>582</v>
      </c>
      <c r="H46" s="8" t="s">
        <v>582</v>
      </c>
      <c r="I46" s="8" t="s">
        <v>461</v>
      </c>
      <c r="J46" s="7" t="s">
        <v>2500</v>
      </c>
    </row>
    <row r="47" ht="15.75" customHeight="1">
      <c r="A47" s="5" t="s">
        <v>2143</v>
      </c>
      <c r="B47" s="5" t="s">
        <v>2503</v>
      </c>
      <c r="C47" s="4" t="s">
        <v>2504</v>
      </c>
      <c r="D47" s="5" t="s">
        <v>2048</v>
      </c>
      <c r="E47" s="4" t="s">
        <v>2506</v>
      </c>
      <c r="F47" s="5" t="s">
        <v>2508</v>
      </c>
      <c r="G47" s="4" t="s">
        <v>2510</v>
      </c>
      <c r="H47" s="5" t="s">
        <v>582</v>
      </c>
      <c r="I47" s="5" t="s">
        <v>914</v>
      </c>
      <c r="J47" s="4" t="s">
        <v>2513</v>
      </c>
    </row>
    <row r="48" ht="15.75" customHeight="1">
      <c r="A48" s="6" t="s">
        <v>2516</v>
      </c>
      <c r="B48" s="6"/>
      <c r="C48" s="6"/>
      <c r="D48" s="6"/>
      <c r="E48" s="6"/>
      <c r="F48" s="6"/>
      <c r="G48" s="6"/>
      <c r="H48" s="6"/>
      <c r="I48" s="6"/>
      <c r="J48" s="6"/>
    </row>
    <row r="49" ht="15.75" customHeight="1">
      <c r="A49" s="5" t="s">
        <v>1757</v>
      </c>
      <c r="B49" s="5" t="s">
        <v>2411</v>
      </c>
      <c r="C49" s="4" t="s">
        <v>2048</v>
      </c>
      <c r="D49" s="5" t="s">
        <v>2048</v>
      </c>
      <c r="E49" s="4" t="s">
        <v>2529</v>
      </c>
      <c r="F49" s="5" t="s">
        <v>863</v>
      </c>
      <c r="G49" s="4" t="s">
        <v>2530</v>
      </c>
      <c r="H49" s="5" t="s">
        <v>2382</v>
      </c>
      <c r="I49" s="5" t="s">
        <v>461</v>
      </c>
      <c r="J49" s="4"/>
    </row>
    <row r="50" ht="15.75" customHeight="1">
      <c r="A50" s="8" t="s">
        <v>1757</v>
      </c>
      <c r="B50" s="8" t="s">
        <v>2411</v>
      </c>
      <c r="C50" s="7" t="s">
        <v>2537</v>
      </c>
      <c r="D50" s="8" t="s">
        <v>2540</v>
      </c>
      <c r="E50" s="7" t="s">
        <v>2543</v>
      </c>
      <c r="F50" s="8" t="s">
        <v>863</v>
      </c>
      <c r="G50" s="7" t="s">
        <v>2546</v>
      </c>
      <c r="H50" s="8" t="s">
        <v>582</v>
      </c>
      <c r="I50" s="8" t="s">
        <v>461</v>
      </c>
      <c r="J50" s="7"/>
    </row>
    <row r="51" ht="15.75" customHeight="1">
      <c r="A51" s="5" t="s">
        <v>1757</v>
      </c>
      <c r="B51" s="5" t="s">
        <v>2411</v>
      </c>
      <c r="C51" s="4" t="s">
        <v>501</v>
      </c>
      <c r="D51" s="5" t="s">
        <v>2031</v>
      </c>
      <c r="E51" s="4" t="s">
        <v>2554</v>
      </c>
      <c r="F51" s="5" t="s">
        <v>863</v>
      </c>
      <c r="G51" s="4" t="s">
        <v>2555</v>
      </c>
      <c r="H51" s="5" t="s">
        <v>1113</v>
      </c>
      <c r="I51" s="5" t="s">
        <v>461</v>
      </c>
      <c r="J51" s="4" t="s">
        <v>2558</v>
      </c>
    </row>
    <row r="52" ht="15.75" customHeight="1">
      <c r="A52" s="8" t="s">
        <v>1757</v>
      </c>
      <c r="B52" s="8" t="s">
        <v>2411</v>
      </c>
      <c r="C52" s="7" t="s">
        <v>2456</v>
      </c>
      <c r="D52" s="8" t="s">
        <v>2022</v>
      </c>
      <c r="E52" s="7" t="s">
        <v>2562</v>
      </c>
      <c r="F52" s="8" t="s">
        <v>863</v>
      </c>
      <c r="G52" s="7" t="s">
        <v>2564</v>
      </c>
      <c r="H52" s="8" t="s">
        <v>582</v>
      </c>
      <c r="I52" s="8" t="s">
        <v>461</v>
      </c>
      <c r="J52" s="7"/>
    </row>
    <row r="53" ht="15.75" customHeight="1">
      <c r="A53" s="5" t="s">
        <v>1757</v>
      </c>
      <c r="B53" s="5" t="s">
        <v>2481</v>
      </c>
      <c r="C53" s="4" t="s">
        <v>2568</v>
      </c>
      <c r="D53" s="5" t="s">
        <v>2484</v>
      </c>
      <c r="E53" s="4" t="s">
        <v>2570</v>
      </c>
      <c r="F53" s="5" t="s">
        <v>582</v>
      </c>
      <c r="G53" s="4" t="s">
        <v>582</v>
      </c>
      <c r="H53" s="5" t="s">
        <v>2450</v>
      </c>
      <c r="I53" s="5" t="s">
        <v>461</v>
      </c>
      <c r="J53" s="4" t="s">
        <v>2575</v>
      </c>
    </row>
    <row r="54" ht="15.75" customHeight="1">
      <c r="A54" s="6" t="s">
        <v>2576</v>
      </c>
      <c r="B54" s="6"/>
      <c r="C54" s="6"/>
      <c r="D54" s="6"/>
      <c r="E54" s="6"/>
      <c r="F54" s="6"/>
      <c r="G54" s="6"/>
      <c r="H54" s="6"/>
      <c r="I54" s="6"/>
      <c r="J54" s="6"/>
    </row>
    <row r="55" ht="15.75" customHeight="1">
      <c r="A55" s="5" t="s">
        <v>1576</v>
      </c>
      <c r="B55" s="5" t="s">
        <v>2585</v>
      </c>
      <c r="C55" s="4" t="s">
        <v>2586</v>
      </c>
      <c r="D55" s="5" t="s">
        <v>2588</v>
      </c>
      <c r="E55" s="4" t="s">
        <v>2590</v>
      </c>
      <c r="F55" s="5" t="s">
        <v>863</v>
      </c>
      <c r="G55" s="4" t="s">
        <v>582</v>
      </c>
      <c r="H55" s="5" t="s">
        <v>582</v>
      </c>
      <c r="I55" s="5" t="s">
        <v>2066</v>
      </c>
      <c r="J55" s="4" t="s">
        <v>2595</v>
      </c>
    </row>
    <row r="56" ht="15.75" customHeight="1">
      <c r="A56" s="8" t="s">
        <v>1576</v>
      </c>
      <c r="B56" s="8" t="s">
        <v>2585</v>
      </c>
      <c r="C56" s="7" t="s">
        <v>2599</v>
      </c>
      <c r="D56" s="8" t="s">
        <v>2001</v>
      </c>
      <c r="E56" s="7" t="s">
        <v>2601</v>
      </c>
      <c r="F56" s="8" t="s">
        <v>863</v>
      </c>
      <c r="G56" s="7" t="s">
        <v>582</v>
      </c>
      <c r="H56" s="8" t="s">
        <v>582</v>
      </c>
      <c r="I56" s="8" t="s">
        <v>2066</v>
      </c>
      <c r="J56" s="7" t="s">
        <v>2606</v>
      </c>
    </row>
    <row r="57" ht="15.75" customHeight="1">
      <c r="A57" s="5" t="s">
        <v>1576</v>
      </c>
      <c r="B57" s="5" t="s">
        <v>2611</v>
      </c>
      <c r="C57" s="4" t="s">
        <v>2612</v>
      </c>
      <c r="D57" s="5" t="s">
        <v>2614</v>
      </c>
      <c r="E57" s="4" t="s">
        <v>2616</v>
      </c>
      <c r="F57" s="5" t="s">
        <v>863</v>
      </c>
      <c r="G57" s="4" t="s">
        <v>582</v>
      </c>
      <c r="H57" s="5" t="s">
        <v>582</v>
      </c>
      <c r="I57" s="5" t="s">
        <v>2066</v>
      </c>
      <c r="J57" s="4"/>
    </row>
    <row r="58" ht="15.75" customHeight="1">
      <c r="A58" s="8" t="s">
        <v>1576</v>
      </c>
      <c r="B58" s="8" t="s">
        <v>2611</v>
      </c>
      <c r="C58" s="7" t="s">
        <v>2622</v>
      </c>
      <c r="D58" s="8" t="s">
        <v>2625</v>
      </c>
      <c r="E58" s="7" t="s">
        <v>2628</v>
      </c>
      <c r="F58" s="8" t="s">
        <v>863</v>
      </c>
      <c r="G58" s="7" t="s">
        <v>582</v>
      </c>
      <c r="H58" s="8" t="s">
        <v>582</v>
      </c>
      <c r="I58" s="8" t="s">
        <v>2066</v>
      </c>
      <c r="J58" s="7" t="s">
        <v>2634</v>
      </c>
    </row>
    <row r="59" ht="15.75" customHeight="1">
      <c r="A59" s="5" t="s">
        <v>1576</v>
      </c>
      <c r="B59" s="5" t="s">
        <v>2611</v>
      </c>
      <c r="C59" s="4" t="s">
        <v>2637</v>
      </c>
      <c r="D59" s="5" t="s">
        <v>2625</v>
      </c>
      <c r="E59" s="4" t="s">
        <v>2639</v>
      </c>
      <c r="F59" s="5" t="s">
        <v>863</v>
      </c>
      <c r="G59" s="4" t="s">
        <v>582</v>
      </c>
      <c r="H59" s="5" t="s">
        <v>582</v>
      </c>
      <c r="I59" s="5" t="s">
        <v>2066</v>
      </c>
      <c r="J59" s="4" t="s">
        <v>2645</v>
      </c>
    </row>
    <row r="60" ht="15.75" customHeight="1">
      <c r="A60" s="8" t="s">
        <v>1576</v>
      </c>
      <c r="B60" s="8" t="s">
        <v>2648</v>
      </c>
      <c r="C60" s="7" t="s">
        <v>2649</v>
      </c>
      <c r="D60" s="8" t="s">
        <v>2001</v>
      </c>
      <c r="E60" s="7" t="s">
        <v>2650</v>
      </c>
      <c r="F60" s="8" t="s">
        <v>863</v>
      </c>
      <c r="G60" s="7" t="s">
        <v>582</v>
      </c>
      <c r="H60" s="8" t="s">
        <v>582</v>
      </c>
      <c r="I60" s="8" t="s">
        <v>2066</v>
      </c>
      <c r="J60" s="7" t="s">
        <v>2652</v>
      </c>
    </row>
    <row r="61" ht="15.75" customHeight="1">
      <c r="A61" s="5" t="s">
        <v>1576</v>
      </c>
      <c r="B61" s="5" t="s">
        <v>2648</v>
      </c>
      <c r="C61" s="4" t="s">
        <v>2655</v>
      </c>
      <c r="D61" s="5" t="s">
        <v>2657</v>
      </c>
      <c r="E61" s="4" t="s">
        <v>2659</v>
      </c>
      <c r="F61" s="5" t="s">
        <v>863</v>
      </c>
      <c r="G61" s="4" t="s">
        <v>582</v>
      </c>
      <c r="H61" s="5" t="s">
        <v>582</v>
      </c>
      <c r="I61" s="5" t="s">
        <v>2066</v>
      </c>
      <c r="J61" s="4"/>
    </row>
    <row r="62" ht="15.75" customHeight="1">
      <c r="A62" s="8" t="s">
        <v>1576</v>
      </c>
      <c r="B62" s="8" t="s">
        <v>2663</v>
      </c>
      <c r="C62" s="7" t="s">
        <v>2665</v>
      </c>
      <c r="D62" s="8" t="s">
        <v>2666</v>
      </c>
      <c r="E62" s="7" t="s">
        <v>1317</v>
      </c>
      <c r="F62" s="8" t="s">
        <v>863</v>
      </c>
      <c r="G62" s="7" t="s">
        <v>582</v>
      </c>
      <c r="H62" s="8" t="s">
        <v>582</v>
      </c>
      <c r="I62" s="8" t="s">
        <v>2066</v>
      </c>
      <c r="J62" s="7"/>
    </row>
    <row r="63" ht="15.75" customHeight="1">
      <c r="A63" s="5" t="s">
        <v>1576</v>
      </c>
      <c r="B63" s="5" t="s">
        <v>2669</v>
      </c>
      <c r="C63" s="4" t="s">
        <v>2670</v>
      </c>
      <c r="D63" s="5" t="s">
        <v>2666</v>
      </c>
      <c r="E63" s="4" t="s">
        <v>1332</v>
      </c>
      <c r="F63" s="5" t="s">
        <v>863</v>
      </c>
      <c r="G63" s="4" t="s">
        <v>582</v>
      </c>
      <c r="H63" s="5" t="s">
        <v>582</v>
      </c>
      <c r="I63" s="5" t="s">
        <v>2066</v>
      </c>
      <c r="J63" s="4" t="s">
        <v>2677</v>
      </c>
    </row>
    <row r="64" ht="15.75" customHeight="1">
      <c r="A64" s="8" t="s">
        <v>1576</v>
      </c>
      <c r="B64" s="8" t="s">
        <v>2681</v>
      </c>
      <c r="C64" s="7" t="s">
        <v>2684</v>
      </c>
      <c r="D64" s="8" t="s">
        <v>2022</v>
      </c>
      <c r="E64" s="7" t="s">
        <v>2685</v>
      </c>
      <c r="F64" s="8" t="s">
        <v>863</v>
      </c>
      <c r="G64" s="7" t="s">
        <v>582</v>
      </c>
      <c r="H64" s="8" t="s">
        <v>582</v>
      </c>
      <c r="I64" s="8" t="s">
        <v>2688</v>
      </c>
      <c r="J64" s="7"/>
    </row>
    <row r="65" ht="15.75" customHeight="1">
      <c r="A65" s="5" t="s">
        <v>1576</v>
      </c>
      <c r="B65" s="5" t="s">
        <v>2690</v>
      </c>
      <c r="C65" s="4" t="s">
        <v>2692</v>
      </c>
      <c r="D65" s="5" t="s">
        <v>2695</v>
      </c>
      <c r="E65" s="4" t="s">
        <v>582</v>
      </c>
      <c r="F65" s="5" t="s">
        <v>582</v>
      </c>
      <c r="G65" s="4" t="s">
        <v>2698</v>
      </c>
      <c r="H65" s="5" t="s">
        <v>582</v>
      </c>
      <c r="I65" s="5" t="s">
        <v>2702</v>
      </c>
      <c r="J65" s="4" t="s">
        <v>2703</v>
      </c>
    </row>
    <row r="66" ht="15.75" customHeight="1">
      <c r="A66" s="8" t="s">
        <v>1576</v>
      </c>
      <c r="B66" s="8" t="s">
        <v>2705</v>
      </c>
      <c r="C66" s="7" t="s">
        <v>2707</v>
      </c>
      <c r="D66" s="8" t="s">
        <v>2709</v>
      </c>
      <c r="E66" s="7" t="s">
        <v>2710</v>
      </c>
      <c r="F66" s="8" t="s">
        <v>582</v>
      </c>
      <c r="G66" s="7" t="s">
        <v>582</v>
      </c>
      <c r="H66" s="8" t="s">
        <v>582</v>
      </c>
      <c r="I66" s="8" t="s">
        <v>2714</v>
      </c>
      <c r="J66" s="7" t="s">
        <v>2715</v>
      </c>
    </row>
    <row r="67" ht="15.75" customHeight="1">
      <c r="A67" s="6" t="s">
        <v>2718</v>
      </c>
      <c r="B67" s="6"/>
      <c r="C67" s="6"/>
      <c r="D67" s="6"/>
      <c r="E67" s="6"/>
      <c r="F67" s="6"/>
      <c r="G67" s="6"/>
      <c r="H67" s="6"/>
      <c r="I67" s="6"/>
      <c r="J67" s="6"/>
    </row>
    <row r="68" ht="15.75" customHeight="1">
      <c r="A68" s="8" t="s">
        <v>2501</v>
      </c>
      <c r="B68" s="8" t="s">
        <v>2728</v>
      </c>
      <c r="C68" s="7" t="s">
        <v>2731</v>
      </c>
      <c r="D68" s="8" t="s">
        <v>2484</v>
      </c>
      <c r="E68" s="7" t="s">
        <v>2735</v>
      </c>
      <c r="F68" s="8" t="s">
        <v>582</v>
      </c>
      <c r="G68" s="7" t="s">
        <v>582</v>
      </c>
      <c r="H68" s="8" t="s">
        <v>2450</v>
      </c>
      <c r="I68" s="8" t="s">
        <v>2505</v>
      </c>
      <c r="J68" s="7" t="s">
        <v>2740</v>
      </c>
    </row>
    <row r="69" ht="15.75" customHeight="1">
      <c r="A69" s="5" t="s">
        <v>2501</v>
      </c>
      <c r="B69" s="5" t="s">
        <v>2744</v>
      </c>
      <c r="C69" s="4" t="s">
        <v>1936</v>
      </c>
      <c r="D69" s="5" t="s">
        <v>2031</v>
      </c>
      <c r="E69" s="4" t="s">
        <v>2748</v>
      </c>
      <c r="F69" s="5" t="s">
        <v>863</v>
      </c>
      <c r="G69" s="4" t="s">
        <v>2752</v>
      </c>
      <c r="H69" s="5" t="s">
        <v>582</v>
      </c>
      <c r="I69" s="5" t="s">
        <v>461</v>
      </c>
      <c r="J69" s="4"/>
    </row>
    <row r="70" ht="15.75" customHeight="1">
      <c r="A70" s="8" t="s">
        <v>2501</v>
      </c>
      <c r="B70" s="8" t="s">
        <v>2744</v>
      </c>
      <c r="C70" s="7" t="s">
        <v>2757</v>
      </c>
      <c r="D70" s="8" t="s">
        <v>2709</v>
      </c>
      <c r="E70" s="7" t="s">
        <v>2760</v>
      </c>
      <c r="F70" s="8" t="s">
        <v>863</v>
      </c>
      <c r="G70" s="7" t="s">
        <v>2763</v>
      </c>
      <c r="H70" s="8" t="s">
        <v>582</v>
      </c>
      <c r="I70" s="8" t="s">
        <v>461</v>
      </c>
      <c r="J70" s="7" t="s">
        <v>2766</v>
      </c>
    </row>
    <row r="71" ht="15.75" customHeight="1">
      <c r="A71" s="5" t="s">
        <v>2501</v>
      </c>
      <c r="B71" s="5" t="s">
        <v>2744</v>
      </c>
      <c r="C71" s="4" t="s">
        <v>2772</v>
      </c>
      <c r="D71" s="5" t="s">
        <v>2657</v>
      </c>
      <c r="E71" s="4" t="s">
        <v>2776</v>
      </c>
      <c r="F71" s="5" t="s">
        <v>863</v>
      </c>
      <c r="G71" s="4" t="s">
        <v>2778</v>
      </c>
      <c r="H71" s="5" t="s">
        <v>582</v>
      </c>
      <c r="I71" s="5" t="s">
        <v>461</v>
      </c>
      <c r="J71" s="4" t="s">
        <v>2782</v>
      </c>
    </row>
    <row r="72" ht="15.75" customHeight="1">
      <c r="A72" s="8" t="s">
        <v>2501</v>
      </c>
      <c r="B72" s="8" t="s">
        <v>2785</v>
      </c>
      <c r="C72" s="7" t="s">
        <v>2787</v>
      </c>
      <c r="D72" s="8" t="s">
        <v>2204</v>
      </c>
      <c r="E72" s="7" t="s">
        <v>2789</v>
      </c>
      <c r="F72" s="8" t="s">
        <v>863</v>
      </c>
      <c r="G72" s="7" t="s">
        <v>2791</v>
      </c>
      <c r="H72" s="8" t="s">
        <v>582</v>
      </c>
      <c r="I72" s="8" t="s">
        <v>461</v>
      </c>
      <c r="J72" s="7" t="s">
        <v>2795</v>
      </c>
    </row>
    <row r="73" ht="15.75" customHeight="1">
      <c r="A73" s="5" t="s">
        <v>2501</v>
      </c>
      <c r="B73" s="5" t="s">
        <v>2785</v>
      </c>
      <c r="C73" s="4" t="s">
        <v>2798</v>
      </c>
      <c r="D73" s="5" t="s">
        <v>2204</v>
      </c>
      <c r="E73" s="4" t="s">
        <v>2789</v>
      </c>
      <c r="F73" s="5" t="s">
        <v>1130</v>
      </c>
      <c r="G73" s="4" t="s">
        <v>2802</v>
      </c>
      <c r="H73" s="5" t="s">
        <v>582</v>
      </c>
      <c r="I73" s="5" t="s">
        <v>461</v>
      </c>
      <c r="J73" s="4"/>
    </row>
    <row r="74" ht="15.75" customHeight="1">
      <c r="A74" s="8" t="s">
        <v>2501</v>
      </c>
      <c r="B74" s="8" t="s">
        <v>2806</v>
      </c>
      <c r="C74" s="7" t="s">
        <v>2808</v>
      </c>
      <c r="D74" s="8" t="s">
        <v>2809</v>
      </c>
      <c r="E74" s="7" t="s">
        <v>2811</v>
      </c>
      <c r="F74" s="8" t="s">
        <v>1130</v>
      </c>
      <c r="G74" s="7" t="s">
        <v>2815</v>
      </c>
      <c r="H74" s="8" t="s">
        <v>2440</v>
      </c>
      <c r="I74" s="8" t="s">
        <v>2819</v>
      </c>
      <c r="J74" s="7" t="s">
        <v>2821</v>
      </c>
    </row>
    <row r="75" ht="15.75" customHeight="1">
      <c r="A75" s="6" t="s">
        <v>2823</v>
      </c>
      <c r="B75" s="6"/>
      <c r="C75" s="6"/>
      <c r="D75" s="6"/>
      <c r="E75" s="6"/>
      <c r="F75" s="6"/>
      <c r="G75" s="6"/>
      <c r="H75" s="6"/>
      <c r="I75" s="6"/>
      <c r="J75" s="6"/>
    </row>
    <row r="76" ht="15.75" customHeight="1">
      <c r="A76" s="8" t="s">
        <v>2514</v>
      </c>
      <c r="B76" s="8" t="s">
        <v>2517</v>
      </c>
      <c r="C76" s="7" t="s">
        <v>501</v>
      </c>
      <c r="D76" s="8" t="s">
        <v>2031</v>
      </c>
      <c r="E76" s="7" t="s">
        <v>2832</v>
      </c>
      <c r="F76" s="8" t="s">
        <v>863</v>
      </c>
      <c r="G76" s="7" t="s">
        <v>2834</v>
      </c>
      <c r="H76" s="8" t="s">
        <v>582</v>
      </c>
      <c r="I76" s="8" t="s">
        <v>1167</v>
      </c>
      <c r="J76" s="7" t="s">
        <v>2838</v>
      </c>
    </row>
    <row r="77" ht="15.75" customHeight="1">
      <c r="A77" s="5" t="s">
        <v>2514</v>
      </c>
      <c r="B77" s="5" t="s">
        <v>2517</v>
      </c>
      <c r="C77" s="4" t="s">
        <v>2841</v>
      </c>
      <c r="D77" s="5" t="s">
        <v>2204</v>
      </c>
      <c r="E77" s="4" t="s">
        <v>2845</v>
      </c>
      <c r="F77" s="5" t="s">
        <v>2846</v>
      </c>
      <c r="G77" s="4" t="s">
        <v>2847</v>
      </c>
      <c r="H77" s="5" t="s">
        <v>582</v>
      </c>
      <c r="I77" s="5" t="s">
        <v>1167</v>
      </c>
      <c r="J77" s="4" t="s">
        <v>2853</v>
      </c>
    </row>
    <row r="78" ht="15.75" customHeight="1">
      <c r="A78" s="8" t="s">
        <v>2514</v>
      </c>
      <c r="B78" s="8" t="s">
        <v>2517</v>
      </c>
      <c r="C78" s="7" t="s">
        <v>2856</v>
      </c>
      <c r="D78" s="8" t="s">
        <v>2204</v>
      </c>
      <c r="E78" s="7" t="s">
        <v>2859</v>
      </c>
      <c r="F78" s="8" t="s">
        <v>863</v>
      </c>
      <c r="G78" s="7" t="s">
        <v>2860</v>
      </c>
      <c r="H78" s="8" t="s">
        <v>582</v>
      </c>
      <c r="I78" s="8" t="s">
        <v>1167</v>
      </c>
      <c r="J78" s="7" t="s">
        <v>2864</v>
      </c>
    </row>
    <row r="79" ht="15.75" customHeight="1">
      <c r="A79" s="5" t="s">
        <v>2514</v>
      </c>
      <c r="B79" s="5" t="s">
        <v>2481</v>
      </c>
      <c r="C79" s="4" t="s">
        <v>2866</v>
      </c>
      <c r="D79" s="5" t="s">
        <v>2484</v>
      </c>
      <c r="E79" s="4" t="s">
        <v>2868</v>
      </c>
      <c r="F79" s="5" t="s">
        <v>582</v>
      </c>
      <c r="G79" s="4" t="s">
        <v>582</v>
      </c>
      <c r="H79" s="5" t="s">
        <v>2450</v>
      </c>
      <c r="I79" s="5" t="s">
        <v>1167</v>
      </c>
      <c r="J79" s="4" t="s">
        <v>2873</v>
      </c>
    </row>
    <row r="80" ht="15.75" customHeight="1">
      <c r="A80" s="8" t="s">
        <v>2514</v>
      </c>
      <c r="B80" s="8" t="s">
        <v>2876</v>
      </c>
      <c r="C80" s="7" t="s">
        <v>2878</v>
      </c>
      <c r="D80" s="8" t="s">
        <v>2022</v>
      </c>
      <c r="E80" s="7" t="s">
        <v>2881</v>
      </c>
      <c r="F80" s="8" t="s">
        <v>2395</v>
      </c>
      <c r="G80" s="7" t="s">
        <v>2884</v>
      </c>
      <c r="H80" s="8" t="s">
        <v>582</v>
      </c>
      <c r="I80" s="8" t="s">
        <v>2885</v>
      </c>
      <c r="J80" s="7"/>
    </row>
    <row r="81" ht="15.75" customHeight="1">
      <c r="A81" s="6" t="s">
        <v>2887</v>
      </c>
      <c r="B81" s="6"/>
      <c r="C81" s="6"/>
      <c r="D81" s="6"/>
      <c r="E81" s="6"/>
      <c r="F81" s="6"/>
      <c r="G81" s="6"/>
      <c r="H81" s="6"/>
      <c r="I81" s="6"/>
      <c r="J81" s="6"/>
    </row>
    <row r="82" ht="15.75" customHeight="1">
      <c r="A82" s="8" t="s">
        <v>2192</v>
      </c>
      <c r="B82" s="8" t="s">
        <v>2894</v>
      </c>
      <c r="C82" s="7" t="s">
        <v>2896</v>
      </c>
      <c r="D82" s="8" t="s">
        <v>2204</v>
      </c>
      <c r="E82" s="7" t="s">
        <v>2899</v>
      </c>
      <c r="F82" s="8" t="s">
        <v>863</v>
      </c>
      <c r="G82" s="7" t="s">
        <v>2860</v>
      </c>
      <c r="H82" s="8" t="s">
        <v>582</v>
      </c>
      <c r="I82" s="8" t="s">
        <v>236</v>
      </c>
      <c r="J82" s="7"/>
    </row>
    <row r="83" ht="15.75" customHeight="1">
      <c r="A83" s="5" t="s">
        <v>2192</v>
      </c>
      <c r="B83" s="5" t="s">
        <v>2894</v>
      </c>
      <c r="C83" s="4" t="s">
        <v>2905</v>
      </c>
      <c r="D83" s="5" t="s">
        <v>2031</v>
      </c>
      <c r="E83" s="4" t="s">
        <v>2906</v>
      </c>
      <c r="F83" s="5" t="s">
        <v>863</v>
      </c>
      <c r="G83" s="4" t="s">
        <v>2910</v>
      </c>
      <c r="H83" s="5" t="s">
        <v>2911</v>
      </c>
      <c r="I83" s="5" t="s">
        <v>236</v>
      </c>
      <c r="J83" s="4" t="s">
        <v>2913</v>
      </c>
    </row>
    <row r="84" ht="15.75" customHeight="1">
      <c r="A84" s="8" t="s">
        <v>2192</v>
      </c>
      <c r="B84" s="8" t="s">
        <v>2894</v>
      </c>
      <c r="C84" s="7" t="s">
        <v>2917</v>
      </c>
      <c r="D84" s="8" t="s">
        <v>2048</v>
      </c>
      <c r="E84" s="7" t="s">
        <v>2918</v>
      </c>
      <c r="F84" s="8" t="s">
        <v>863</v>
      </c>
      <c r="G84" s="7" t="s">
        <v>2920</v>
      </c>
      <c r="H84" s="8" t="s">
        <v>582</v>
      </c>
      <c r="I84" s="8" t="s">
        <v>236</v>
      </c>
      <c r="J84" s="7"/>
    </row>
    <row r="85" ht="15.75" customHeight="1">
      <c r="A85" s="5" t="s">
        <v>2192</v>
      </c>
      <c r="B85" s="5" t="s">
        <v>2926</v>
      </c>
      <c r="C85" s="4" t="s">
        <v>2929</v>
      </c>
      <c r="D85" s="5" t="s">
        <v>2496</v>
      </c>
      <c r="E85" s="4" t="s">
        <v>2932</v>
      </c>
      <c r="F85" s="5" t="s">
        <v>582</v>
      </c>
      <c r="G85" s="4" t="s">
        <v>2935</v>
      </c>
      <c r="H85" s="5" t="s">
        <v>2937</v>
      </c>
      <c r="I85" s="5" t="s">
        <v>236</v>
      </c>
      <c r="J85" s="4" t="s">
        <v>2939</v>
      </c>
    </row>
    <row r="86" ht="15.75" customHeight="1">
      <c r="A86" s="8" t="s">
        <v>2192</v>
      </c>
      <c r="B86" s="8" t="s">
        <v>1981</v>
      </c>
      <c r="C86" s="7" t="s">
        <v>2941</v>
      </c>
      <c r="D86" s="8" t="s">
        <v>2496</v>
      </c>
      <c r="E86" s="7" t="s">
        <v>2942</v>
      </c>
      <c r="F86" s="8" t="s">
        <v>582</v>
      </c>
      <c r="G86" s="7" t="s">
        <v>2949</v>
      </c>
      <c r="H86" s="8" t="s">
        <v>582</v>
      </c>
      <c r="I86" s="8" t="s">
        <v>2952</v>
      </c>
      <c r="J86" s="7" t="s">
        <v>2953</v>
      </c>
    </row>
    <row r="87" ht="15.75" customHeight="1">
      <c r="A87" s="6" t="s">
        <v>2956</v>
      </c>
      <c r="B87" s="6"/>
      <c r="C87" s="6"/>
      <c r="D87" s="6"/>
      <c r="E87" s="6"/>
      <c r="F87" s="6"/>
      <c r="G87" s="6"/>
      <c r="H87" s="6"/>
      <c r="I87" s="6"/>
      <c r="J87" s="6"/>
    </row>
    <row r="88" ht="15.75" customHeight="1">
      <c r="A88" s="8" t="s">
        <v>2349</v>
      </c>
      <c r="B88" s="8" t="s">
        <v>2961</v>
      </c>
      <c r="C88" s="7" t="s">
        <v>2964</v>
      </c>
      <c r="D88" s="8" t="s">
        <v>2666</v>
      </c>
      <c r="E88" s="7" t="s">
        <v>2966</v>
      </c>
      <c r="F88" s="8" t="s">
        <v>863</v>
      </c>
      <c r="G88" s="7" t="s">
        <v>2968</v>
      </c>
      <c r="H88" s="8" t="s">
        <v>2970</v>
      </c>
      <c r="I88" s="8" t="s">
        <v>2971</v>
      </c>
      <c r="J88" s="7"/>
    </row>
    <row r="89" ht="15.75" customHeight="1">
      <c r="A89" s="5" t="s">
        <v>2349</v>
      </c>
      <c r="B89" s="5" t="s">
        <v>2961</v>
      </c>
      <c r="C89" s="4" t="s">
        <v>2974</v>
      </c>
      <c r="D89" s="5" t="s">
        <v>2976</v>
      </c>
      <c r="E89" s="4" t="s">
        <v>2977</v>
      </c>
      <c r="F89" s="5" t="s">
        <v>863</v>
      </c>
      <c r="G89" s="4" t="s">
        <v>2980</v>
      </c>
      <c r="H89" s="5" t="s">
        <v>2983</v>
      </c>
      <c r="I89" s="5" t="s">
        <v>2971</v>
      </c>
      <c r="J89" s="4"/>
    </row>
    <row r="90" ht="15.75" customHeight="1">
      <c r="A90" s="8" t="s">
        <v>2349</v>
      </c>
      <c r="B90" s="8" t="s">
        <v>2961</v>
      </c>
      <c r="C90" s="7" t="s">
        <v>2988</v>
      </c>
      <c r="D90" s="8" t="s">
        <v>2022</v>
      </c>
      <c r="E90" s="7" t="s">
        <v>2989</v>
      </c>
      <c r="F90" s="8" t="s">
        <v>2991</v>
      </c>
      <c r="G90" s="7" t="s">
        <v>2993</v>
      </c>
      <c r="H90" s="8" t="s">
        <v>582</v>
      </c>
      <c r="I90" s="8" t="s">
        <v>2885</v>
      </c>
      <c r="J90" s="7"/>
    </row>
    <row r="91" ht="15.75" customHeight="1">
      <c r="A91" s="5" t="s">
        <v>2349</v>
      </c>
      <c r="B91" s="5" t="s">
        <v>2961</v>
      </c>
      <c r="C91" s="4" t="s">
        <v>2997</v>
      </c>
      <c r="D91" s="5" t="s">
        <v>2709</v>
      </c>
      <c r="E91" s="4" t="s">
        <v>2999</v>
      </c>
      <c r="F91" s="5" t="s">
        <v>1130</v>
      </c>
      <c r="G91" s="4" t="s">
        <v>3000</v>
      </c>
      <c r="H91" s="5" t="s">
        <v>582</v>
      </c>
      <c r="I91" s="5" t="s">
        <v>3003</v>
      </c>
      <c r="J91" s="4" t="s">
        <v>3005</v>
      </c>
    </row>
    <row r="92" ht="15.75" customHeight="1">
      <c r="A92" s="8" t="s">
        <v>2349</v>
      </c>
      <c r="B92" s="8" t="s">
        <v>2585</v>
      </c>
      <c r="C92" s="7" t="s">
        <v>3007</v>
      </c>
      <c r="D92" s="8" t="s">
        <v>2484</v>
      </c>
      <c r="E92" s="7" t="s">
        <v>3009</v>
      </c>
      <c r="F92" s="8" t="s">
        <v>582</v>
      </c>
      <c r="G92" s="7" t="s">
        <v>582</v>
      </c>
      <c r="H92" s="8" t="s">
        <v>2450</v>
      </c>
      <c r="I92" s="8" t="s">
        <v>3003</v>
      </c>
      <c r="J92" s="7" t="s">
        <v>3016</v>
      </c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92"/>
  <mergeCells count="2">
    <mergeCell ref="A1:J1"/>
    <mergeCell ref="A2:J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0.0"/>
    <col customWidth="1" min="2" max="2" width="86.0"/>
    <col customWidth="1" min="3" max="3" width="26.0"/>
    <col customWidth="1" min="4" max="4" width="46.0"/>
    <col customWidth="1" min="5" max="5" width="24.0"/>
    <col customWidth="1" min="6" max="6" width="34.0"/>
    <col customWidth="1" min="7" max="7" width="22.0"/>
    <col customWidth="1" min="8" max="26" width="8.71"/>
  </cols>
  <sheetData>
    <row r="1" ht="19.5" customHeight="1">
      <c r="A1" s="1" t="s">
        <v>2609</v>
      </c>
    </row>
    <row r="2" ht="25.5" customHeight="1">
      <c r="A2" s="2" t="s">
        <v>2619</v>
      </c>
    </row>
    <row r="4" ht="30.0" customHeight="1">
      <c r="A4" s="3" t="s">
        <v>91</v>
      </c>
      <c r="B4" s="3" t="s">
        <v>2632</v>
      </c>
      <c r="C4" s="3" t="s">
        <v>2635</v>
      </c>
      <c r="D4" s="3" t="s">
        <v>2636</v>
      </c>
      <c r="E4" s="3" t="s">
        <v>2638</v>
      </c>
      <c r="F4" s="3" t="s">
        <v>2641</v>
      </c>
      <c r="G4" s="3" t="s">
        <v>2642</v>
      </c>
    </row>
    <row r="5">
      <c r="A5" s="6" t="s">
        <v>2647</v>
      </c>
      <c r="B5" s="6"/>
      <c r="C5" s="6"/>
      <c r="D5" s="6"/>
      <c r="E5" s="6"/>
      <c r="F5" s="6"/>
      <c r="G5" s="6"/>
    </row>
    <row r="6">
      <c r="A6" s="8" t="s">
        <v>535</v>
      </c>
      <c r="B6" s="7" t="s">
        <v>2660</v>
      </c>
      <c r="C6" s="7" t="s">
        <v>2661</v>
      </c>
      <c r="D6" s="7" t="s">
        <v>1977</v>
      </c>
      <c r="E6" s="8" t="s">
        <v>2664</v>
      </c>
      <c r="F6" s="7" t="s">
        <v>2667</v>
      </c>
      <c r="G6" s="8" t="s">
        <v>2668</v>
      </c>
    </row>
    <row r="7">
      <c r="A7" s="5" t="s">
        <v>552</v>
      </c>
      <c r="B7" s="4" t="s">
        <v>2672</v>
      </c>
      <c r="C7" s="4" t="s">
        <v>949</v>
      </c>
      <c r="D7" s="4" t="s">
        <v>2675</v>
      </c>
      <c r="E7" s="5" t="s">
        <v>2679</v>
      </c>
      <c r="F7" s="4" t="s">
        <v>550</v>
      </c>
      <c r="G7" s="5" t="s">
        <v>2682</v>
      </c>
    </row>
    <row r="8">
      <c r="A8" s="8" t="s">
        <v>562</v>
      </c>
      <c r="B8" s="7" t="s">
        <v>2686</v>
      </c>
      <c r="C8" s="7" t="s">
        <v>2687</v>
      </c>
      <c r="D8" s="7" t="s">
        <v>2675</v>
      </c>
      <c r="E8" s="8" t="s">
        <v>2679</v>
      </c>
      <c r="F8" s="7" t="s">
        <v>559</v>
      </c>
      <c r="G8" s="8" t="s">
        <v>2694</v>
      </c>
    </row>
    <row r="9">
      <c r="A9" s="5" t="s">
        <v>578</v>
      </c>
      <c r="B9" s="4" t="s">
        <v>2700</v>
      </c>
      <c r="C9" s="4" t="s">
        <v>582</v>
      </c>
      <c r="D9" s="4" t="s">
        <v>2704</v>
      </c>
      <c r="E9" s="5" t="s">
        <v>2664</v>
      </c>
      <c r="F9" s="4" t="s">
        <v>572</v>
      </c>
      <c r="G9" s="5" t="s">
        <v>2708</v>
      </c>
    </row>
    <row r="10">
      <c r="A10" s="8" t="s">
        <v>594</v>
      </c>
      <c r="B10" s="7" t="s">
        <v>2711</v>
      </c>
      <c r="C10" s="7" t="s">
        <v>2712</v>
      </c>
      <c r="D10" s="7" t="s">
        <v>2713</v>
      </c>
      <c r="E10" s="8" t="s">
        <v>2664</v>
      </c>
      <c r="F10" s="7" t="s">
        <v>2716</v>
      </c>
      <c r="G10" s="8" t="s">
        <v>2717</v>
      </c>
    </row>
    <row r="11">
      <c r="A11" s="5" t="s">
        <v>622</v>
      </c>
      <c r="B11" s="4" t="s">
        <v>2719</v>
      </c>
      <c r="C11" s="4" t="s">
        <v>2721</v>
      </c>
      <c r="D11" s="4" t="s">
        <v>2722</v>
      </c>
      <c r="E11" s="5" t="s">
        <v>995</v>
      </c>
      <c r="F11" s="4" t="s">
        <v>2723</v>
      </c>
      <c r="G11" s="5" t="s">
        <v>2725</v>
      </c>
    </row>
    <row r="12">
      <c r="A12" s="8" t="s">
        <v>641</v>
      </c>
      <c r="B12" s="7" t="s">
        <v>2729</v>
      </c>
      <c r="C12" s="7" t="s">
        <v>2732</v>
      </c>
      <c r="D12" s="7" t="s">
        <v>2733</v>
      </c>
      <c r="E12" s="8" t="s">
        <v>995</v>
      </c>
      <c r="F12" s="7" t="s">
        <v>635</v>
      </c>
      <c r="G12" s="8" t="s">
        <v>2737</v>
      </c>
    </row>
    <row r="13">
      <c r="A13" s="5" t="s">
        <v>2738</v>
      </c>
      <c r="B13" s="4" t="s">
        <v>2739</v>
      </c>
      <c r="C13" s="4" t="s">
        <v>2741</v>
      </c>
      <c r="D13" s="4" t="s">
        <v>2742</v>
      </c>
      <c r="E13" s="5" t="s">
        <v>995</v>
      </c>
      <c r="F13" s="4" t="s">
        <v>635</v>
      </c>
      <c r="G13" s="5" t="s">
        <v>2746</v>
      </c>
    </row>
    <row r="14">
      <c r="A14" s="8" t="s">
        <v>657</v>
      </c>
      <c r="B14" s="7" t="s">
        <v>2750</v>
      </c>
      <c r="C14" s="7" t="s">
        <v>582</v>
      </c>
      <c r="D14" s="7" t="s">
        <v>2754</v>
      </c>
      <c r="E14" s="8" t="s">
        <v>2664</v>
      </c>
      <c r="F14" s="7" t="s">
        <v>653</v>
      </c>
      <c r="G14" s="8" t="s">
        <v>2756</v>
      </c>
    </row>
    <row r="15">
      <c r="A15" s="5" t="s">
        <v>691</v>
      </c>
      <c r="B15" s="4" t="s">
        <v>2758</v>
      </c>
      <c r="C15" s="4" t="s">
        <v>2759</v>
      </c>
      <c r="D15" s="4" t="s">
        <v>2761</v>
      </c>
      <c r="E15" s="5" t="s">
        <v>995</v>
      </c>
      <c r="F15" s="4" t="s">
        <v>2260</v>
      </c>
      <c r="G15" s="5" t="s">
        <v>2764</v>
      </c>
    </row>
    <row r="16">
      <c r="A16" s="8" t="s">
        <v>708</v>
      </c>
      <c r="B16" s="7" t="s">
        <v>2769</v>
      </c>
      <c r="C16" s="7" t="s">
        <v>582</v>
      </c>
      <c r="D16" s="7" t="s">
        <v>2771</v>
      </c>
      <c r="E16" s="8" t="s">
        <v>2773</v>
      </c>
      <c r="F16" s="7" t="s">
        <v>2775</v>
      </c>
      <c r="G16" s="8" t="s">
        <v>2777</v>
      </c>
    </row>
    <row r="17">
      <c r="A17" s="5" t="s">
        <v>735</v>
      </c>
      <c r="B17" s="4" t="s">
        <v>2780</v>
      </c>
      <c r="C17" s="4" t="s">
        <v>2781</v>
      </c>
      <c r="D17" s="4" t="s">
        <v>2783</v>
      </c>
      <c r="E17" s="5" t="s">
        <v>2664</v>
      </c>
      <c r="F17" s="4" t="s">
        <v>2784</v>
      </c>
      <c r="G17" s="5" t="s">
        <v>2786</v>
      </c>
    </row>
    <row r="18">
      <c r="A18" s="8" t="s">
        <v>760</v>
      </c>
      <c r="B18" s="7" t="s">
        <v>2788</v>
      </c>
      <c r="C18" s="7" t="s">
        <v>763</v>
      </c>
      <c r="D18" s="7" t="s">
        <v>2790</v>
      </c>
      <c r="E18" s="8" t="s">
        <v>2664</v>
      </c>
      <c r="F18" s="7" t="s">
        <v>2792</v>
      </c>
      <c r="G18" s="8" t="s">
        <v>2794</v>
      </c>
    </row>
    <row r="19">
      <c r="A19" s="6" t="s">
        <v>321</v>
      </c>
      <c r="B19" s="6"/>
      <c r="C19" s="6"/>
      <c r="D19" s="6"/>
      <c r="E19" s="6"/>
      <c r="F19" s="6"/>
      <c r="G19" s="6"/>
    </row>
    <row r="20">
      <c r="A20" s="8" t="s">
        <v>779</v>
      </c>
      <c r="B20" s="7" t="s">
        <v>2801</v>
      </c>
      <c r="C20" s="7" t="s">
        <v>2803</v>
      </c>
      <c r="D20" s="7" t="s">
        <v>2804</v>
      </c>
      <c r="E20" s="8" t="s">
        <v>2664</v>
      </c>
      <c r="F20" s="7" t="s">
        <v>774</v>
      </c>
      <c r="G20" s="8" t="s">
        <v>2807</v>
      </c>
    </row>
    <row r="21" ht="15.75" customHeight="1">
      <c r="A21" s="5" t="s">
        <v>798</v>
      </c>
      <c r="B21" s="4" t="s">
        <v>2814</v>
      </c>
      <c r="C21" s="4" t="s">
        <v>2817</v>
      </c>
      <c r="D21" s="4" t="s">
        <v>2818</v>
      </c>
      <c r="E21" s="5" t="s">
        <v>888</v>
      </c>
      <c r="F21" s="4" t="s">
        <v>793</v>
      </c>
      <c r="G21" s="5" t="s">
        <v>2822</v>
      </c>
    </row>
    <row r="22" ht="15.75" customHeight="1">
      <c r="A22" s="8" t="s">
        <v>815</v>
      </c>
      <c r="B22" s="7" t="s">
        <v>2824</v>
      </c>
      <c r="C22" s="7" t="s">
        <v>582</v>
      </c>
      <c r="D22" s="7" t="s">
        <v>2783</v>
      </c>
      <c r="E22" s="8" t="s">
        <v>2664</v>
      </c>
      <c r="F22" s="7" t="s">
        <v>809</v>
      </c>
      <c r="G22" s="8" t="s">
        <v>2827</v>
      </c>
    </row>
    <row r="23" ht="15.75" customHeight="1">
      <c r="A23" s="5" t="s">
        <v>2830</v>
      </c>
      <c r="B23" s="4" t="s">
        <v>2833</v>
      </c>
      <c r="C23" s="4" t="s">
        <v>582</v>
      </c>
      <c r="D23" s="4" t="s">
        <v>2835</v>
      </c>
      <c r="E23" s="5" t="s">
        <v>888</v>
      </c>
      <c r="F23" s="4" t="s">
        <v>2837</v>
      </c>
      <c r="G23" s="5" t="s">
        <v>2839</v>
      </c>
    </row>
    <row r="24" ht="15.75" customHeight="1">
      <c r="A24" s="8" t="s">
        <v>835</v>
      </c>
      <c r="B24" s="7" t="s">
        <v>2840</v>
      </c>
      <c r="C24" s="7" t="s">
        <v>2842</v>
      </c>
      <c r="D24" s="7" t="s">
        <v>2844</v>
      </c>
      <c r="E24" s="8" t="s">
        <v>2664</v>
      </c>
      <c r="F24" s="7" t="s">
        <v>831</v>
      </c>
      <c r="G24" s="8" t="s">
        <v>2848</v>
      </c>
    </row>
    <row r="25" ht="15.75" customHeight="1">
      <c r="A25" s="5" t="s">
        <v>851</v>
      </c>
      <c r="B25" s="4" t="s">
        <v>2852</v>
      </c>
      <c r="C25" s="4" t="s">
        <v>582</v>
      </c>
      <c r="D25" s="4" t="s">
        <v>2783</v>
      </c>
      <c r="E25" s="5" t="s">
        <v>2855</v>
      </c>
      <c r="F25" s="4" t="s">
        <v>848</v>
      </c>
      <c r="G25" s="5" t="s">
        <v>2858</v>
      </c>
    </row>
    <row r="26" ht="15.75" customHeight="1">
      <c r="A26" s="8" t="s">
        <v>873</v>
      </c>
      <c r="B26" s="7" t="s">
        <v>2862</v>
      </c>
      <c r="C26" s="7" t="s">
        <v>582</v>
      </c>
      <c r="D26" s="7" t="s">
        <v>2863</v>
      </c>
      <c r="E26" s="8" t="s">
        <v>2664</v>
      </c>
      <c r="F26" s="7" t="s">
        <v>866</v>
      </c>
      <c r="G26" s="8" t="s">
        <v>2865</v>
      </c>
    </row>
    <row r="27" ht="15.75" customHeight="1">
      <c r="A27" s="5" t="s">
        <v>896</v>
      </c>
      <c r="B27" s="4" t="s">
        <v>2867</v>
      </c>
      <c r="C27" s="4" t="s">
        <v>2869</v>
      </c>
      <c r="D27" s="4" t="s">
        <v>2870</v>
      </c>
      <c r="E27" s="5" t="s">
        <v>1174</v>
      </c>
      <c r="F27" s="4" t="s">
        <v>2871</v>
      </c>
      <c r="G27" s="5" t="s">
        <v>2872</v>
      </c>
    </row>
    <row r="28" ht="15.75" customHeight="1">
      <c r="A28" s="8" t="s">
        <v>920</v>
      </c>
      <c r="B28" s="7" t="s">
        <v>2875</v>
      </c>
      <c r="C28" s="7" t="s">
        <v>2721</v>
      </c>
      <c r="D28" s="7" t="s">
        <v>2879</v>
      </c>
      <c r="E28" s="8" t="s">
        <v>1019</v>
      </c>
      <c r="F28" s="7" t="s">
        <v>917</v>
      </c>
      <c r="G28" s="8" t="s">
        <v>2883</v>
      </c>
    </row>
    <row r="29" ht="15.75" customHeight="1">
      <c r="A29" s="5" t="s">
        <v>952</v>
      </c>
      <c r="B29" s="4" t="s">
        <v>2886</v>
      </c>
      <c r="C29" s="4" t="s">
        <v>582</v>
      </c>
      <c r="D29" s="4" t="s">
        <v>1977</v>
      </c>
      <c r="E29" s="5" t="s">
        <v>2664</v>
      </c>
      <c r="F29" s="4" t="s">
        <v>944</v>
      </c>
      <c r="G29" s="5" t="s">
        <v>2888</v>
      </c>
    </row>
    <row r="30" ht="15.75" customHeight="1">
      <c r="A30" s="8" t="s">
        <v>1045</v>
      </c>
      <c r="B30" s="7" t="s">
        <v>2890</v>
      </c>
      <c r="C30" s="7" t="s">
        <v>582</v>
      </c>
      <c r="D30" s="7" t="s">
        <v>2893</v>
      </c>
      <c r="E30" s="8" t="s">
        <v>2664</v>
      </c>
      <c r="F30" s="7" t="s">
        <v>2897</v>
      </c>
      <c r="G30" s="8" t="s">
        <v>2898</v>
      </c>
    </row>
    <row r="31" ht="15.75" customHeight="1">
      <c r="A31" s="5" t="s">
        <v>1029</v>
      </c>
      <c r="B31" s="4" t="s">
        <v>2901</v>
      </c>
      <c r="C31" s="4" t="s">
        <v>582</v>
      </c>
      <c r="D31" s="4" t="s">
        <v>2879</v>
      </c>
      <c r="E31" s="5" t="s">
        <v>2664</v>
      </c>
      <c r="F31" s="4" t="s">
        <v>2902</v>
      </c>
      <c r="G31" s="5" t="s">
        <v>2904</v>
      </c>
    </row>
    <row r="32" ht="15.75" customHeight="1">
      <c r="A32" s="8" t="s">
        <v>1069</v>
      </c>
      <c r="B32" s="7" t="s">
        <v>2908</v>
      </c>
      <c r="C32" s="7" t="s">
        <v>582</v>
      </c>
      <c r="D32" s="7" t="s">
        <v>2783</v>
      </c>
      <c r="E32" s="8" t="s">
        <v>2664</v>
      </c>
      <c r="F32" s="7" t="s">
        <v>1063</v>
      </c>
      <c r="G32" s="8" t="s">
        <v>2914</v>
      </c>
    </row>
    <row r="33" ht="15.75" customHeight="1">
      <c r="A33" s="5" t="s">
        <v>1084</v>
      </c>
      <c r="B33" s="4" t="s">
        <v>2916</v>
      </c>
      <c r="C33" s="4" t="s">
        <v>582</v>
      </c>
      <c r="D33" s="4" t="s">
        <v>2844</v>
      </c>
      <c r="E33" s="5" t="s">
        <v>2664</v>
      </c>
      <c r="F33" s="4" t="s">
        <v>1078</v>
      </c>
      <c r="G33" s="5" t="s">
        <v>2921</v>
      </c>
    </row>
    <row r="34" ht="15.75" customHeight="1">
      <c r="A34" s="8" t="s">
        <v>1107</v>
      </c>
      <c r="B34" s="7" t="s">
        <v>2923</v>
      </c>
      <c r="C34" s="7" t="s">
        <v>1698</v>
      </c>
      <c r="D34" s="7" t="s">
        <v>2927</v>
      </c>
      <c r="E34" s="8" t="s">
        <v>1217</v>
      </c>
      <c r="F34" s="7" t="s">
        <v>2930</v>
      </c>
      <c r="G34" s="8" t="s">
        <v>2933</v>
      </c>
    </row>
    <row r="35" ht="15.75" customHeight="1">
      <c r="A35" s="5" t="s">
        <v>1122</v>
      </c>
      <c r="B35" s="4" t="s">
        <v>2936</v>
      </c>
      <c r="C35" s="4" t="s">
        <v>582</v>
      </c>
      <c r="D35" s="4" t="s">
        <v>2844</v>
      </c>
      <c r="E35" s="5" t="s">
        <v>2664</v>
      </c>
      <c r="F35" s="4" t="s">
        <v>1119</v>
      </c>
      <c r="G35" s="5" t="s">
        <v>2940</v>
      </c>
    </row>
    <row r="36" ht="15.75" customHeight="1">
      <c r="A36" s="8" t="s">
        <v>1152</v>
      </c>
      <c r="B36" s="7" t="s">
        <v>2943</v>
      </c>
      <c r="C36" s="7" t="s">
        <v>582</v>
      </c>
      <c r="D36" s="7" t="s">
        <v>162</v>
      </c>
      <c r="E36" s="8" t="s">
        <v>1243</v>
      </c>
      <c r="F36" s="7" t="s">
        <v>1144</v>
      </c>
      <c r="G36" s="8" t="s">
        <v>2945</v>
      </c>
    </row>
    <row r="37" ht="15.75" customHeight="1">
      <c r="A37" s="5" t="s">
        <v>1175</v>
      </c>
      <c r="B37" s="4" t="s">
        <v>2948</v>
      </c>
      <c r="C37" s="4" t="s">
        <v>582</v>
      </c>
      <c r="D37" s="4" t="s">
        <v>2951</v>
      </c>
      <c r="E37" s="5" t="s">
        <v>2664</v>
      </c>
      <c r="F37" s="4" t="s">
        <v>1169</v>
      </c>
      <c r="G37" s="5" t="s">
        <v>2955</v>
      </c>
    </row>
    <row r="38" ht="15.75" customHeight="1">
      <c r="A38" s="8" t="s">
        <v>1195</v>
      </c>
      <c r="B38" s="7" t="s">
        <v>2957</v>
      </c>
      <c r="C38" s="7" t="s">
        <v>582</v>
      </c>
      <c r="D38" s="7" t="s">
        <v>2951</v>
      </c>
      <c r="E38" s="8" t="s">
        <v>2664</v>
      </c>
      <c r="F38" s="7" t="s">
        <v>2958</v>
      </c>
      <c r="G38" s="8" t="s">
        <v>2960</v>
      </c>
    </row>
    <row r="39" ht="15.75" customHeight="1">
      <c r="A39" s="5" t="s">
        <v>1223</v>
      </c>
      <c r="B39" s="4" t="s">
        <v>2963</v>
      </c>
      <c r="C39" s="4" t="s">
        <v>582</v>
      </c>
      <c r="D39" s="4" t="s">
        <v>2879</v>
      </c>
      <c r="E39" s="5" t="s">
        <v>2664</v>
      </c>
      <c r="F39" s="4" t="s">
        <v>1209</v>
      </c>
      <c r="G39" s="5" t="s">
        <v>2969</v>
      </c>
    </row>
    <row r="40" ht="15.75" customHeight="1">
      <c r="A40" s="8" t="s">
        <v>1259</v>
      </c>
      <c r="B40" s="7" t="s">
        <v>2972</v>
      </c>
      <c r="C40" s="7" t="s">
        <v>2973</v>
      </c>
      <c r="D40" s="7" t="s">
        <v>162</v>
      </c>
      <c r="E40" s="8" t="s">
        <v>888</v>
      </c>
      <c r="F40" s="7" t="s">
        <v>1251</v>
      </c>
      <c r="G40" s="8" t="s">
        <v>2978</v>
      </c>
    </row>
    <row r="41" ht="15.75" customHeight="1">
      <c r="A41" s="5" t="s">
        <v>1279</v>
      </c>
      <c r="B41" s="4" t="s">
        <v>2982</v>
      </c>
      <c r="C41" s="4" t="s">
        <v>2984</v>
      </c>
      <c r="D41" s="4" t="s">
        <v>2986</v>
      </c>
      <c r="E41" s="5" t="s">
        <v>888</v>
      </c>
      <c r="F41" s="4" t="s">
        <v>1275</v>
      </c>
      <c r="G41" s="5" t="s">
        <v>2987</v>
      </c>
    </row>
    <row r="42" ht="15.75" customHeight="1">
      <c r="A42" s="8" t="s">
        <v>1300</v>
      </c>
      <c r="B42" s="7" t="s">
        <v>2990</v>
      </c>
      <c r="C42" s="7" t="s">
        <v>2992</v>
      </c>
      <c r="D42" s="7" t="s">
        <v>2994</v>
      </c>
      <c r="E42" s="8" t="s">
        <v>888</v>
      </c>
      <c r="F42" s="7" t="s">
        <v>1295</v>
      </c>
      <c r="G42" s="8" t="s">
        <v>2995</v>
      </c>
    </row>
    <row r="43" ht="15.75" customHeight="1">
      <c r="A43" s="6" t="s">
        <v>2996</v>
      </c>
      <c r="B43" s="6"/>
      <c r="C43" s="6"/>
      <c r="D43" s="6"/>
      <c r="E43" s="6"/>
      <c r="F43" s="6"/>
      <c r="G43" s="6"/>
    </row>
    <row r="44" ht="15.75" customHeight="1">
      <c r="A44" s="8" t="s">
        <v>1329</v>
      </c>
      <c r="B44" s="7" t="s">
        <v>3001</v>
      </c>
      <c r="C44" s="7" t="s">
        <v>3002</v>
      </c>
      <c r="D44" s="7" t="s">
        <v>3004</v>
      </c>
      <c r="E44" s="8" t="s">
        <v>888</v>
      </c>
      <c r="F44" s="7" t="s">
        <v>1323</v>
      </c>
      <c r="G44" s="8" t="s">
        <v>3006</v>
      </c>
    </row>
    <row r="45" ht="15.75" customHeight="1">
      <c r="A45" s="5" t="s">
        <v>1352</v>
      </c>
      <c r="B45" s="4" t="s">
        <v>3008</v>
      </c>
      <c r="C45" s="4" t="s">
        <v>3010</v>
      </c>
      <c r="D45" s="4" t="s">
        <v>3011</v>
      </c>
      <c r="E45" s="5" t="s">
        <v>888</v>
      </c>
      <c r="F45" s="4" t="s">
        <v>3013</v>
      </c>
      <c r="G45" s="5" t="s">
        <v>3014</v>
      </c>
    </row>
    <row r="46" ht="15.75" customHeight="1">
      <c r="A46" s="8" t="s">
        <v>3017</v>
      </c>
      <c r="B46" s="7" t="s">
        <v>3019</v>
      </c>
      <c r="C46" s="7" t="s">
        <v>3021</v>
      </c>
      <c r="D46" s="7" t="s">
        <v>3022</v>
      </c>
      <c r="E46" s="8" t="s">
        <v>888</v>
      </c>
      <c r="F46" s="7" t="s">
        <v>1346</v>
      </c>
      <c r="G46" s="8" t="s">
        <v>3023</v>
      </c>
    </row>
    <row r="47" ht="15.75" customHeight="1">
      <c r="A47" s="5" t="s">
        <v>1367</v>
      </c>
      <c r="B47" s="4" t="s">
        <v>3024</v>
      </c>
      <c r="C47" s="4" t="s">
        <v>3025</v>
      </c>
      <c r="D47" s="4" t="s">
        <v>3026</v>
      </c>
      <c r="E47" s="5" t="s">
        <v>888</v>
      </c>
      <c r="F47" s="4" t="s">
        <v>1364</v>
      </c>
      <c r="G47" s="5" t="s">
        <v>3028</v>
      </c>
    </row>
    <row r="48" ht="15.75" customHeight="1">
      <c r="A48" s="8" t="s">
        <v>1386</v>
      </c>
      <c r="B48" s="7" t="s">
        <v>3031</v>
      </c>
      <c r="C48" s="7" t="s">
        <v>582</v>
      </c>
      <c r="D48" s="7" t="s">
        <v>2783</v>
      </c>
      <c r="E48" s="8" t="s">
        <v>2664</v>
      </c>
      <c r="F48" s="7" t="s">
        <v>1379</v>
      </c>
      <c r="G48" s="8" t="s">
        <v>3034</v>
      </c>
    </row>
    <row r="49" ht="15.75" customHeight="1">
      <c r="A49" s="5" t="s">
        <v>3035</v>
      </c>
      <c r="B49" s="4" t="s">
        <v>3036</v>
      </c>
      <c r="C49" s="4" t="s">
        <v>582</v>
      </c>
      <c r="D49" s="4" t="s">
        <v>2844</v>
      </c>
      <c r="E49" s="5" t="s">
        <v>2664</v>
      </c>
      <c r="F49" s="4" t="s">
        <v>3038</v>
      </c>
      <c r="G49" s="5" t="s">
        <v>3039</v>
      </c>
    </row>
    <row r="50" ht="15.75" customHeight="1">
      <c r="A50" s="8" t="s">
        <v>1412</v>
      </c>
      <c r="B50" s="7" t="s">
        <v>3041</v>
      </c>
      <c r="C50" s="7" t="s">
        <v>582</v>
      </c>
      <c r="D50" s="7" t="s">
        <v>2783</v>
      </c>
      <c r="E50" s="8" t="s">
        <v>2664</v>
      </c>
      <c r="F50" s="7" t="s">
        <v>1407</v>
      </c>
      <c r="G50" s="8" t="s">
        <v>3044</v>
      </c>
    </row>
    <row r="51" ht="15.75" customHeight="1">
      <c r="A51" s="5" t="s">
        <v>1429</v>
      </c>
      <c r="B51" s="4" t="s">
        <v>3046</v>
      </c>
      <c r="C51" s="4" t="s">
        <v>3047</v>
      </c>
      <c r="D51" s="4" t="s">
        <v>3048</v>
      </c>
      <c r="E51" s="5" t="s">
        <v>888</v>
      </c>
      <c r="F51" s="4" t="s">
        <v>1424</v>
      </c>
      <c r="G51" s="5" t="s">
        <v>3050</v>
      </c>
    </row>
    <row r="52" ht="15.75" customHeight="1">
      <c r="A52" s="8" t="s">
        <v>1447</v>
      </c>
      <c r="B52" s="7" t="s">
        <v>3051</v>
      </c>
      <c r="C52" s="7" t="s">
        <v>582</v>
      </c>
      <c r="D52" s="7" t="s">
        <v>2844</v>
      </c>
      <c r="E52" s="8" t="s">
        <v>2664</v>
      </c>
      <c r="F52" s="7" t="s">
        <v>1442</v>
      </c>
      <c r="G52" s="8" t="s">
        <v>3055</v>
      </c>
    </row>
    <row r="53" ht="15.75" customHeight="1">
      <c r="A53" s="5" t="s">
        <v>1468</v>
      </c>
      <c r="B53" s="4" t="s">
        <v>3057</v>
      </c>
      <c r="C53" s="4" t="s">
        <v>3058</v>
      </c>
      <c r="D53" s="4" t="s">
        <v>3059</v>
      </c>
      <c r="E53" s="5" t="s">
        <v>888</v>
      </c>
      <c r="F53" s="4" t="s">
        <v>1460</v>
      </c>
      <c r="G53" s="5" t="s">
        <v>3060</v>
      </c>
    </row>
    <row r="54" ht="15.75" customHeight="1">
      <c r="A54" s="8" t="s">
        <v>1483</v>
      </c>
      <c r="B54" s="7" t="s">
        <v>3062</v>
      </c>
      <c r="C54" s="7" t="s">
        <v>582</v>
      </c>
      <c r="D54" s="7" t="s">
        <v>2783</v>
      </c>
      <c r="E54" s="8" t="s">
        <v>2664</v>
      </c>
      <c r="F54" s="7" t="s">
        <v>1479</v>
      </c>
      <c r="G54" s="8" t="s">
        <v>3067</v>
      </c>
    </row>
    <row r="55" ht="15.75" customHeight="1">
      <c r="A55" s="5" t="s">
        <v>1501</v>
      </c>
      <c r="B55" s="4" t="s">
        <v>3069</v>
      </c>
      <c r="C55" s="4" t="s">
        <v>3070</v>
      </c>
      <c r="D55" s="4" t="s">
        <v>3071</v>
      </c>
      <c r="E55" s="5" t="s">
        <v>1476</v>
      </c>
      <c r="F55" s="4" t="s">
        <v>1498</v>
      </c>
      <c r="G55" s="5" t="s">
        <v>3073</v>
      </c>
    </row>
    <row r="56" ht="15.75" customHeight="1">
      <c r="A56" s="8" t="s">
        <v>1514</v>
      </c>
      <c r="B56" s="7" t="s">
        <v>3074</v>
      </c>
      <c r="C56" s="7" t="s">
        <v>582</v>
      </c>
      <c r="D56" s="7" t="s">
        <v>2844</v>
      </c>
      <c r="E56" s="8" t="s">
        <v>2664</v>
      </c>
      <c r="F56" s="7" t="s">
        <v>3076</v>
      </c>
      <c r="G56" s="8" t="s">
        <v>3077</v>
      </c>
    </row>
    <row r="57" ht="15.75" customHeight="1">
      <c r="A57" s="5" t="s">
        <v>1527</v>
      </c>
      <c r="B57" s="4" t="s">
        <v>3081</v>
      </c>
      <c r="C57" s="4" t="s">
        <v>3083</v>
      </c>
      <c r="D57" s="4" t="s">
        <v>3084</v>
      </c>
      <c r="E57" s="5" t="s">
        <v>1476</v>
      </c>
      <c r="F57" s="4" t="s">
        <v>1524</v>
      </c>
      <c r="G57" s="5" t="s">
        <v>3086</v>
      </c>
    </row>
    <row r="58" ht="15.75" customHeight="1">
      <c r="A58" s="8" t="s">
        <v>1535</v>
      </c>
      <c r="B58" s="7" t="s">
        <v>3087</v>
      </c>
      <c r="C58" s="7" t="s">
        <v>582</v>
      </c>
      <c r="D58" s="7" t="s">
        <v>2783</v>
      </c>
      <c r="E58" s="8" t="s">
        <v>2664</v>
      </c>
      <c r="F58" s="7" t="s">
        <v>1532</v>
      </c>
      <c r="G58" s="8" t="s">
        <v>3089</v>
      </c>
    </row>
    <row r="59" ht="15.75" customHeight="1">
      <c r="A59" s="5" t="s">
        <v>1543</v>
      </c>
      <c r="B59" s="4" t="s">
        <v>3092</v>
      </c>
      <c r="C59" s="4" t="s">
        <v>582</v>
      </c>
      <c r="D59" s="4" t="s">
        <v>3094</v>
      </c>
      <c r="E59" s="5" t="s">
        <v>2664</v>
      </c>
      <c r="F59" s="4" t="s">
        <v>1541</v>
      </c>
      <c r="G59" s="5" t="s">
        <v>3097</v>
      </c>
    </row>
    <row r="60" ht="15.75" customHeight="1">
      <c r="A60" s="6" t="s">
        <v>3098</v>
      </c>
      <c r="B60" s="6"/>
      <c r="C60" s="6"/>
      <c r="D60" s="6"/>
      <c r="E60" s="6"/>
      <c r="F60" s="6"/>
      <c r="G60" s="6"/>
    </row>
    <row r="61" ht="15.75" customHeight="1">
      <c r="A61" s="5" t="s">
        <v>1554</v>
      </c>
      <c r="B61" s="4" t="s">
        <v>3100</v>
      </c>
      <c r="C61" s="4" t="s">
        <v>582</v>
      </c>
      <c r="D61" s="4" t="s">
        <v>3103</v>
      </c>
      <c r="E61" s="5" t="s">
        <v>2664</v>
      </c>
      <c r="F61" s="4" t="s">
        <v>1552</v>
      </c>
      <c r="G61" s="5" t="s">
        <v>3106</v>
      </c>
    </row>
    <row r="62" ht="15.75" customHeight="1">
      <c r="A62" s="8" t="s">
        <v>1562</v>
      </c>
      <c r="B62" s="7" t="s">
        <v>3108</v>
      </c>
      <c r="C62" s="7" t="s">
        <v>3109</v>
      </c>
      <c r="D62" s="7" t="s">
        <v>3110</v>
      </c>
      <c r="E62" s="8" t="s">
        <v>1426</v>
      </c>
      <c r="F62" s="7" t="s">
        <v>1560</v>
      </c>
      <c r="G62" s="8" t="s">
        <v>3111</v>
      </c>
    </row>
    <row r="63" ht="15.75" customHeight="1">
      <c r="A63" s="5" t="s">
        <v>1574</v>
      </c>
      <c r="B63" s="4" t="s">
        <v>3113</v>
      </c>
      <c r="C63" s="4" t="s">
        <v>582</v>
      </c>
      <c r="D63" s="4" t="s">
        <v>3116</v>
      </c>
      <c r="E63" s="5" t="s">
        <v>2664</v>
      </c>
      <c r="F63" s="4" t="s">
        <v>1570</v>
      </c>
      <c r="G63" s="5" t="s">
        <v>3119</v>
      </c>
    </row>
    <row r="64" ht="15.75" customHeight="1">
      <c r="A64" s="8" t="s">
        <v>1585</v>
      </c>
      <c r="B64" s="7" t="s">
        <v>3122</v>
      </c>
      <c r="C64" s="7" t="s">
        <v>582</v>
      </c>
      <c r="D64" s="7" t="s">
        <v>3123</v>
      </c>
      <c r="E64" s="8" t="s">
        <v>2664</v>
      </c>
      <c r="F64" s="7" t="s">
        <v>1582</v>
      </c>
      <c r="G64" s="8" t="s">
        <v>3125</v>
      </c>
    </row>
    <row r="65" ht="15.75" customHeight="1">
      <c r="A65" s="5" t="s">
        <v>1597</v>
      </c>
      <c r="B65" s="4" t="s">
        <v>3126</v>
      </c>
      <c r="C65" s="4" t="s">
        <v>582</v>
      </c>
      <c r="D65" s="4" t="s">
        <v>3127</v>
      </c>
      <c r="E65" s="5" t="s">
        <v>2664</v>
      </c>
      <c r="F65" s="4" t="s">
        <v>3128</v>
      </c>
      <c r="G65" s="5" t="s">
        <v>3129</v>
      </c>
    </row>
    <row r="66" ht="15.75" customHeight="1">
      <c r="A66" s="8" t="s">
        <v>1608</v>
      </c>
      <c r="B66" s="7" t="s">
        <v>3130</v>
      </c>
      <c r="C66" s="7" t="s">
        <v>582</v>
      </c>
      <c r="D66" s="7" t="s">
        <v>3131</v>
      </c>
      <c r="E66" s="8" t="s">
        <v>1452</v>
      </c>
      <c r="F66" s="7" t="s">
        <v>1606</v>
      </c>
      <c r="G66" s="8" t="s">
        <v>3133</v>
      </c>
    </row>
    <row r="67" ht="15.75" customHeight="1">
      <c r="A67" s="5" t="s">
        <v>1619</v>
      </c>
      <c r="B67" s="4" t="s">
        <v>3136</v>
      </c>
      <c r="C67" s="4" t="s">
        <v>1622</v>
      </c>
      <c r="D67" s="4" t="s">
        <v>3138</v>
      </c>
      <c r="E67" s="5" t="s">
        <v>1233</v>
      </c>
      <c r="F67" s="4" t="s">
        <v>1616</v>
      </c>
      <c r="G67" s="5" t="s">
        <v>3139</v>
      </c>
    </row>
    <row r="68" ht="15.75" customHeight="1">
      <c r="A68" s="8" t="s">
        <v>1632</v>
      </c>
      <c r="B68" s="7" t="s">
        <v>3140</v>
      </c>
      <c r="C68" s="7" t="s">
        <v>582</v>
      </c>
      <c r="D68" s="7" t="s">
        <v>3141</v>
      </c>
      <c r="E68" s="8" t="s">
        <v>2664</v>
      </c>
      <c r="F68" s="7" t="s">
        <v>1628</v>
      </c>
      <c r="G68" s="8" t="s">
        <v>3143</v>
      </c>
    </row>
    <row r="69" ht="15.75" customHeight="1">
      <c r="A69" s="5" t="s">
        <v>1641</v>
      </c>
      <c r="B69" s="4" t="s">
        <v>3146</v>
      </c>
      <c r="C69" s="4" t="s">
        <v>582</v>
      </c>
      <c r="D69" s="4" t="s">
        <v>3148</v>
      </c>
      <c r="E69" s="5" t="s">
        <v>2664</v>
      </c>
      <c r="F69" s="4" t="s">
        <v>1639</v>
      </c>
      <c r="G69" s="5" t="s">
        <v>3151</v>
      </c>
    </row>
    <row r="70" ht="15.75" customHeight="1">
      <c r="A70" s="8" t="s">
        <v>1655</v>
      </c>
      <c r="B70" s="7" t="s">
        <v>3152</v>
      </c>
      <c r="C70" s="7" t="s">
        <v>582</v>
      </c>
      <c r="D70" s="7" t="s">
        <v>3153</v>
      </c>
      <c r="E70" s="8" t="s">
        <v>2664</v>
      </c>
      <c r="F70" s="7" t="s">
        <v>1652</v>
      </c>
      <c r="G70" s="8" t="s">
        <v>3155</v>
      </c>
    </row>
    <row r="71" ht="15.75" customHeight="1">
      <c r="A71" s="5" t="s">
        <v>1664</v>
      </c>
      <c r="B71" s="4" t="s">
        <v>3156</v>
      </c>
      <c r="C71" s="4" t="s">
        <v>3157</v>
      </c>
      <c r="D71" s="4" t="s">
        <v>3158</v>
      </c>
      <c r="E71" s="5" t="s">
        <v>1476</v>
      </c>
      <c r="F71" s="4" t="s">
        <v>1662</v>
      </c>
      <c r="G71" s="5" t="s">
        <v>3159</v>
      </c>
    </row>
    <row r="72" ht="15.75" customHeight="1">
      <c r="A72" s="8" t="s">
        <v>1673</v>
      </c>
      <c r="B72" s="7" t="s">
        <v>3160</v>
      </c>
      <c r="C72" s="7" t="s">
        <v>3161</v>
      </c>
      <c r="D72" s="7" t="s">
        <v>3162</v>
      </c>
      <c r="E72" s="8" t="s">
        <v>1476</v>
      </c>
      <c r="F72" s="7" t="s">
        <v>1671</v>
      </c>
      <c r="G72" s="8" t="s">
        <v>3163</v>
      </c>
    </row>
    <row r="73" ht="15.75" customHeight="1">
      <c r="A73" s="5" t="s">
        <v>1681</v>
      </c>
      <c r="B73" s="4" t="s">
        <v>3164</v>
      </c>
      <c r="C73" s="4" t="s">
        <v>3165</v>
      </c>
      <c r="D73" s="4" t="s">
        <v>3166</v>
      </c>
      <c r="E73" s="5" t="s">
        <v>1476</v>
      </c>
      <c r="F73" s="4" t="s">
        <v>1679</v>
      </c>
      <c r="G73" s="5" t="s">
        <v>3167</v>
      </c>
    </row>
    <row r="74" ht="15.75" customHeight="1">
      <c r="A74" s="8" t="s">
        <v>1688</v>
      </c>
      <c r="B74" s="7" t="s">
        <v>3168</v>
      </c>
      <c r="C74" s="7" t="s">
        <v>3170</v>
      </c>
      <c r="D74" s="7" t="s">
        <v>3172</v>
      </c>
      <c r="E74" s="8" t="s">
        <v>1476</v>
      </c>
      <c r="F74" s="7" t="s">
        <v>1685</v>
      </c>
      <c r="G74" s="8" t="s">
        <v>3175</v>
      </c>
    </row>
    <row r="75" ht="15.75" customHeight="1">
      <c r="A75" s="5" t="s">
        <v>1697</v>
      </c>
      <c r="B75" s="4" t="s">
        <v>3178</v>
      </c>
      <c r="C75" s="4" t="s">
        <v>1698</v>
      </c>
      <c r="D75" s="4" t="s">
        <v>3179</v>
      </c>
      <c r="E75" s="5" t="s">
        <v>1217</v>
      </c>
      <c r="F75" s="4" t="s">
        <v>1694</v>
      </c>
      <c r="G75" s="5" t="s">
        <v>3180</v>
      </c>
    </row>
    <row r="76" ht="15.75" customHeight="1">
      <c r="A76" s="8" t="s">
        <v>1709</v>
      </c>
      <c r="B76" s="7" t="s">
        <v>3182</v>
      </c>
      <c r="C76" s="7" t="s">
        <v>3183</v>
      </c>
      <c r="D76" s="7" t="s">
        <v>3185</v>
      </c>
      <c r="E76" s="8" t="s">
        <v>1476</v>
      </c>
      <c r="F76" s="7" t="s">
        <v>1704</v>
      </c>
      <c r="G76" s="8" t="s">
        <v>3188</v>
      </c>
    </row>
    <row r="77" ht="15.75" customHeight="1">
      <c r="A77" s="5" t="s">
        <v>1720</v>
      </c>
      <c r="B77" s="4" t="s">
        <v>3191</v>
      </c>
      <c r="C77" s="4" t="s">
        <v>582</v>
      </c>
      <c r="D77" s="4" t="s">
        <v>3192</v>
      </c>
      <c r="E77" s="5" t="s">
        <v>1476</v>
      </c>
      <c r="F77" s="4" t="s">
        <v>1717</v>
      </c>
      <c r="G77" s="5" t="s">
        <v>3193</v>
      </c>
    </row>
    <row r="78" ht="15.75" customHeight="1">
      <c r="A78" s="8" t="s">
        <v>1729</v>
      </c>
      <c r="B78" s="7" t="s">
        <v>3195</v>
      </c>
      <c r="C78" s="7" t="s">
        <v>3197</v>
      </c>
      <c r="D78" s="7" t="s">
        <v>3199</v>
      </c>
      <c r="E78" s="8" t="s">
        <v>1476</v>
      </c>
      <c r="F78" s="7" t="s">
        <v>1725</v>
      </c>
      <c r="G78" s="8" t="s">
        <v>3203</v>
      </c>
    </row>
    <row r="79" ht="15.75" customHeight="1">
      <c r="A79" s="5" t="s">
        <v>1739</v>
      </c>
      <c r="B79" s="4" t="s">
        <v>3206</v>
      </c>
      <c r="C79" s="4" t="s">
        <v>582</v>
      </c>
      <c r="D79" s="4" t="s">
        <v>2783</v>
      </c>
      <c r="E79" s="5" t="s">
        <v>2664</v>
      </c>
      <c r="F79" s="4" t="s">
        <v>1737</v>
      </c>
      <c r="G79" s="5" t="s">
        <v>3209</v>
      </c>
    </row>
    <row r="80" ht="15.75" customHeight="1">
      <c r="A80" s="6" t="s">
        <v>3210</v>
      </c>
      <c r="B80" s="6"/>
      <c r="C80" s="6"/>
      <c r="D80" s="6"/>
      <c r="E80" s="6"/>
      <c r="F80" s="6"/>
      <c r="G80" s="6"/>
    </row>
    <row r="81" ht="15.75" customHeight="1">
      <c r="A81" s="5" t="s">
        <v>1754</v>
      </c>
      <c r="B81" s="4" t="s">
        <v>3215</v>
      </c>
      <c r="C81" s="4" t="s">
        <v>1797</v>
      </c>
      <c r="D81" s="4" t="s">
        <v>2555</v>
      </c>
      <c r="E81" s="5" t="s">
        <v>888</v>
      </c>
      <c r="F81" s="4" t="s">
        <v>1752</v>
      </c>
      <c r="G81" s="5" t="s">
        <v>3217</v>
      </c>
    </row>
    <row r="82" ht="15.75" customHeight="1">
      <c r="A82" s="8" t="s">
        <v>1767</v>
      </c>
      <c r="B82" s="7" t="s">
        <v>3222</v>
      </c>
      <c r="C82" s="7" t="s">
        <v>3225</v>
      </c>
      <c r="D82" s="7" t="s">
        <v>3226</v>
      </c>
      <c r="E82" s="8" t="s">
        <v>888</v>
      </c>
      <c r="F82" s="7" t="s">
        <v>1763</v>
      </c>
      <c r="G82" s="8" t="s">
        <v>3228</v>
      </c>
    </row>
    <row r="83" ht="15.75" customHeight="1">
      <c r="A83" s="5" t="s">
        <v>1787</v>
      </c>
      <c r="B83" s="4" t="s">
        <v>3231</v>
      </c>
      <c r="C83" s="4" t="s">
        <v>582</v>
      </c>
      <c r="D83" s="4" t="s">
        <v>2844</v>
      </c>
      <c r="E83" s="5" t="s">
        <v>2664</v>
      </c>
      <c r="F83" s="4" t="s">
        <v>1783</v>
      </c>
      <c r="G83" s="5" t="s">
        <v>3238</v>
      </c>
    </row>
    <row r="84" ht="15.75" customHeight="1">
      <c r="A84" s="8" t="s">
        <v>1796</v>
      </c>
      <c r="B84" s="7" t="s">
        <v>3242</v>
      </c>
      <c r="C84" s="7" t="s">
        <v>582</v>
      </c>
      <c r="D84" s="7" t="s">
        <v>3243</v>
      </c>
      <c r="E84" s="8" t="s">
        <v>888</v>
      </c>
      <c r="F84" s="7" t="s">
        <v>1792</v>
      </c>
      <c r="G84" s="8" t="s">
        <v>3249</v>
      </c>
    </row>
    <row r="85" ht="15.75" customHeight="1">
      <c r="A85" s="5" t="s">
        <v>1810</v>
      </c>
      <c r="B85" s="4" t="s">
        <v>3253</v>
      </c>
      <c r="C85" s="4" t="s">
        <v>1820</v>
      </c>
      <c r="D85" s="4" t="s">
        <v>2360</v>
      </c>
      <c r="E85" s="5" t="s">
        <v>3257</v>
      </c>
      <c r="F85" s="4" t="s">
        <v>1806</v>
      </c>
      <c r="G85" s="5" t="s">
        <v>3259</v>
      </c>
    </row>
    <row r="86" ht="15.75" customHeight="1">
      <c r="A86" s="8" t="s">
        <v>1819</v>
      </c>
      <c r="B86" s="7" t="s">
        <v>3265</v>
      </c>
      <c r="C86" s="7" t="s">
        <v>582</v>
      </c>
      <c r="D86" s="7" t="s">
        <v>3270</v>
      </c>
      <c r="E86" s="8" t="s">
        <v>2664</v>
      </c>
      <c r="F86" s="7" t="s">
        <v>1817</v>
      </c>
      <c r="G86" s="8" t="s">
        <v>3275</v>
      </c>
    </row>
    <row r="87" ht="15.75" customHeight="1">
      <c r="A87" s="5" t="s">
        <v>1830</v>
      </c>
      <c r="B87" s="4" t="s">
        <v>3277</v>
      </c>
      <c r="C87" s="4" t="s">
        <v>582</v>
      </c>
      <c r="D87" s="4" t="s">
        <v>2844</v>
      </c>
      <c r="E87" s="5" t="s">
        <v>2664</v>
      </c>
      <c r="F87" s="4" t="s">
        <v>1825</v>
      </c>
      <c r="G87" s="5" t="s">
        <v>3281</v>
      </c>
    </row>
    <row r="88" ht="15.75" customHeight="1">
      <c r="A88" s="8" t="s">
        <v>1838</v>
      </c>
      <c r="B88" s="7" t="s">
        <v>3284</v>
      </c>
      <c r="C88" s="7" t="s">
        <v>3285</v>
      </c>
      <c r="D88" s="7" t="s">
        <v>3286</v>
      </c>
      <c r="E88" s="8" t="s">
        <v>1715</v>
      </c>
      <c r="F88" s="7" t="s">
        <v>1834</v>
      </c>
      <c r="G88" s="8" t="s">
        <v>3289</v>
      </c>
    </row>
    <row r="89" ht="15.75" customHeight="1">
      <c r="A89" s="5" t="s">
        <v>1860</v>
      </c>
      <c r="B89" s="4" t="s">
        <v>3293</v>
      </c>
      <c r="C89" s="4" t="s">
        <v>1861</v>
      </c>
      <c r="D89" s="4" t="s">
        <v>3296</v>
      </c>
      <c r="E89" s="5" t="s">
        <v>1604</v>
      </c>
      <c r="F89" s="4" t="s">
        <v>1857</v>
      </c>
      <c r="G89" s="5" t="s">
        <v>3298</v>
      </c>
    </row>
    <row r="90" ht="15.75" customHeight="1">
      <c r="A90" s="8" t="s">
        <v>1874</v>
      </c>
      <c r="B90" s="7" t="s">
        <v>3301</v>
      </c>
      <c r="C90" s="7" t="s">
        <v>3302</v>
      </c>
      <c r="D90" s="7" t="s">
        <v>3304</v>
      </c>
      <c r="E90" s="8" t="s">
        <v>888</v>
      </c>
      <c r="F90" s="7" t="s">
        <v>1871</v>
      </c>
      <c r="G90" s="8" t="s">
        <v>3307</v>
      </c>
    </row>
    <row r="91" ht="15.75" customHeight="1">
      <c r="A91" s="5" t="s">
        <v>1888</v>
      </c>
      <c r="B91" s="4" t="s">
        <v>3311</v>
      </c>
      <c r="C91" s="4" t="s">
        <v>3314</v>
      </c>
      <c r="D91" s="4" t="s">
        <v>3316</v>
      </c>
      <c r="E91" s="5" t="s">
        <v>3318</v>
      </c>
      <c r="F91" s="4" t="s">
        <v>3320</v>
      </c>
      <c r="G91" s="5" t="s">
        <v>3323</v>
      </c>
    </row>
    <row r="92" ht="15.75" customHeight="1">
      <c r="A92" s="8" t="s">
        <v>1902</v>
      </c>
      <c r="B92" s="7" t="s">
        <v>3326</v>
      </c>
      <c r="C92" s="7" t="s">
        <v>582</v>
      </c>
      <c r="D92" s="7" t="s">
        <v>2879</v>
      </c>
      <c r="E92" s="8" t="s">
        <v>2664</v>
      </c>
      <c r="F92" s="7" t="s">
        <v>1900</v>
      </c>
      <c r="G92" s="8" t="s">
        <v>3329</v>
      </c>
    </row>
    <row r="93" ht="15.75" customHeight="1">
      <c r="A93" s="5" t="s">
        <v>1908</v>
      </c>
      <c r="B93" s="4" t="s">
        <v>3333</v>
      </c>
      <c r="C93" s="4" t="s">
        <v>3335</v>
      </c>
      <c r="D93" s="4" t="s">
        <v>3337</v>
      </c>
      <c r="E93" s="5" t="s">
        <v>2664</v>
      </c>
      <c r="F93" s="4" t="s">
        <v>1906</v>
      </c>
      <c r="G93" s="5" t="s">
        <v>3341</v>
      </c>
    </row>
    <row r="94" ht="15.75" customHeight="1">
      <c r="A94" s="8" t="s">
        <v>1914</v>
      </c>
      <c r="B94" s="7" t="s">
        <v>3344</v>
      </c>
      <c r="C94" s="7" t="s">
        <v>582</v>
      </c>
      <c r="D94" s="7" t="s">
        <v>2844</v>
      </c>
      <c r="E94" s="8" t="s">
        <v>2664</v>
      </c>
      <c r="F94" s="7" t="s">
        <v>1912</v>
      </c>
      <c r="G94" s="8" t="s">
        <v>3348</v>
      </c>
    </row>
    <row r="95" ht="15.75" customHeight="1">
      <c r="A95" s="5" t="s">
        <v>1920</v>
      </c>
      <c r="B95" s="4" t="s">
        <v>3350</v>
      </c>
      <c r="C95" s="4" t="s">
        <v>3352</v>
      </c>
      <c r="D95" s="4" t="s">
        <v>3353</v>
      </c>
      <c r="E95" s="5" t="s">
        <v>3355</v>
      </c>
      <c r="F95" s="4" t="s">
        <v>1917</v>
      </c>
      <c r="G95" s="5" t="s">
        <v>3356</v>
      </c>
    </row>
    <row r="96" ht="15.75" customHeight="1">
      <c r="A96" s="8" t="s">
        <v>1926</v>
      </c>
      <c r="B96" s="7" t="s">
        <v>3358</v>
      </c>
      <c r="C96" s="7" t="s">
        <v>582</v>
      </c>
      <c r="D96" s="7" t="s">
        <v>2844</v>
      </c>
      <c r="E96" s="8" t="s">
        <v>2664</v>
      </c>
      <c r="F96" s="7" t="s">
        <v>1924</v>
      </c>
      <c r="G96" s="8" t="s">
        <v>3363</v>
      </c>
    </row>
    <row r="97" ht="15.75" customHeight="1">
      <c r="A97" s="5" t="s">
        <v>1931</v>
      </c>
      <c r="B97" s="4" t="s">
        <v>3364</v>
      </c>
      <c r="C97" s="4" t="s">
        <v>582</v>
      </c>
      <c r="D97" s="4" t="s">
        <v>2879</v>
      </c>
      <c r="E97" s="5" t="s">
        <v>2664</v>
      </c>
      <c r="F97" s="4" t="s">
        <v>3366</v>
      </c>
      <c r="G97" s="5" t="s">
        <v>3367</v>
      </c>
    </row>
    <row r="98" ht="15.75" customHeight="1">
      <c r="A98" s="8" t="s">
        <v>1944</v>
      </c>
      <c r="B98" s="7" t="s">
        <v>3371</v>
      </c>
      <c r="C98" s="7" t="s">
        <v>582</v>
      </c>
      <c r="D98" s="7" t="s">
        <v>3373</v>
      </c>
      <c r="E98" s="8" t="s">
        <v>2664</v>
      </c>
      <c r="F98" s="7" t="s">
        <v>1942</v>
      </c>
      <c r="G98" s="8" t="s">
        <v>3375</v>
      </c>
    </row>
    <row r="99" ht="15.75" customHeight="1">
      <c r="A99" s="5" t="s">
        <v>1955</v>
      </c>
      <c r="B99" s="4" t="s">
        <v>3376</v>
      </c>
      <c r="C99" s="4" t="s">
        <v>582</v>
      </c>
      <c r="D99" s="4" t="s">
        <v>3377</v>
      </c>
      <c r="E99" s="5" t="s">
        <v>3378</v>
      </c>
      <c r="F99" s="4" t="s">
        <v>1950</v>
      </c>
      <c r="G99" s="5" t="s">
        <v>3380</v>
      </c>
    </row>
    <row r="100" ht="15.75" customHeight="1">
      <c r="A100" s="8" t="s">
        <v>1969</v>
      </c>
      <c r="B100" s="7" t="s">
        <v>3383</v>
      </c>
      <c r="C100" s="7" t="s">
        <v>582</v>
      </c>
      <c r="D100" s="7" t="s">
        <v>2783</v>
      </c>
      <c r="E100" s="8" t="s">
        <v>2664</v>
      </c>
      <c r="F100" s="7" t="s">
        <v>1962</v>
      </c>
      <c r="G100" s="8" t="s">
        <v>3388</v>
      </c>
    </row>
    <row r="101" ht="15.75" customHeight="1">
      <c r="A101" s="6" t="s">
        <v>486</v>
      </c>
      <c r="B101" s="6"/>
      <c r="C101" s="6"/>
      <c r="D101" s="6"/>
      <c r="E101" s="6"/>
      <c r="F101" s="6"/>
      <c r="G101" s="6"/>
    </row>
    <row r="102" ht="15.75" customHeight="1">
      <c r="A102" s="8" t="s">
        <v>1997</v>
      </c>
      <c r="B102" s="7" t="s">
        <v>3390</v>
      </c>
      <c r="C102" s="7" t="s">
        <v>3391</v>
      </c>
      <c r="D102" s="7" t="s">
        <v>3392</v>
      </c>
      <c r="E102" s="8" t="s">
        <v>1558</v>
      </c>
      <c r="F102" s="7" t="s">
        <v>1993</v>
      </c>
      <c r="G102" s="8" t="s">
        <v>3393</v>
      </c>
    </row>
    <row r="103" ht="15.75" customHeight="1">
      <c r="A103" s="5" t="s">
        <v>2016</v>
      </c>
      <c r="B103" s="4" t="s">
        <v>3394</v>
      </c>
      <c r="C103" s="4" t="s">
        <v>3395</v>
      </c>
      <c r="D103" s="4" t="s">
        <v>3396</v>
      </c>
      <c r="E103" s="5" t="s">
        <v>1558</v>
      </c>
      <c r="F103" s="4" t="s">
        <v>2013</v>
      </c>
      <c r="G103" s="5" t="s">
        <v>3398</v>
      </c>
    </row>
    <row r="104" ht="15.75" customHeight="1">
      <c r="A104" s="8" t="s">
        <v>2035</v>
      </c>
      <c r="B104" s="7" t="s">
        <v>3402</v>
      </c>
      <c r="C104" s="7" t="s">
        <v>3404</v>
      </c>
      <c r="D104" s="7" t="s">
        <v>3405</v>
      </c>
      <c r="E104" s="8" t="s">
        <v>2855</v>
      </c>
      <c r="F104" s="7" t="s">
        <v>3408</v>
      </c>
      <c r="G104" s="8" t="s">
        <v>3409</v>
      </c>
    </row>
    <row r="105" ht="15.75" customHeight="1">
      <c r="A105" s="5" t="s">
        <v>2058</v>
      </c>
      <c r="B105" s="4" t="s">
        <v>3410</v>
      </c>
      <c r="C105" s="4" t="s">
        <v>3411</v>
      </c>
      <c r="D105" s="4" t="s">
        <v>3412</v>
      </c>
      <c r="E105" s="5" t="s">
        <v>1558</v>
      </c>
      <c r="F105" s="4" t="s">
        <v>2052</v>
      </c>
      <c r="G105" s="5" t="s">
        <v>3414</v>
      </c>
    </row>
    <row r="106" ht="15.75" customHeight="1">
      <c r="A106" s="8" t="s">
        <v>2089</v>
      </c>
      <c r="B106" s="7" t="s">
        <v>3417</v>
      </c>
      <c r="C106" s="7" t="s">
        <v>3419</v>
      </c>
      <c r="D106" s="7" t="s">
        <v>3421</v>
      </c>
      <c r="E106" s="8" t="s">
        <v>1566</v>
      </c>
      <c r="F106" s="7" t="s">
        <v>2084</v>
      </c>
      <c r="G106" s="8" t="s">
        <v>3422</v>
      </c>
    </row>
    <row r="107" ht="15.75" customHeight="1">
      <c r="A107" s="5" t="s">
        <v>2109</v>
      </c>
      <c r="B107" s="4" t="s">
        <v>3423</v>
      </c>
      <c r="C107" s="4" t="s">
        <v>582</v>
      </c>
      <c r="D107" s="4" t="s">
        <v>2783</v>
      </c>
      <c r="E107" s="5" t="s">
        <v>2664</v>
      </c>
      <c r="F107" s="4" t="s">
        <v>2105</v>
      </c>
      <c r="G107" s="5" t="s">
        <v>3425</v>
      </c>
    </row>
    <row r="108" ht="15.75" customHeight="1">
      <c r="A108" s="8" t="s">
        <v>2127</v>
      </c>
      <c r="B108" s="7" t="s">
        <v>3428</v>
      </c>
      <c r="C108" s="7" t="s">
        <v>2130</v>
      </c>
      <c r="D108" s="7" t="s">
        <v>3431</v>
      </c>
      <c r="E108" s="8" t="s">
        <v>1233</v>
      </c>
      <c r="F108" s="7" t="s">
        <v>2121</v>
      </c>
      <c r="G108" s="8" t="s">
        <v>3433</v>
      </c>
    </row>
    <row r="109" ht="15.75" customHeight="1">
      <c r="A109" s="5" t="s">
        <v>2153</v>
      </c>
      <c r="B109" s="4" t="s">
        <v>3434</v>
      </c>
      <c r="C109" s="4" t="s">
        <v>582</v>
      </c>
      <c r="D109" s="4" t="s">
        <v>3435</v>
      </c>
      <c r="E109" s="5" t="s">
        <v>888</v>
      </c>
      <c r="F109" s="4" t="s">
        <v>2147</v>
      </c>
      <c r="G109" s="5" t="s">
        <v>3438</v>
      </c>
    </row>
    <row r="110" ht="15.75" customHeight="1">
      <c r="A110" s="8" t="s">
        <v>2175</v>
      </c>
      <c r="B110" s="7" t="s">
        <v>3441</v>
      </c>
      <c r="C110" s="7" t="s">
        <v>582</v>
      </c>
      <c r="D110" s="7" t="s">
        <v>3444</v>
      </c>
      <c r="E110" s="8" t="s">
        <v>2664</v>
      </c>
      <c r="F110" s="7" t="s">
        <v>3446</v>
      </c>
      <c r="G110" s="8" t="s">
        <v>3448</v>
      </c>
    </row>
    <row r="111" ht="15.75" customHeight="1">
      <c r="A111" s="5" t="s">
        <v>2191</v>
      </c>
      <c r="B111" s="4" t="s">
        <v>3449</v>
      </c>
      <c r="C111" s="4" t="s">
        <v>3450</v>
      </c>
      <c r="D111" s="4" t="s">
        <v>3451</v>
      </c>
      <c r="E111" s="5" t="s">
        <v>1571</v>
      </c>
      <c r="F111" s="4" t="s">
        <v>2187</v>
      </c>
      <c r="G111" s="5" t="s">
        <v>3453</v>
      </c>
    </row>
    <row r="112" ht="15.75" customHeight="1">
      <c r="A112" s="8" t="s">
        <v>2210</v>
      </c>
      <c r="B112" s="7" t="s">
        <v>3457</v>
      </c>
      <c r="C112" s="7" t="s">
        <v>2215</v>
      </c>
      <c r="D112" s="7" t="s">
        <v>3459</v>
      </c>
      <c r="E112" s="8" t="s">
        <v>1550</v>
      </c>
      <c r="F112" s="7" t="s">
        <v>2207</v>
      </c>
      <c r="G112" s="8" t="s">
        <v>3460</v>
      </c>
    </row>
    <row r="113" ht="15.75" customHeight="1">
      <c r="A113" s="5" t="s">
        <v>2233</v>
      </c>
      <c r="B113" s="4" t="s">
        <v>3462</v>
      </c>
      <c r="C113" s="4" t="s">
        <v>582</v>
      </c>
      <c r="D113" s="4" t="s">
        <v>3463</v>
      </c>
      <c r="E113" s="5" t="s">
        <v>2664</v>
      </c>
      <c r="F113" s="4" t="s">
        <v>3464</v>
      </c>
      <c r="G113" s="5" t="s">
        <v>3465</v>
      </c>
    </row>
    <row r="114" ht="15.75" customHeight="1">
      <c r="A114" s="8" t="s">
        <v>2298</v>
      </c>
      <c r="B114" s="7" t="s">
        <v>3466</v>
      </c>
      <c r="C114" s="7" t="s">
        <v>582</v>
      </c>
      <c r="D114" s="7" t="s">
        <v>3467</v>
      </c>
      <c r="E114" s="8" t="s">
        <v>2664</v>
      </c>
      <c r="F114" s="7" t="s">
        <v>2291</v>
      </c>
      <c r="G114" s="8" t="s">
        <v>3469</v>
      </c>
    </row>
    <row r="115" ht="15.75" customHeight="1">
      <c r="A115" s="5" t="s">
        <v>2347</v>
      </c>
      <c r="B115" s="4" t="s">
        <v>3471</v>
      </c>
      <c r="C115" s="4" t="s">
        <v>582</v>
      </c>
      <c r="D115" s="4" t="s">
        <v>2844</v>
      </c>
      <c r="E115" s="5" t="s">
        <v>2664</v>
      </c>
      <c r="F115" s="4" t="s">
        <v>2342</v>
      </c>
      <c r="G115" s="5" t="s">
        <v>3476</v>
      </c>
    </row>
    <row r="116" ht="15.75" customHeight="1">
      <c r="A116" s="8" t="s">
        <v>2369</v>
      </c>
      <c r="B116" s="7" t="s">
        <v>3477</v>
      </c>
      <c r="C116" s="7" t="s">
        <v>582</v>
      </c>
      <c r="D116" s="7" t="s">
        <v>3478</v>
      </c>
      <c r="E116" s="8" t="s">
        <v>2664</v>
      </c>
      <c r="F116" s="7" t="s">
        <v>2364</v>
      </c>
      <c r="G116" s="8" t="s">
        <v>3480</v>
      </c>
    </row>
    <row r="117" ht="15.75" customHeight="1">
      <c r="A117" s="5" t="s">
        <v>2390</v>
      </c>
      <c r="B117" s="4" t="s">
        <v>3482</v>
      </c>
      <c r="C117" s="4" t="s">
        <v>582</v>
      </c>
      <c r="D117" s="4" t="s">
        <v>3483</v>
      </c>
      <c r="E117" s="5" t="s">
        <v>2664</v>
      </c>
      <c r="F117" s="4" t="s">
        <v>2384</v>
      </c>
      <c r="G117" s="5" t="s">
        <v>3484</v>
      </c>
    </row>
    <row r="118" ht="15.75" customHeight="1">
      <c r="A118" s="8" t="s">
        <v>2406</v>
      </c>
      <c r="B118" s="7" t="s">
        <v>3485</v>
      </c>
      <c r="C118" s="7" t="s">
        <v>582</v>
      </c>
      <c r="D118" s="7" t="s">
        <v>3488</v>
      </c>
      <c r="E118" s="8" t="s">
        <v>2664</v>
      </c>
      <c r="F118" s="7" t="s">
        <v>2402</v>
      </c>
      <c r="G118" s="8" t="s">
        <v>3491</v>
      </c>
    </row>
    <row r="119" ht="15.75" customHeight="1">
      <c r="A119" s="5" t="s">
        <v>2436</v>
      </c>
      <c r="B119" s="4" t="s">
        <v>3493</v>
      </c>
      <c r="C119" s="4" t="s">
        <v>3494</v>
      </c>
      <c r="D119" s="4" t="s">
        <v>3026</v>
      </c>
      <c r="E119" s="5" t="s">
        <v>1550</v>
      </c>
      <c r="F119" s="4" t="s">
        <v>2432</v>
      </c>
      <c r="G119" s="5" t="s">
        <v>3495</v>
      </c>
    </row>
    <row r="120" ht="15.75" customHeight="1">
      <c r="A120" s="8" t="s">
        <v>2454</v>
      </c>
      <c r="B120" s="7" t="s">
        <v>3497</v>
      </c>
      <c r="C120" s="7" t="s">
        <v>582</v>
      </c>
      <c r="D120" s="7" t="s">
        <v>3498</v>
      </c>
      <c r="E120" s="8" t="s">
        <v>2664</v>
      </c>
      <c r="F120" s="7" t="s">
        <v>2448</v>
      </c>
      <c r="G120" s="8" t="s">
        <v>3502</v>
      </c>
    </row>
    <row r="121" ht="15.75" customHeight="1">
      <c r="A121" s="5" t="s">
        <v>2471</v>
      </c>
      <c r="B121" s="4" t="s">
        <v>3504</v>
      </c>
      <c r="C121" s="4" t="s">
        <v>582</v>
      </c>
      <c r="D121" s="4" t="s">
        <v>3507</v>
      </c>
      <c r="E121" s="5" t="s">
        <v>2664</v>
      </c>
      <c r="F121" s="4" t="s">
        <v>2467</v>
      </c>
      <c r="G121" s="5" t="s">
        <v>3508</v>
      </c>
    </row>
    <row r="122" ht="15.75" customHeight="1">
      <c r="A122" s="8" t="s">
        <v>2492</v>
      </c>
      <c r="B122" s="7" t="s">
        <v>3511</v>
      </c>
      <c r="C122" s="7" t="s">
        <v>582</v>
      </c>
      <c r="D122" s="7" t="s">
        <v>3512</v>
      </c>
      <c r="E122" s="8" t="s">
        <v>2664</v>
      </c>
      <c r="F122" s="7" t="s">
        <v>2487</v>
      </c>
      <c r="G122" s="8" t="s">
        <v>3513</v>
      </c>
    </row>
    <row r="123" ht="15.75" customHeight="1">
      <c r="A123" s="5" t="s">
        <v>2520</v>
      </c>
      <c r="B123" s="4" t="s">
        <v>3515</v>
      </c>
      <c r="C123" s="4" t="s">
        <v>3516</v>
      </c>
      <c r="D123" s="4" t="s">
        <v>3517</v>
      </c>
      <c r="E123" s="5" t="s">
        <v>1550</v>
      </c>
      <c r="F123" s="4" t="s">
        <v>2515</v>
      </c>
      <c r="G123" s="5" t="s">
        <v>3519</v>
      </c>
    </row>
    <row r="124" ht="15.75" customHeight="1">
      <c r="A124" s="8" t="s">
        <v>2536</v>
      </c>
      <c r="B124" s="7" t="s">
        <v>3521</v>
      </c>
      <c r="C124" s="7" t="s">
        <v>582</v>
      </c>
      <c r="D124" s="7" t="s">
        <v>3524</v>
      </c>
      <c r="E124" s="8" t="s">
        <v>2664</v>
      </c>
      <c r="F124" s="7" t="s">
        <v>2532</v>
      </c>
      <c r="G124" s="8" t="s">
        <v>3528</v>
      </c>
    </row>
    <row r="125" ht="15.75" customHeight="1">
      <c r="A125" s="5" t="s">
        <v>2557</v>
      </c>
      <c r="B125" s="4" t="s">
        <v>3532</v>
      </c>
      <c r="C125" s="4" t="s">
        <v>3533</v>
      </c>
      <c r="D125" s="4" t="s">
        <v>3534</v>
      </c>
      <c r="E125" s="5" t="s">
        <v>1550</v>
      </c>
      <c r="F125" s="4" t="s">
        <v>2552</v>
      </c>
      <c r="G125" s="5" t="s">
        <v>3536</v>
      </c>
    </row>
    <row r="126" ht="15.75" customHeight="1">
      <c r="A126" s="8" t="s">
        <v>2579</v>
      </c>
      <c r="B126" s="7" t="s">
        <v>3538</v>
      </c>
      <c r="C126" s="7" t="s">
        <v>582</v>
      </c>
      <c r="D126" s="7" t="s">
        <v>3444</v>
      </c>
      <c r="E126" s="8" t="s">
        <v>2664</v>
      </c>
      <c r="F126" s="7" t="s">
        <v>2574</v>
      </c>
      <c r="G126" s="8" t="s">
        <v>3543</v>
      </c>
    </row>
    <row r="127" ht="15.75" customHeight="1">
      <c r="A127" s="5" t="s">
        <v>2596</v>
      </c>
      <c r="B127" s="4" t="s">
        <v>3547</v>
      </c>
      <c r="C127" s="4" t="s">
        <v>582</v>
      </c>
      <c r="D127" s="4" t="s">
        <v>2783</v>
      </c>
      <c r="E127" s="5" t="s">
        <v>3378</v>
      </c>
      <c r="F127" s="4" t="s">
        <v>2592</v>
      </c>
      <c r="G127" s="5" t="s">
        <v>3549</v>
      </c>
    </row>
    <row r="128" ht="15.75" customHeight="1">
      <c r="A128" s="6" t="s">
        <v>558</v>
      </c>
      <c r="B128" s="6"/>
      <c r="C128" s="6"/>
      <c r="D128" s="6"/>
      <c r="E128" s="6"/>
      <c r="F128" s="6"/>
      <c r="G128" s="6"/>
    </row>
    <row r="129" ht="15.75" customHeight="1">
      <c r="A129" s="5" t="s">
        <v>2626</v>
      </c>
      <c r="B129" s="4" t="s">
        <v>3555</v>
      </c>
      <c r="C129" s="4" t="s">
        <v>3556</v>
      </c>
      <c r="D129" s="4" t="s">
        <v>3558</v>
      </c>
      <c r="E129" s="5" t="s">
        <v>1604</v>
      </c>
      <c r="F129" s="4" t="s">
        <v>2620</v>
      </c>
      <c r="G129" s="5" t="s">
        <v>3560</v>
      </c>
    </row>
    <row r="130" ht="15.75" customHeight="1">
      <c r="A130" s="8" t="s">
        <v>2644</v>
      </c>
      <c r="B130" s="7" t="s">
        <v>3562</v>
      </c>
      <c r="C130" s="7" t="s">
        <v>582</v>
      </c>
      <c r="D130" s="7" t="s">
        <v>2951</v>
      </c>
      <c r="E130" s="8" t="s">
        <v>2664</v>
      </c>
      <c r="F130" s="7" t="s">
        <v>2640</v>
      </c>
      <c r="G130" s="8" t="s">
        <v>3566</v>
      </c>
    </row>
    <row r="131" ht="15.75" customHeight="1">
      <c r="A131" s="5" t="s">
        <v>2654</v>
      </c>
      <c r="B131" s="4" t="s">
        <v>3572</v>
      </c>
      <c r="C131" s="4" t="s">
        <v>582</v>
      </c>
      <c r="D131" s="4" t="s">
        <v>3574</v>
      </c>
      <c r="E131" s="5" t="s">
        <v>2664</v>
      </c>
      <c r="F131" s="4" t="s">
        <v>2651</v>
      </c>
      <c r="G131" s="5" t="s">
        <v>3577</v>
      </c>
    </row>
    <row r="132" ht="15.75" customHeight="1">
      <c r="A132" s="8" t="s">
        <v>2674</v>
      </c>
      <c r="B132" s="7" t="s">
        <v>3580</v>
      </c>
      <c r="C132" s="7" t="s">
        <v>582</v>
      </c>
      <c r="D132" s="7" t="s">
        <v>2844</v>
      </c>
      <c r="E132" s="8" t="s">
        <v>2664</v>
      </c>
      <c r="F132" s="7" t="s">
        <v>2671</v>
      </c>
      <c r="G132" s="8" t="s">
        <v>3583</v>
      </c>
    </row>
    <row r="133" ht="15.75" customHeight="1">
      <c r="A133" s="5" t="s">
        <v>2693</v>
      </c>
      <c r="B133" s="4" t="s">
        <v>3585</v>
      </c>
      <c r="C133" s="4" t="s">
        <v>582</v>
      </c>
      <c r="D133" s="4" t="s">
        <v>2783</v>
      </c>
      <c r="E133" s="5" t="s">
        <v>2664</v>
      </c>
      <c r="F133" s="4" t="s">
        <v>2689</v>
      </c>
      <c r="G133" s="5" t="s">
        <v>3589</v>
      </c>
    </row>
    <row r="134" ht="15.75" customHeight="1">
      <c r="A134" s="8" t="s">
        <v>2726</v>
      </c>
      <c r="B134" s="7" t="s">
        <v>3591</v>
      </c>
      <c r="C134" s="7" t="s">
        <v>3593</v>
      </c>
      <c r="D134" s="7" t="s">
        <v>3596</v>
      </c>
      <c r="E134" s="8" t="s">
        <v>888</v>
      </c>
      <c r="F134" s="7" t="s">
        <v>2720</v>
      </c>
      <c r="G134" s="8" t="s">
        <v>3600</v>
      </c>
    </row>
    <row r="135" ht="15.75" customHeight="1">
      <c r="A135" s="5" t="s">
        <v>2749</v>
      </c>
      <c r="B135" s="4" t="s">
        <v>3603</v>
      </c>
      <c r="C135" s="4" t="s">
        <v>3604</v>
      </c>
      <c r="D135" s="4" t="s">
        <v>1050</v>
      </c>
      <c r="E135" s="5" t="s">
        <v>3318</v>
      </c>
      <c r="F135" s="4" t="s">
        <v>2743</v>
      </c>
      <c r="G135" s="5" t="s">
        <v>3607</v>
      </c>
    </row>
    <row r="136" ht="15.75" customHeight="1">
      <c r="A136" s="8" t="s">
        <v>2767</v>
      </c>
      <c r="B136" s="7" t="s">
        <v>3609</v>
      </c>
      <c r="C136" s="7" t="s">
        <v>3610</v>
      </c>
      <c r="D136" s="7" t="s">
        <v>3611</v>
      </c>
      <c r="E136" s="8" t="s">
        <v>888</v>
      </c>
      <c r="F136" s="7" t="s">
        <v>2762</v>
      </c>
      <c r="G136" s="8" t="s">
        <v>3615</v>
      </c>
    </row>
    <row r="137" ht="15.75" customHeight="1">
      <c r="A137" s="5" t="s">
        <v>2797</v>
      </c>
      <c r="B137" s="4" t="s">
        <v>3616</v>
      </c>
      <c r="C137" s="4" t="s">
        <v>582</v>
      </c>
      <c r="D137" s="4" t="s">
        <v>2783</v>
      </c>
      <c r="E137" s="5" t="s">
        <v>2664</v>
      </c>
      <c r="F137" s="4" t="s">
        <v>2793</v>
      </c>
      <c r="G137" s="5" t="s">
        <v>3620</v>
      </c>
    </row>
    <row r="138" ht="15.75" customHeight="1">
      <c r="A138" s="8" t="s">
        <v>2812</v>
      </c>
      <c r="B138" s="7" t="s">
        <v>3622</v>
      </c>
      <c r="C138" s="7" t="s">
        <v>582</v>
      </c>
      <c r="D138" s="7" t="s">
        <v>3625</v>
      </c>
      <c r="E138" s="8" t="s">
        <v>2664</v>
      </c>
      <c r="F138" s="7" t="s">
        <v>2805</v>
      </c>
      <c r="G138" s="8" t="s">
        <v>3631</v>
      </c>
    </row>
    <row r="139" ht="15.75" customHeight="1">
      <c r="A139" s="5" t="s">
        <v>2828</v>
      </c>
      <c r="B139" s="4" t="s">
        <v>3634</v>
      </c>
      <c r="C139" s="4" t="s">
        <v>582</v>
      </c>
      <c r="D139" s="4" t="s">
        <v>3635</v>
      </c>
      <c r="E139" s="5" t="s">
        <v>3636</v>
      </c>
      <c r="F139" s="4" t="s">
        <v>2825</v>
      </c>
      <c r="G139" s="5" t="s">
        <v>3638</v>
      </c>
    </row>
    <row r="140" ht="15.75" customHeight="1">
      <c r="A140" s="8" t="s">
        <v>2850</v>
      </c>
      <c r="B140" s="7" t="s">
        <v>3642</v>
      </c>
      <c r="C140" s="7" t="s">
        <v>582</v>
      </c>
      <c r="D140" s="7" t="s">
        <v>2783</v>
      </c>
      <c r="E140" s="8" t="s">
        <v>2664</v>
      </c>
      <c r="F140" s="7" t="s">
        <v>2843</v>
      </c>
      <c r="G140" s="8" t="s">
        <v>3645</v>
      </c>
    </row>
    <row r="141" ht="15.75" customHeight="1">
      <c r="A141" s="5" t="s">
        <v>2880</v>
      </c>
      <c r="B141" s="4" t="s">
        <v>3648</v>
      </c>
      <c r="C141" s="4" t="s">
        <v>582</v>
      </c>
      <c r="D141" s="4" t="s">
        <v>3651</v>
      </c>
      <c r="E141" s="5" t="s">
        <v>1715</v>
      </c>
      <c r="F141" s="4" t="s">
        <v>2874</v>
      </c>
      <c r="G141" s="5" t="s">
        <v>3653</v>
      </c>
    </row>
    <row r="142" ht="15.75" customHeight="1">
      <c r="A142" s="8" t="s">
        <v>2892</v>
      </c>
      <c r="B142" s="7" t="s">
        <v>3655</v>
      </c>
      <c r="C142" s="7" t="s">
        <v>3657</v>
      </c>
      <c r="D142" s="7" t="s">
        <v>3658</v>
      </c>
      <c r="E142" s="8" t="s">
        <v>1715</v>
      </c>
      <c r="F142" s="7" t="s">
        <v>2889</v>
      </c>
      <c r="G142" s="8" t="s">
        <v>3661</v>
      </c>
    </row>
    <row r="143" ht="15.75" customHeight="1">
      <c r="A143" s="5" t="s">
        <v>2909</v>
      </c>
      <c r="B143" s="4" t="s">
        <v>3666</v>
      </c>
      <c r="C143" s="4" t="s">
        <v>582</v>
      </c>
      <c r="D143" s="4" t="s">
        <v>3668</v>
      </c>
      <c r="E143" s="5" t="s">
        <v>2664</v>
      </c>
      <c r="F143" s="4" t="s">
        <v>2903</v>
      </c>
      <c r="G143" s="5" t="s">
        <v>3671</v>
      </c>
    </row>
    <row r="144" ht="15.75" customHeight="1">
      <c r="A144" s="8" t="s">
        <v>2924</v>
      </c>
      <c r="B144" s="7" t="s">
        <v>3672</v>
      </c>
      <c r="C144" s="7" t="s">
        <v>582</v>
      </c>
      <c r="D144" s="7" t="s">
        <v>3675</v>
      </c>
      <c r="E144" s="8" t="s">
        <v>3378</v>
      </c>
      <c r="F144" s="7" t="s">
        <v>2919</v>
      </c>
      <c r="G144" s="8" t="s">
        <v>3679</v>
      </c>
    </row>
    <row r="145" ht="15.75" customHeight="1">
      <c r="A145" s="5" t="s">
        <v>2947</v>
      </c>
      <c r="B145" s="4" t="s">
        <v>3682</v>
      </c>
      <c r="C145" s="4" t="s">
        <v>2950</v>
      </c>
      <c r="D145" s="4" t="s">
        <v>3687</v>
      </c>
      <c r="E145" s="5" t="s">
        <v>1233</v>
      </c>
      <c r="F145" s="4" t="s">
        <v>2944</v>
      </c>
      <c r="G145" s="5" t="s">
        <v>3689</v>
      </c>
    </row>
    <row r="146" ht="15.75" customHeight="1">
      <c r="A146" s="8" t="s">
        <v>2965</v>
      </c>
      <c r="B146" s="7" t="s">
        <v>3690</v>
      </c>
      <c r="C146" s="7" t="s">
        <v>3691</v>
      </c>
      <c r="D146" s="7" t="s">
        <v>3692</v>
      </c>
      <c r="E146" s="8" t="s">
        <v>888</v>
      </c>
      <c r="F146" s="7" t="s">
        <v>2959</v>
      </c>
      <c r="G146" s="8" t="s">
        <v>3696</v>
      </c>
    </row>
    <row r="147" ht="15.75" customHeight="1">
      <c r="A147" s="5" t="s">
        <v>2981</v>
      </c>
      <c r="B147" s="4" t="s">
        <v>3701</v>
      </c>
      <c r="C147" s="4" t="s">
        <v>582</v>
      </c>
      <c r="D147" s="4" t="s">
        <v>2783</v>
      </c>
      <c r="E147" s="5" t="s">
        <v>3378</v>
      </c>
      <c r="F147" s="4" t="s">
        <v>2975</v>
      </c>
      <c r="G147" s="5" t="s">
        <v>3706</v>
      </c>
    </row>
    <row r="148" ht="15.75" customHeight="1">
      <c r="A148" s="8" t="s">
        <v>3018</v>
      </c>
      <c r="B148" s="7" t="s">
        <v>3708</v>
      </c>
      <c r="C148" s="7" t="s">
        <v>3709</v>
      </c>
      <c r="D148" s="7" t="s">
        <v>3710</v>
      </c>
      <c r="E148" s="8" t="s">
        <v>1715</v>
      </c>
      <c r="F148" s="7" t="s">
        <v>3012</v>
      </c>
      <c r="G148" s="8" t="s">
        <v>3713</v>
      </c>
    </row>
    <row r="149" ht="15.75" customHeight="1">
      <c r="A149" s="5" t="s">
        <v>3030</v>
      </c>
      <c r="B149" s="4" t="s">
        <v>3717</v>
      </c>
      <c r="C149" s="4" t="s">
        <v>582</v>
      </c>
      <c r="D149" s="4" t="s">
        <v>2122</v>
      </c>
      <c r="E149" s="5" t="s">
        <v>1715</v>
      </c>
      <c r="F149" s="4" t="s">
        <v>3027</v>
      </c>
      <c r="G149" s="5" t="s">
        <v>3724</v>
      </c>
    </row>
    <row r="150" ht="15.75" customHeight="1">
      <c r="A150" s="8" t="s">
        <v>3042</v>
      </c>
      <c r="B150" s="7" t="s">
        <v>3726</v>
      </c>
      <c r="C150" s="7" t="s">
        <v>3728</v>
      </c>
      <c r="D150" s="7" t="s">
        <v>3729</v>
      </c>
      <c r="E150" s="8" t="s">
        <v>888</v>
      </c>
      <c r="F150" s="7" t="s">
        <v>3037</v>
      </c>
      <c r="G150" s="8" t="s">
        <v>3732</v>
      </c>
    </row>
    <row r="151" ht="15.75" customHeight="1">
      <c r="A151" s="5" t="s">
        <v>3053</v>
      </c>
      <c r="B151" s="4" t="s">
        <v>3734</v>
      </c>
      <c r="C151" s="4" t="s">
        <v>582</v>
      </c>
      <c r="D151" s="4" t="s">
        <v>3738</v>
      </c>
      <c r="E151" s="5" t="s">
        <v>1715</v>
      </c>
      <c r="F151" s="4" t="s">
        <v>3049</v>
      </c>
      <c r="G151" s="5" t="s">
        <v>3741</v>
      </c>
    </row>
    <row r="152" ht="15.75" customHeight="1">
      <c r="A152" s="8" t="s">
        <v>3064</v>
      </c>
      <c r="B152" s="7" t="s">
        <v>3744</v>
      </c>
      <c r="C152" s="7" t="s">
        <v>582</v>
      </c>
      <c r="D152" s="7" t="s">
        <v>372</v>
      </c>
      <c r="E152" s="8" t="s">
        <v>1715</v>
      </c>
      <c r="F152" s="7" t="s">
        <v>3061</v>
      </c>
      <c r="G152" s="8" t="s">
        <v>3748</v>
      </c>
    </row>
    <row r="153" ht="15.75" customHeight="1">
      <c r="A153" s="5" t="s">
        <v>3079</v>
      </c>
      <c r="B153" s="4" t="s">
        <v>3750</v>
      </c>
      <c r="C153" s="4" t="s">
        <v>582</v>
      </c>
      <c r="D153" s="4" t="s">
        <v>3752</v>
      </c>
      <c r="E153" s="5" t="s">
        <v>2664</v>
      </c>
      <c r="F153" s="4" t="s">
        <v>3075</v>
      </c>
      <c r="G153" s="5" t="s">
        <v>3754</v>
      </c>
    </row>
    <row r="154" ht="15.75" customHeight="1">
      <c r="A154" s="8" t="s">
        <v>3091</v>
      </c>
      <c r="B154" s="7" t="s">
        <v>3757</v>
      </c>
      <c r="C154" s="7" t="s">
        <v>3759</v>
      </c>
      <c r="D154" s="7" t="s">
        <v>3760</v>
      </c>
      <c r="E154" s="8" t="s">
        <v>888</v>
      </c>
      <c r="F154" s="7" t="s">
        <v>3088</v>
      </c>
      <c r="G154" s="8" t="s">
        <v>3764</v>
      </c>
    </row>
    <row r="155" ht="15.75" customHeight="1">
      <c r="A155" s="5" t="s">
        <v>3102</v>
      </c>
      <c r="B155" s="4" t="s">
        <v>3766</v>
      </c>
      <c r="C155" s="4" t="s">
        <v>582</v>
      </c>
      <c r="D155" s="4" t="s">
        <v>2844</v>
      </c>
      <c r="E155" s="5" t="s">
        <v>2664</v>
      </c>
      <c r="F155" s="4" t="s">
        <v>3099</v>
      </c>
      <c r="G155" s="5" t="s">
        <v>3772</v>
      </c>
    </row>
    <row r="156" ht="15.75" customHeight="1">
      <c r="A156" s="8" t="s">
        <v>3115</v>
      </c>
      <c r="B156" s="7" t="s">
        <v>3774</v>
      </c>
      <c r="C156" s="7" t="s">
        <v>582</v>
      </c>
      <c r="D156" s="7" t="s">
        <v>580</v>
      </c>
      <c r="E156" s="8" t="s">
        <v>2664</v>
      </c>
      <c r="F156" s="7" t="s">
        <v>3112</v>
      </c>
      <c r="G156" s="8" t="s">
        <v>3784</v>
      </c>
    </row>
    <row r="157" ht="15.75" customHeight="1">
      <c r="A157" s="5" t="s">
        <v>3135</v>
      </c>
      <c r="B157" s="4" t="s">
        <v>3785</v>
      </c>
      <c r="C157" s="4" t="s">
        <v>3786</v>
      </c>
      <c r="D157" s="4" t="s">
        <v>3788</v>
      </c>
      <c r="E157" s="5" t="s">
        <v>888</v>
      </c>
      <c r="F157" s="4" t="s">
        <v>3132</v>
      </c>
      <c r="G157" s="5" t="s">
        <v>3793</v>
      </c>
    </row>
    <row r="158" ht="15.75" customHeight="1">
      <c r="A158" s="8" t="s">
        <v>3145</v>
      </c>
      <c r="B158" s="7" t="s">
        <v>3798</v>
      </c>
      <c r="C158" s="7" t="s">
        <v>582</v>
      </c>
      <c r="D158" s="7" t="s">
        <v>2844</v>
      </c>
      <c r="E158" s="8" t="s">
        <v>2664</v>
      </c>
      <c r="F158" s="7" t="s">
        <v>3801</v>
      </c>
      <c r="G158" s="8" t="s">
        <v>3803</v>
      </c>
    </row>
    <row r="159" ht="15.75" customHeight="1">
      <c r="A159" s="5" t="s">
        <v>3171</v>
      </c>
      <c r="B159" s="4" t="s">
        <v>3807</v>
      </c>
      <c r="C159" s="4" t="s">
        <v>582</v>
      </c>
      <c r="D159" s="4" t="s">
        <v>3812</v>
      </c>
      <c r="E159" s="5" t="s">
        <v>2664</v>
      </c>
      <c r="F159" s="4" t="s">
        <v>3154</v>
      </c>
      <c r="G159" s="5" t="s">
        <v>3820</v>
      </c>
    </row>
    <row r="160" ht="15.75" customHeight="1">
      <c r="A160" s="8" t="s">
        <v>3186</v>
      </c>
      <c r="B160" s="7" t="s">
        <v>3824</v>
      </c>
      <c r="C160" s="7" t="s">
        <v>582</v>
      </c>
      <c r="D160" s="7" t="s">
        <v>2844</v>
      </c>
      <c r="E160" s="8" t="s">
        <v>3827</v>
      </c>
      <c r="F160" s="7" t="s">
        <v>3828</v>
      </c>
      <c r="G160" s="8" t="s">
        <v>3830</v>
      </c>
    </row>
    <row r="161" ht="15.75" customHeight="1">
      <c r="A161" s="5" t="s">
        <v>3200</v>
      </c>
      <c r="B161" s="4" t="s">
        <v>3835</v>
      </c>
      <c r="C161" s="4" t="s">
        <v>582</v>
      </c>
      <c r="D161" s="4" t="s">
        <v>580</v>
      </c>
      <c r="E161" s="5" t="s">
        <v>2664</v>
      </c>
      <c r="F161" s="4" t="s">
        <v>3844</v>
      </c>
      <c r="G161" s="5" t="s">
        <v>3849</v>
      </c>
    </row>
    <row r="162" ht="15.75" customHeight="1">
      <c r="A162" s="8" t="s">
        <v>3221</v>
      </c>
      <c r="B162" s="7" t="s">
        <v>3852</v>
      </c>
      <c r="C162" s="7" t="s">
        <v>582</v>
      </c>
      <c r="D162" s="7" t="s">
        <v>3853</v>
      </c>
      <c r="E162" s="8" t="s">
        <v>2664</v>
      </c>
      <c r="F162" s="7" t="s">
        <v>3216</v>
      </c>
      <c r="G162" s="8" t="s">
        <v>3861</v>
      </c>
    </row>
    <row r="163" ht="15.75" customHeight="1">
      <c r="A163" s="5" t="s">
        <v>3235</v>
      </c>
      <c r="B163" s="4" t="s">
        <v>3867</v>
      </c>
      <c r="C163" s="4" t="s">
        <v>582</v>
      </c>
      <c r="D163" s="4" t="s">
        <v>3869</v>
      </c>
      <c r="E163" s="5" t="s">
        <v>2664</v>
      </c>
      <c r="F163" s="4" t="s">
        <v>3230</v>
      </c>
      <c r="G163" s="5" t="s">
        <v>3871</v>
      </c>
    </row>
    <row r="164" ht="15.75" customHeight="1">
      <c r="A164" s="8" t="s">
        <v>3250</v>
      </c>
      <c r="B164" s="7" t="s">
        <v>3873</v>
      </c>
      <c r="C164" s="7" t="s">
        <v>582</v>
      </c>
      <c r="D164" s="7" t="s">
        <v>3880</v>
      </c>
      <c r="E164" s="8" t="s">
        <v>1715</v>
      </c>
      <c r="F164" s="7" t="s">
        <v>3244</v>
      </c>
      <c r="G164" s="8" t="s">
        <v>3884</v>
      </c>
    </row>
    <row r="165" ht="15.75" customHeight="1">
      <c r="A165" s="5" t="s">
        <v>3266</v>
      </c>
      <c r="B165" s="4" t="s">
        <v>3890</v>
      </c>
      <c r="C165" s="4" t="s">
        <v>582</v>
      </c>
      <c r="D165" s="4" t="s">
        <v>3892</v>
      </c>
      <c r="E165" s="5" t="s">
        <v>2664</v>
      </c>
      <c r="F165" s="4" t="s">
        <v>3261</v>
      </c>
      <c r="G165" s="5" t="s">
        <v>3897</v>
      </c>
    </row>
    <row r="166" ht="15.75" customHeight="1">
      <c r="A166" s="8" t="s">
        <v>3291</v>
      </c>
      <c r="B166" s="7" t="s">
        <v>3903</v>
      </c>
      <c r="C166" s="7" t="s">
        <v>582</v>
      </c>
      <c r="D166" s="7" t="s">
        <v>2844</v>
      </c>
      <c r="E166" s="8" t="s">
        <v>2664</v>
      </c>
      <c r="F166" s="7" t="s">
        <v>3287</v>
      </c>
      <c r="G166" s="8" t="s">
        <v>3909</v>
      </c>
    </row>
    <row r="167" ht="15.75" customHeight="1">
      <c r="A167" s="5" t="s">
        <v>3313</v>
      </c>
      <c r="B167" s="4" t="s">
        <v>3911</v>
      </c>
      <c r="C167" s="4" t="s">
        <v>582</v>
      </c>
      <c r="D167" s="4" t="s">
        <v>3914</v>
      </c>
      <c r="E167" s="5" t="s">
        <v>2664</v>
      </c>
      <c r="F167" s="4" t="s">
        <v>3305</v>
      </c>
      <c r="G167" s="5" t="s">
        <v>3920</v>
      </c>
    </row>
    <row r="168" ht="15.75" customHeight="1">
      <c r="A168" s="8" t="s">
        <v>3334</v>
      </c>
      <c r="B168" s="7" t="s">
        <v>3923</v>
      </c>
      <c r="C168" s="7" t="s">
        <v>582</v>
      </c>
      <c r="D168" s="7" t="s">
        <v>3929</v>
      </c>
      <c r="E168" s="8" t="s">
        <v>3378</v>
      </c>
      <c r="F168" s="7" t="s">
        <v>3328</v>
      </c>
      <c r="G168" s="8" t="s">
        <v>3933</v>
      </c>
    </row>
    <row r="169" ht="15.75" customHeight="1">
      <c r="A169" s="5" t="s">
        <v>3369</v>
      </c>
      <c r="B169" s="4" t="s">
        <v>3935</v>
      </c>
      <c r="C169" s="4" t="s">
        <v>582</v>
      </c>
      <c r="D169" s="4" t="s">
        <v>2783</v>
      </c>
      <c r="E169" s="5" t="s">
        <v>3378</v>
      </c>
      <c r="F169" s="4" t="s">
        <v>3365</v>
      </c>
      <c r="G169" s="5" t="s">
        <v>3940</v>
      </c>
    </row>
    <row r="170" ht="15.75" customHeight="1">
      <c r="A170" s="8" t="s">
        <v>3382</v>
      </c>
      <c r="B170" s="7" t="s">
        <v>3944</v>
      </c>
      <c r="C170" s="7" t="s">
        <v>582</v>
      </c>
      <c r="D170" s="7" t="s">
        <v>2783</v>
      </c>
      <c r="E170" s="8" t="s">
        <v>3378</v>
      </c>
      <c r="F170" s="7" t="s">
        <v>3379</v>
      </c>
      <c r="G170" s="8" t="s">
        <v>3950</v>
      </c>
    </row>
    <row r="171" ht="15.75" customHeight="1">
      <c r="A171" s="6" t="s">
        <v>741</v>
      </c>
      <c r="B171" s="6"/>
      <c r="C171" s="6"/>
      <c r="D171" s="6"/>
      <c r="E171" s="6"/>
      <c r="F171" s="6"/>
      <c r="G171" s="6"/>
    </row>
    <row r="172" ht="15.75" customHeight="1">
      <c r="A172" s="8" t="s">
        <v>3400</v>
      </c>
      <c r="B172" s="7" t="s">
        <v>3960</v>
      </c>
      <c r="C172" s="7" t="s">
        <v>582</v>
      </c>
      <c r="D172" s="7" t="s">
        <v>2783</v>
      </c>
      <c r="E172" s="8" t="s">
        <v>1715</v>
      </c>
      <c r="F172" s="7" t="s">
        <v>3397</v>
      </c>
      <c r="G172" s="8" t="s">
        <v>3965</v>
      </c>
    </row>
    <row r="173" ht="15.75" customHeight="1">
      <c r="A173" s="5" t="s">
        <v>3416</v>
      </c>
      <c r="B173" s="4" t="s">
        <v>3972</v>
      </c>
      <c r="C173" s="4" t="s">
        <v>3974</v>
      </c>
      <c r="D173" s="4" t="s">
        <v>3977</v>
      </c>
      <c r="E173" s="5" t="s">
        <v>244</v>
      </c>
      <c r="F173" s="4" t="s">
        <v>3413</v>
      </c>
      <c r="G173" s="5" t="s">
        <v>3984</v>
      </c>
    </row>
    <row r="174" ht="15.75" customHeight="1">
      <c r="A174" s="8" t="s">
        <v>3427</v>
      </c>
      <c r="B174" s="7" t="s">
        <v>3987</v>
      </c>
      <c r="C174" s="7" t="s">
        <v>582</v>
      </c>
      <c r="D174" s="7" t="s">
        <v>2844</v>
      </c>
      <c r="E174" s="8" t="s">
        <v>3992</v>
      </c>
      <c r="F174" s="7" t="s">
        <v>3424</v>
      </c>
      <c r="G174" s="8" t="s">
        <v>3996</v>
      </c>
    </row>
    <row r="175" ht="15.75" customHeight="1">
      <c r="A175" s="5" t="s">
        <v>3440</v>
      </c>
      <c r="B175" s="4" t="s">
        <v>4000</v>
      </c>
      <c r="C175" s="4" t="s">
        <v>4002</v>
      </c>
      <c r="D175" s="4" t="s">
        <v>4004</v>
      </c>
      <c r="E175" s="5" t="s">
        <v>4006</v>
      </c>
      <c r="F175" s="4" t="s">
        <v>3436</v>
      </c>
      <c r="G175" s="5" t="s">
        <v>4011</v>
      </c>
    </row>
    <row r="176" ht="15.75" customHeight="1">
      <c r="A176" s="8" t="s">
        <v>3455</v>
      </c>
      <c r="B176" s="7" t="s">
        <v>4013</v>
      </c>
      <c r="C176" s="7" t="s">
        <v>4014</v>
      </c>
      <c r="D176" s="7" t="s">
        <v>4017</v>
      </c>
      <c r="E176" s="8" t="s">
        <v>1715</v>
      </c>
      <c r="F176" s="7" t="s">
        <v>3452</v>
      </c>
      <c r="G176" s="8" t="s">
        <v>4020</v>
      </c>
    </row>
    <row r="177" ht="15.75" customHeight="1">
      <c r="A177" s="5" t="s">
        <v>3472</v>
      </c>
      <c r="B177" s="4" t="s">
        <v>4022</v>
      </c>
      <c r="C177" s="4" t="s">
        <v>582</v>
      </c>
      <c r="D177" s="4" t="s">
        <v>2879</v>
      </c>
      <c r="E177" s="5" t="s">
        <v>888</v>
      </c>
      <c r="F177" s="4" t="s">
        <v>3468</v>
      </c>
      <c r="G177" s="5" t="s">
        <v>4028</v>
      </c>
    </row>
    <row r="178" ht="15.75" customHeight="1">
      <c r="A178" s="8" t="s">
        <v>3487</v>
      </c>
      <c r="B178" s="7" t="s">
        <v>4035</v>
      </c>
      <c r="C178" s="7" t="s">
        <v>582</v>
      </c>
      <c r="D178" s="7" t="s">
        <v>2844</v>
      </c>
      <c r="E178" s="8" t="s">
        <v>2664</v>
      </c>
      <c r="F178" s="7" t="s">
        <v>3479</v>
      </c>
      <c r="G178" s="8" t="s">
        <v>4042</v>
      </c>
    </row>
    <row r="179" ht="15.75" customHeight="1">
      <c r="A179" s="5" t="s">
        <v>3500</v>
      </c>
      <c r="B179" s="4" t="s">
        <v>4043</v>
      </c>
      <c r="C179" s="4" t="s">
        <v>582</v>
      </c>
      <c r="D179" s="4" t="s">
        <v>4046</v>
      </c>
      <c r="E179" s="5" t="s">
        <v>3318</v>
      </c>
      <c r="F179" s="4" t="s">
        <v>3496</v>
      </c>
      <c r="G179" s="5" t="s">
        <v>4051</v>
      </c>
    </row>
    <row r="180" ht="15.75" customHeight="1">
      <c r="A180" s="8" t="s">
        <v>3522</v>
      </c>
      <c r="B180" s="7" t="s">
        <v>4053</v>
      </c>
      <c r="C180" s="7" t="s">
        <v>582</v>
      </c>
      <c r="D180" s="7" t="s">
        <v>3131</v>
      </c>
      <c r="E180" s="8" t="s">
        <v>1726</v>
      </c>
      <c r="F180" s="7" t="s">
        <v>3518</v>
      </c>
      <c r="G180" s="8" t="s">
        <v>4063</v>
      </c>
    </row>
    <row r="181" ht="15.75" customHeight="1">
      <c r="A181" s="5" t="s">
        <v>3540</v>
      </c>
      <c r="B181" s="4" t="s">
        <v>4066</v>
      </c>
      <c r="C181" s="4" t="s">
        <v>582</v>
      </c>
      <c r="D181" s="4" t="s">
        <v>4068</v>
      </c>
      <c r="E181" s="5" t="s">
        <v>2664</v>
      </c>
      <c r="F181" s="4" t="s">
        <v>3537</v>
      </c>
      <c r="G181" s="5" t="s">
        <v>4074</v>
      </c>
    </row>
    <row r="182" ht="15.75" customHeight="1">
      <c r="A182" s="8" t="s">
        <v>3553</v>
      </c>
      <c r="B182" s="7" t="s">
        <v>4080</v>
      </c>
      <c r="C182" s="7" t="s">
        <v>582</v>
      </c>
      <c r="D182" s="7" t="s">
        <v>4083</v>
      </c>
      <c r="E182" s="8" t="s">
        <v>1019</v>
      </c>
      <c r="F182" s="7" t="s">
        <v>4089</v>
      </c>
      <c r="G182" s="8" t="s">
        <v>4092</v>
      </c>
    </row>
    <row r="183" ht="15.75" customHeight="1">
      <c r="A183" s="5" t="s">
        <v>3567</v>
      </c>
      <c r="B183" s="4" t="s">
        <v>4094</v>
      </c>
      <c r="C183" s="4" t="s">
        <v>582</v>
      </c>
      <c r="D183" s="4" t="s">
        <v>2783</v>
      </c>
      <c r="E183" s="5" t="s">
        <v>2664</v>
      </c>
      <c r="F183" s="4" t="s">
        <v>3564</v>
      </c>
      <c r="G183" s="5" t="s">
        <v>4103</v>
      </c>
    </row>
    <row r="184" ht="15.75" customHeight="1">
      <c r="A184" s="6" t="s">
        <v>833</v>
      </c>
      <c r="B184" s="6"/>
      <c r="C184" s="6"/>
      <c r="D184" s="6"/>
      <c r="E184" s="6"/>
      <c r="F184" s="6"/>
      <c r="G184" s="6"/>
    </row>
    <row r="185" ht="15.75" customHeight="1">
      <c r="A185" s="5" t="s">
        <v>3595</v>
      </c>
      <c r="B185" s="4" t="s">
        <v>4112</v>
      </c>
      <c r="C185" s="4" t="s">
        <v>582</v>
      </c>
      <c r="D185" s="4" t="s">
        <v>4116</v>
      </c>
      <c r="E185" s="5" t="s">
        <v>2664</v>
      </c>
      <c r="F185" s="4" t="s">
        <v>3590</v>
      </c>
      <c r="G185" s="5" t="s">
        <v>4121</v>
      </c>
    </row>
    <row r="186" ht="15.75" customHeight="1">
      <c r="A186" s="8" t="s">
        <v>3613</v>
      </c>
      <c r="B186" s="7" t="s">
        <v>4125</v>
      </c>
      <c r="C186" s="7" t="s">
        <v>582</v>
      </c>
      <c r="D186" s="7" t="s">
        <v>4129</v>
      </c>
      <c r="E186" s="8" t="s">
        <v>2664</v>
      </c>
      <c r="F186" s="7" t="s">
        <v>3608</v>
      </c>
      <c r="G186" s="8" t="s">
        <v>4134</v>
      </c>
    </row>
    <row r="187" ht="15.75" customHeight="1">
      <c r="A187" s="5" t="s">
        <v>3627</v>
      </c>
      <c r="B187" s="4" t="s">
        <v>4139</v>
      </c>
      <c r="C187" s="4" t="s">
        <v>582</v>
      </c>
      <c r="D187" s="4" t="s">
        <v>4083</v>
      </c>
      <c r="E187" s="5" t="s">
        <v>1019</v>
      </c>
      <c r="F187" s="4" t="s">
        <v>3621</v>
      </c>
      <c r="G187" s="5" t="s">
        <v>4149</v>
      </c>
    </row>
    <row r="188" ht="15.75" customHeight="1">
      <c r="A188" s="8" t="s">
        <v>3660</v>
      </c>
      <c r="B188" s="7" t="s">
        <v>4152</v>
      </c>
      <c r="C188" s="7" t="s">
        <v>582</v>
      </c>
      <c r="D188" s="7" t="s">
        <v>2783</v>
      </c>
      <c r="E188" s="8" t="s">
        <v>2664</v>
      </c>
      <c r="F188" s="7" t="s">
        <v>3656</v>
      </c>
      <c r="G188" s="8" t="s">
        <v>4160</v>
      </c>
    </row>
    <row r="189" ht="15.75" customHeight="1">
      <c r="A189" s="5" t="s">
        <v>3681</v>
      </c>
      <c r="B189" s="4" t="s">
        <v>4166</v>
      </c>
      <c r="C189" s="4" t="s">
        <v>582</v>
      </c>
      <c r="D189" s="4" t="s">
        <v>2783</v>
      </c>
      <c r="E189" s="5" t="s">
        <v>2664</v>
      </c>
      <c r="F189" s="4" t="s">
        <v>3676</v>
      </c>
      <c r="G189" s="5" t="s">
        <v>4170</v>
      </c>
    </row>
    <row r="190" ht="15.75" customHeight="1">
      <c r="A190" s="8" t="s">
        <v>3699</v>
      </c>
      <c r="B190" s="7" t="s">
        <v>4174</v>
      </c>
      <c r="C190" s="7" t="s">
        <v>582</v>
      </c>
      <c r="D190" s="7" t="s">
        <v>4178</v>
      </c>
      <c r="E190" s="8" t="s">
        <v>2664</v>
      </c>
      <c r="F190" s="7" t="s">
        <v>3694</v>
      </c>
      <c r="G190" s="8" t="s">
        <v>4180</v>
      </c>
    </row>
    <row r="191" ht="15.75" customHeight="1">
      <c r="A191" s="5" t="s">
        <v>3718</v>
      </c>
      <c r="B191" s="4" t="s">
        <v>4186</v>
      </c>
      <c r="C191" s="4" t="s">
        <v>4187</v>
      </c>
      <c r="D191" s="4" t="s">
        <v>4190</v>
      </c>
      <c r="E191" s="5" t="s">
        <v>1758</v>
      </c>
      <c r="F191" s="4" t="s">
        <v>4193</v>
      </c>
      <c r="G191" s="5" t="s">
        <v>4196</v>
      </c>
    </row>
    <row r="192" ht="15.75" customHeight="1">
      <c r="A192" s="8" t="s">
        <v>3737</v>
      </c>
      <c r="B192" s="7" t="s">
        <v>4199</v>
      </c>
      <c r="C192" s="7" t="s">
        <v>582</v>
      </c>
      <c r="D192" s="7" t="s">
        <v>4200</v>
      </c>
      <c r="E192" s="8" t="s">
        <v>888</v>
      </c>
      <c r="F192" s="7" t="s">
        <v>4202</v>
      </c>
      <c r="G192" s="8" t="s">
        <v>4204</v>
      </c>
    </row>
    <row r="193" ht="15.75" customHeight="1">
      <c r="A193" s="5" t="s">
        <v>3762</v>
      </c>
      <c r="B193" s="4" t="s">
        <v>4208</v>
      </c>
      <c r="C193" s="4" t="s">
        <v>582</v>
      </c>
      <c r="D193" s="4" t="s">
        <v>4211</v>
      </c>
      <c r="E193" s="5" t="s">
        <v>1758</v>
      </c>
      <c r="F193" s="4" t="s">
        <v>3755</v>
      </c>
      <c r="G193" s="5" t="s">
        <v>4217</v>
      </c>
    </row>
    <row r="194" ht="15.75" customHeight="1">
      <c r="A194" s="8" t="s">
        <v>3777</v>
      </c>
      <c r="B194" s="7" t="s">
        <v>4220</v>
      </c>
      <c r="C194" s="7" t="s">
        <v>582</v>
      </c>
      <c r="D194" s="7" t="s">
        <v>4222</v>
      </c>
      <c r="E194" s="8" t="s">
        <v>2664</v>
      </c>
      <c r="F194" s="7" t="s">
        <v>3773</v>
      </c>
      <c r="G194" s="8" t="s">
        <v>4225</v>
      </c>
    </row>
    <row r="195" ht="15.75" customHeight="1">
      <c r="A195" s="5" t="s">
        <v>3792</v>
      </c>
      <c r="B195" s="4" t="s">
        <v>4227</v>
      </c>
      <c r="C195" s="4" t="s">
        <v>582</v>
      </c>
      <c r="D195" s="4" t="s">
        <v>2844</v>
      </c>
      <c r="E195" s="5" t="s">
        <v>2664</v>
      </c>
      <c r="F195" s="4" t="s">
        <v>3787</v>
      </c>
      <c r="G195" s="5" t="s">
        <v>4235</v>
      </c>
    </row>
    <row r="196" ht="15.75" customHeight="1">
      <c r="A196" s="8" t="s">
        <v>3809</v>
      </c>
      <c r="B196" s="7" t="s">
        <v>4238</v>
      </c>
      <c r="C196" s="7" t="s">
        <v>3610</v>
      </c>
      <c r="D196" s="7" t="s">
        <v>4241</v>
      </c>
      <c r="E196" s="8" t="s">
        <v>888</v>
      </c>
      <c r="F196" s="7" t="s">
        <v>3804</v>
      </c>
      <c r="G196" s="8" t="s">
        <v>4243</v>
      </c>
    </row>
    <row r="197" ht="15.75" customHeight="1">
      <c r="A197" s="6" t="s">
        <v>4245</v>
      </c>
      <c r="B197" s="6"/>
      <c r="C197" s="6"/>
      <c r="D197" s="6"/>
      <c r="E197" s="6"/>
      <c r="F197" s="6"/>
      <c r="G197" s="6"/>
    </row>
    <row r="198" ht="15.75" customHeight="1">
      <c r="A198" s="8" t="s">
        <v>3843</v>
      </c>
      <c r="B198" s="7" t="s">
        <v>4247</v>
      </c>
      <c r="C198" s="7" t="s">
        <v>582</v>
      </c>
      <c r="D198" s="7" t="s">
        <v>4248</v>
      </c>
      <c r="E198" s="8" t="s">
        <v>3378</v>
      </c>
      <c r="F198" s="7" t="s">
        <v>3837</v>
      </c>
      <c r="G198" s="8" t="s">
        <v>4251</v>
      </c>
    </row>
    <row r="199" ht="15.75" customHeight="1">
      <c r="A199" s="5" t="s">
        <v>3862</v>
      </c>
      <c r="B199" s="4" t="s">
        <v>4253</v>
      </c>
      <c r="C199" s="4" t="s">
        <v>582</v>
      </c>
      <c r="D199" s="4" t="s">
        <v>2783</v>
      </c>
      <c r="E199" s="5" t="s">
        <v>3378</v>
      </c>
      <c r="F199" s="4" t="s">
        <v>3856</v>
      </c>
      <c r="G199" s="5" t="s">
        <v>4254</v>
      </c>
    </row>
    <row r="200" ht="15.75" customHeight="1">
      <c r="A200" s="8" t="s">
        <v>3883</v>
      </c>
      <c r="B200" s="7" t="s">
        <v>4255</v>
      </c>
      <c r="C200" s="7" t="s">
        <v>582</v>
      </c>
      <c r="D200" s="7" t="s">
        <v>2783</v>
      </c>
      <c r="E200" s="8" t="s">
        <v>3378</v>
      </c>
      <c r="F200" s="7" t="s">
        <v>3877</v>
      </c>
      <c r="G200" s="8" t="s">
        <v>4257</v>
      </c>
    </row>
    <row r="201" ht="15.75" customHeight="1">
      <c r="A201" s="5" t="s">
        <v>3926</v>
      </c>
      <c r="B201" s="4" t="s">
        <v>4259</v>
      </c>
      <c r="C201" s="4" t="s">
        <v>582</v>
      </c>
      <c r="D201" s="4" t="s">
        <v>2844</v>
      </c>
      <c r="E201" s="5" t="s">
        <v>2664</v>
      </c>
      <c r="F201" s="4" t="s">
        <v>3939</v>
      </c>
      <c r="G201" s="5" t="s">
        <v>4263</v>
      </c>
    </row>
    <row r="202" ht="15.75" customHeight="1">
      <c r="A202" s="8" t="s">
        <v>3945</v>
      </c>
      <c r="B202" s="7" t="s">
        <v>4265</v>
      </c>
      <c r="C202" s="7" t="s">
        <v>582</v>
      </c>
      <c r="D202" s="7" t="s">
        <v>4266</v>
      </c>
      <c r="E202" s="8" t="s">
        <v>2664</v>
      </c>
      <c r="F202" s="7" t="s">
        <v>3939</v>
      </c>
      <c r="G202" s="8" t="s">
        <v>4267</v>
      </c>
    </row>
    <row r="203" ht="15.75" customHeight="1">
      <c r="A203" s="5" t="s">
        <v>3969</v>
      </c>
      <c r="B203" s="4" t="s">
        <v>4269</v>
      </c>
      <c r="C203" s="4" t="s">
        <v>582</v>
      </c>
      <c r="D203" s="4" t="s">
        <v>4271</v>
      </c>
      <c r="E203" s="5" t="s">
        <v>3318</v>
      </c>
      <c r="F203" s="4" t="s">
        <v>3963</v>
      </c>
      <c r="G203" s="5" t="s">
        <v>4275</v>
      </c>
    </row>
    <row r="204" ht="15.75" customHeight="1">
      <c r="A204" s="8" t="s">
        <v>3997</v>
      </c>
      <c r="B204" s="7" t="s">
        <v>4276</v>
      </c>
      <c r="C204" s="7" t="s">
        <v>582</v>
      </c>
      <c r="D204" s="7" t="s">
        <v>4277</v>
      </c>
      <c r="E204" s="8" t="s">
        <v>2664</v>
      </c>
      <c r="F204" s="7" t="s">
        <v>3989</v>
      </c>
      <c r="G204" s="8" t="s">
        <v>4279</v>
      </c>
    </row>
    <row r="205" ht="15.75" customHeight="1">
      <c r="A205" s="6" t="s">
        <v>4280</v>
      </c>
      <c r="B205" s="6"/>
      <c r="C205" s="6"/>
      <c r="D205" s="6"/>
      <c r="E205" s="6"/>
      <c r="F205" s="6"/>
      <c r="G205" s="6"/>
    </row>
    <row r="206" ht="15.75" customHeight="1">
      <c r="A206" s="8" t="s">
        <v>4034</v>
      </c>
      <c r="B206" s="7" t="s">
        <v>4281</v>
      </c>
      <c r="C206" s="7" t="s">
        <v>582</v>
      </c>
      <c r="D206" s="7" t="s">
        <v>4282</v>
      </c>
      <c r="E206" s="8" t="s">
        <v>2664</v>
      </c>
      <c r="F206" s="7" t="s">
        <v>4283</v>
      </c>
      <c r="G206" s="8" t="s">
        <v>4285</v>
      </c>
    </row>
    <row r="207" ht="15.75" customHeight="1">
      <c r="A207" s="5" t="s">
        <v>4054</v>
      </c>
      <c r="B207" s="4" t="s">
        <v>4287</v>
      </c>
      <c r="C207" s="4" t="s">
        <v>582</v>
      </c>
      <c r="D207" s="4" t="s">
        <v>4290</v>
      </c>
      <c r="E207" s="5" t="s">
        <v>888</v>
      </c>
      <c r="F207" s="4" t="s">
        <v>4050</v>
      </c>
      <c r="G207" s="5" t="s">
        <v>4291</v>
      </c>
    </row>
    <row r="208" ht="15.75" customHeight="1">
      <c r="A208" s="8" t="s">
        <v>4077</v>
      </c>
      <c r="B208" s="7" t="s">
        <v>4292</v>
      </c>
      <c r="C208" s="7" t="s">
        <v>582</v>
      </c>
      <c r="D208" s="7" t="s">
        <v>4293</v>
      </c>
      <c r="E208" s="8" t="s">
        <v>888</v>
      </c>
      <c r="F208" s="7" t="s">
        <v>4070</v>
      </c>
      <c r="G208" s="8" t="s">
        <v>4295</v>
      </c>
    </row>
    <row r="209" ht="15.75" customHeight="1">
      <c r="A209" s="5" t="s">
        <v>4102</v>
      </c>
      <c r="B209" s="4" t="s">
        <v>4297</v>
      </c>
      <c r="C209" s="4" t="s">
        <v>4299</v>
      </c>
      <c r="D209" s="4" t="s">
        <v>4300</v>
      </c>
      <c r="E209" s="5" t="s">
        <v>888</v>
      </c>
      <c r="F209" s="4" t="s">
        <v>4096</v>
      </c>
      <c r="G209" s="5" t="s">
        <v>4302</v>
      </c>
    </row>
    <row r="210" ht="15.75" customHeight="1">
      <c r="A210" s="8" t="s">
        <v>4127</v>
      </c>
      <c r="B210" s="7" t="s">
        <v>4304</v>
      </c>
      <c r="C210" s="7" t="s">
        <v>582</v>
      </c>
      <c r="D210" s="7" t="s">
        <v>2783</v>
      </c>
      <c r="E210" s="8" t="s">
        <v>3378</v>
      </c>
      <c r="F210" s="7" t="s">
        <v>4119</v>
      </c>
      <c r="G210" s="8" t="s">
        <v>4306</v>
      </c>
    </row>
    <row r="211" ht="15.75" customHeight="1">
      <c r="A211" s="5" t="s">
        <v>4161</v>
      </c>
      <c r="B211" s="4" t="s">
        <v>4307</v>
      </c>
      <c r="C211" s="4" t="s">
        <v>582</v>
      </c>
      <c r="D211" s="4" t="s">
        <v>810</v>
      </c>
      <c r="E211" s="5" t="s">
        <v>3378</v>
      </c>
      <c r="F211" s="4" t="s">
        <v>4154</v>
      </c>
      <c r="G211" s="5" t="s">
        <v>4311</v>
      </c>
    </row>
    <row r="212" ht="15.75" customHeight="1">
      <c r="A212" s="8" t="s">
        <v>4212</v>
      </c>
      <c r="B212" s="7" t="s">
        <v>4313</v>
      </c>
      <c r="C212" s="7" t="s">
        <v>4314</v>
      </c>
      <c r="D212" s="7" t="s">
        <v>4315</v>
      </c>
      <c r="E212" s="8" t="s">
        <v>888</v>
      </c>
      <c r="F212" s="7" t="s">
        <v>4205</v>
      </c>
      <c r="G212" s="8" t="s">
        <v>4317</v>
      </c>
    </row>
    <row r="213" ht="15.75" customHeight="1">
      <c r="A213" s="5" t="s">
        <v>4231</v>
      </c>
      <c r="B213" s="4" t="s">
        <v>4318</v>
      </c>
      <c r="C213" s="4" t="s">
        <v>582</v>
      </c>
      <c r="D213" s="4" t="s">
        <v>2844</v>
      </c>
      <c r="E213" s="5" t="s">
        <v>2664</v>
      </c>
      <c r="F213" s="4" t="s">
        <v>4226</v>
      </c>
      <c r="G213" s="5" t="s">
        <v>4319</v>
      </c>
    </row>
    <row r="214" ht="15.75" customHeight="1">
      <c r="A214" s="8" t="s">
        <v>4260</v>
      </c>
      <c r="B214" s="7" t="s">
        <v>4320</v>
      </c>
      <c r="C214" s="7" t="s">
        <v>4321</v>
      </c>
      <c r="D214" s="7" t="s">
        <v>2819</v>
      </c>
      <c r="E214" s="8" t="s">
        <v>888</v>
      </c>
      <c r="F214" s="7" t="s">
        <v>4256</v>
      </c>
      <c r="G214" s="8" t="s">
        <v>4323</v>
      </c>
    </row>
    <row r="215" ht="15.75" customHeight="1">
      <c r="A215" s="5" t="s">
        <v>4272</v>
      </c>
      <c r="B215" s="4" t="s">
        <v>4326</v>
      </c>
      <c r="C215" s="4" t="s">
        <v>582</v>
      </c>
      <c r="D215" s="4" t="s">
        <v>2879</v>
      </c>
      <c r="E215" s="5" t="s">
        <v>2664</v>
      </c>
      <c r="F215" s="4" t="s">
        <v>4268</v>
      </c>
      <c r="G215" s="5" t="s">
        <v>4329</v>
      </c>
    </row>
    <row r="216" ht="15.75" customHeight="1">
      <c r="A216" s="8" t="s">
        <v>4288</v>
      </c>
      <c r="B216" s="7" t="s">
        <v>4330</v>
      </c>
      <c r="C216" s="7" t="s">
        <v>582</v>
      </c>
      <c r="D216" s="7" t="s">
        <v>580</v>
      </c>
      <c r="E216" s="8" t="s">
        <v>2664</v>
      </c>
      <c r="F216" s="7" t="s">
        <v>4284</v>
      </c>
      <c r="G216" s="8" t="s">
        <v>4331</v>
      </c>
    </row>
    <row r="217" ht="15.75" customHeight="1">
      <c r="A217" s="5" t="s">
        <v>4298</v>
      </c>
      <c r="B217" s="4" t="s">
        <v>4333</v>
      </c>
      <c r="C217" s="4" t="s">
        <v>582</v>
      </c>
      <c r="D217" s="4" t="s">
        <v>2879</v>
      </c>
      <c r="E217" s="5" t="s">
        <v>2664</v>
      </c>
      <c r="F217" s="4" t="s">
        <v>4294</v>
      </c>
      <c r="G217" s="5" t="s">
        <v>4338</v>
      </c>
    </row>
    <row r="218" ht="15.75" customHeight="1">
      <c r="A218" s="8" t="s">
        <v>4309</v>
      </c>
      <c r="B218" s="7" t="s">
        <v>4340</v>
      </c>
      <c r="C218" s="7" t="s">
        <v>582</v>
      </c>
      <c r="D218" s="7" t="s">
        <v>4341</v>
      </c>
      <c r="E218" s="8" t="s">
        <v>2664</v>
      </c>
      <c r="F218" s="7" t="s">
        <v>4305</v>
      </c>
      <c r="G218" s="8" t="s">
        <v>4342</v>
      </c>
    </row>
    <row r="219" ht="15.75" customHeight="1">
      <c r="A219" s="6" t="s">
        <v>4344</v>
      </c>
      <c r="B219" s="6"/>
      <c r="C219" s="6"/>
      <c r="D219" s="6"/>
      <c r="E219" s="6"/>
      <c r="F219" s="6"/>
      <c r="G219" s="6"/>
    </row>
    <row r="220" ht="15.75" customHeight="1">
      <c r="A220" s="8" t="s">
        <v>4325</v>
      </c>
      <c r="B220" s="7" t="s">
        <v>4349</v>
      </c>
      <c r="C220" s="7" t="s">
        <v>4350</v>
      </c>
      <c r="D220" s="7" t="s">
        <v>4352</v>
      </c>
      <c r="E220" s="8" t="s">
        <v>3378</v>
      </c>
      <c r="F220" s="7" t="s">
        <v>4322</v>
      </c>
      <c r="G220" s="8" t="s">
        <v>4353</v>
      </c>
    </row>
    <row r="221" ht="15.75" customHeight="1">
      <c r="A221" s="5" t="s">
        <v>4335</v>
      </c>
      <c r="B221" s="4" t="s">
        <v>4354</v>
      </c>
      <c r="C221" s="4" t="s">
        <v>582</v>
      </c>
      <c r="D221" s="4" t="s">
        <v>2844</v>
      </c>
      <c r="E221" s="5" t="s">
        <v>2664</v>
      </c>
      <c r="F221" s="4" t="s">
        <v>4332</v>
      </c>
      <c r="G221" s="5" t="s">
        <v>4357</v>
      </c>
    </row>
    <row r="222" ht="15.75" customHeight="1">
      <c r="A222" s="8" t="s">
        <v>4346</v>
      </c>
      <c r="B222" s="7" t="s">
        <v>4360</v>
      </c>
      <c r="C222" s="7" t="s">
        <v>582</v>
      </c>
      <c r="D222" s="7" t="s">
        <v>4362</v>
      </c>
      <c r="E222" s="8" t="s">
        <v>2664</v>
      </c>
      <c r="F222" s="7" t="s">
        <v>4343</v>
      </c>
      <c r="G222" s="8" t="s">
        <v>4364</v>
      </c>
    </row>
    <row r="223" ht="15.75" customHeight="1">
      <c r="A223" s="5" t="s">
        <v>4358</v>
      </c>
      <c r="B223" s="4" t="s">
        <v>4366</v>
      </c>
      <c r="C223" s="4" t="s">
        <v>4321</v>
      </c>
      <c r="D223" s="4" t="s">
        <v>4367</v>
      </c>
      <c r="E223" s="5" t="s">
        <v>888</v>
      </c>
      <c r="F223" s="4" t="s">
        <v>4355</v>
      </c>
      <c r="G223" s="5" t="s">
        <v>4368</v>
      </c>
    </row>
    <row r="224" ht="15.75" customHeight="1">
      <c r="A224" s="8" t="s">
        <v>4369</v>
      </c>
      <c r="B224" s="7" t="s">
        <v>4370</v>
      </c>
      <c r="C224" s="7" t="s">
        <v>4371</v>
      </c>
      <c r="D224" s="7" t="s">
        <v>4372</v>
      </c>
      <c r="E224" s="8" t="s">
        <v>888</v>
      </c>
      <c r="F224" s="7" t="s">
        <v>4373</v>
      </c>
      <c r="G224" s="8" t="s">
        <v>4374</v>
      </c>
    </row>
    <row r="225" ht="15.75" customHeight="1">
      <c r="A225" s="5" t="s">
        <v>4375</v>
      </c>
      <c r="B225" s="4" t="s">
        <v>4376</v>
      </c>
      <c r="C225" s="4" t="s">
        <v>4377</v>
      </c>
      <c r="D225" s="4" t="s">
        <v>4378</v>
      </c>
      <c r="E225" s="5" t="s">
        <v>888</v>
      </c>
      <c r="F225" s="4" t="s">
        <v>4380</v>
      </c>
      <c r="G225" s="5" t="s">
        <v>4382</v>
      </c>
    </row>
    <row r="226" ht="15.75" customHeight="1">
      <c r="A226" s="8" t="s">
        <v>4384</v>
      </c>
      <c r="B226" s="7" t="s">
        <v>4385</v>
      </c>
      <c r="C226" s="7" t="s">
        <v>582</v>
      </c>
      <c r="D226" s="7" t="s">
        <v>4387</v>
      </c>
      <c r="E226" s="8" t="s">
        <v>2664</v>
      </c>
      <c r="F226" s="7" t="s">
        <v>4388</v>
      </c>
      <c r="G226" s="8" t="s">
        <v>4389</v>
      </c>
    </row>
    <row r="227" ht="15.75" customHeight="1">
      <c r="A227" s="5" t="s">
        <v>4390</v>
      </c>
      <c r="B227" s="4" t="s">
        <v>4391</v>
      </c>
      <c r="C227" s="4" t="s">
        <v>582</v>
      </c>
      <c r="D227" s="4" t="s">
        <v>4392</v>
      </c>
      <c r="E227" s="5" t="s">
        <v>3378</v>
      </c>
      <c r="F227" s="4" t="s">
        <v>4393</v>
      </c>
      <c r="G227" s="5" t="s">
        <v>4395</v>
      </c>
    </row>
    <row r="228" ht="15.75" customHeight="1">
      <c r="A228" s="8" t="s">
        <v>4397</v>
      </c>
      <c r="B228" s="7" t="s">
        <v>4399</v>
      </c>
      <c r="C228" s="7" t="s">
        <v>582</v>
      </c>
      <c r="D228" s="7" t="s">
        <v>4401</v>
      </c>
      <c r="E228" s="8" t="s">
        <v>3378</v>
      </c>
      <c r="F228" s="7" t="s">
        <v>4403</v>
      </c>
      <c r="G228" s="8" t="s">
        <v>4404</v>
      </c>
    </row>
    <row r="229" ht="15.75" customHeight="1">
      <c r="A229" s="5" t="s">
        <v>4405</v>
      </c>
      <c r="B229" s="4" t="s">
        <v>4406</v>
      </c>
      <c r="C229" s="4" t="s">
        <v>582</v>
      </c>
      <c r="D229" s="4" t="s">
        <v>2783</v>
      </c>
      <c r="E229" s="5" t="s">
        <v>3378</v>
      </c>
      <c r="F229" s="4" t="s">
        <v>4408</v>
      </c>
      <c r="G229" s="5" t="s">
        <v>4409</v>
      </c>
    </row>
    <row r="230" ht="15.75" customHeight="1">
      <c r="A230" s="8" t="s">
        <v>4411</v>
      </c>
      <c r="B230" s="7" t="s">
        <v>4412</v>
      </c>
      <c r="C230" s="7" t="s">
        <v>582</v>
      </c>
      <c r="D230" s="7" t="s">
        <v>4372</v>
      </c>
      <c r="E230" s="8" t="s">
        <v>888</v>
      </c>
      <c r="F230" s="7" t="s">
        <v>4414</v>
      </c>
      <c r="G230" s="8" t="s">
        <v>4415</v>
      </c>
    </row>
    <row r="231" ht="15.75" customHeight="1">
      <c r="A231" s="5" t="s">
        <v>4417</v>
      </c>
      <c r="B231" s="4" t="s">
        <v>4418</v>
      </c>
      <c r="C231" s="4" t="s">
        <v>582</v>
      </c>
      <c r="D231" s="4" t="s">
        <v>2844</v>
      </c>
      <c r="E231" s="5" t="s">
        <v>2664</v>
      </c>
      <c r="F231" s="4" t="s">
        <v>4420</v>
      </c>
      <c r="G231" s="5" t="s">
        <v>4421</v>
      </c>
    </row>
    <row r="232" ht="15.75" customHeight="1">
      <c r="A232" s="8" t="s">
        <v>4422</v>
      </c>
      <c r="B232" s="7" t="s">
        <v>4423</v>
      </c>
      <c r="C232" s="7" t="s">
        <v>582</v>
      </c>
      <c r="D232" s="7" t="s">
        <v>4424</v>
      </c>
      <c r="E232" s="8" t="s">
        <v>888</v>
      </c>
      <c r="F232" s="7" t="s">
        <v>4425</v>
      </c>
      <c r="G232" s="8" t="s">
        <v>4426</v>
      </c>
    </row>
    <row r="233" ht="15.75" customHeight="1">
      <c r="A233" s="5" t="s">
        <v>4427</v>
      </c>
      <c r="B233" s="4" t="s">
        <v>4428</v>
      </c>
      <c r="C233" s="4" t="s">
        <v>582</v>
      </c>
      <c r="D233" s="4" t="s">
        <v>2783</v>
      </c>
      <c r="E233" s="5" t="s">
        <v>1800</v>
      </c>
      <c r="F233" s="4" t="s">
        <v>4431</v>
      </c>
      <c r="G233" s="5" t="s">
        <v>4433</v>
      </c>
    </row>
    <row r="234" ht="15.75" customHeight="1">
      <c r="A234" s="8" t="s">
        <v>4435</v>
      </c>
      <c r="B234" s="7" t="s">
        <v>4436</v>
      </c>
      <c r="C234" s="7" t="s">
        <v>582</v>
      </c>
      <c r="D234" s="7" t="s">
        <v>2844</v>
      </c>
      <c r="E234" s="8" t="s">
        <v>2664</v>
      </c>
      <c r="F234" s="7" t="s">
        <v>4437</v>
      </c>
      <c r="G234" s="8" t="s">
        <v>4438</v>
      </c>
    </row>
    <row r="235" ht="15.75" customHeight="1">
      <c r="A235" s="5" t="s">
        <v>4439</v>
      </c>
      <c r="B235" s="4" t="s">
        <v>4440</v>
      </c>
      <c r="C235" s="4" t="s">
        <v>582</v>
      </c>
      <c r="D235" s="4" t="s">
        <v>2783</v>
      </c>
      <c r="E235" s="5" t="s">
        <v>2664</v>
      </c>
      <c r="F235" s="4" t="s">
        <v>4443</v>
      </c>
      <c r="G235" s="5" t="s">
        <v>4445</v>
      </c>
    </row>
    <row r="236" ht="15.75" customHeight="1">
      <c r="A236" s="6" t="s">
        <v>4448</v>
      </c>
      <c r="B236" s="6"/>
      <c r="C236" s="6"/>
      <c r="D236" s="6"/>
      <c r="E236" s="6"/>
      <c r="F236" s="6"/>
      <c r="G236" s="6"/>
    </row>
    <row r="237" ht="15.75" customHeight="1">
      <c r="A237" s="5" t="s">
        <v>4449</v>
      </c>
      <c r="B237" s="4" t="s">
        <v>4451</v>
      </c>
      <c r="C237" s="4" t="s">
        <v>4452</v>
      </c>
      <c r="D237" s="4" t="s">
        <v>4455</v>
      </c>
      <c r="E237" s="5" t="s">
        <v>4456</v>
      </c>
      <c r="F237" s="4" t="s">
        <v>4457</v>
      </c>
      <c r="G237" s="5" t="s">
        <v>4458</v>
      </c>
    </row>
    <row r="238" ht="15.75" customHeight="1">
      <c r="A238" s="8" t="s">
        <v>4460</v>
      </c>
      <c r="B238" s="7" t="s">
        <v>4461</v>
      </c>
      <c r="C238" s="7" t="s">
        <v>582</v>
      </c>
      <c r="D238" s="7" t="s">
        <v>4462</v>
      </c>
      <c r="E238" s="8" t="s">
        <v>2664</v>
      </c>
      <c r="F238" s="7" t="s">
        <v>4463</v>
      </c>
      <c r="G238" s="8" t="s">
        <v>4464</v>
      </c>
    </row>
    <row r="239" ht="15.75" customHeight="1">
      <c r="A239" s="5" t="s">
        <v>4465</v>
      </c>
      <c r="B239" s="4" t="s">
        <v>4466</v>
      </c>
      <c r="C239" s="4" t="s">
        <v>582</v>
      </c>
      <c r="D239" s="4" t="s">
        <v>2844</v>
      </c>
      <c r="E239" s="5" t="s">
        <v>4467</v>
      </c>
      <c r="F239" s="4" t="s">
        <v>4469</v>
      </c>
      <c r="G239" s="5" t="s">
        <v>4470</v>
      </c>
    </row>
    <row r="240" ht="15.75" customHeight="1">
      <c r="A240" s="8" t="s">
        <v>4473</v>
      </c>
      <c r="B240" s="7" t="s">
        <v>4474</v>
      </c>
      <c r="C240" s="7" t="s">
        <v>582</v>
      </c>
      <c r="D240" s="7" t="s">
        <v>3094</v>
      </c>
      <c r="E240" s="8" t="s">
        <v>2664</v>
      </c>
      <c r="F240" s="7" t="s">
        <v>4475</v>
      </c>
      <c r="G240" s="8" t="s">
        <v>4477</v>
      </c>
    </row>
    <row r="241" ht="15.75" customHeight="1">
      <c r="A241" s="5" t="s">
        <v>4478</v>
      </c>
      <c r="B241" s="4" t="s">
        <v>4480</v>
      </c>
      <c r="C241" s="4" t="s">
        <v>4483</v>
      </c>
      <c r="D241" s="4" t="s">
        <v>4341</v>
      </c>
      <c r="E241" s="5" t="s">
        <v>4456</v>
      </c>
      <c r="F241" s="4" t="s">
        <v>4484</v>
      </c>
      <c r="G241" s="5" t="s">
        <v>4485</v>
      </c>
    </row>
    <row r="242" ht="15.75" customHeight="1">
      <c r="A242" s="8" t="s">
        <v>4486</v>
      </c>
      <c r="B242" s="7" t="s">
        <v>4487</v>
      </c>
      <c r="C242" s="7" t="s">
        <v>582</v>
      </c>
      <c r="D242" s="7" t="s">
        <v>2844</v>
      </c>
      <c r="E242" s="8" t="s">
        <v>2664</v>
      </c>
      <c r="F242" s="7" t="s">
        <v>4488</v>
      </c>
      <c r="G242" s="8" t="s">
        <v>4489</v>
      </c>
    </row>
    <row r="243" ht="15.75" customHeight="1">
      <c r="A243" s="5" t="s">
        <v>4491</v>
      </c>
      <c r="B243" s="4" t="s">
        <v>4492</v>
      </c>
      <c r="C243" s="4" t="s">
        <v>582</v>
      </c>
      <c r="D243" s="4" t="s">
        <v>4494</v>
      </c>
      <c r="E243" s="5" t="s">
        <v>2664</v>
      </c>
      <c r="F243" s="4" t="s">
        <v>4495</v>
      </c>
      <c r="G243" s="5" t="s">
        <v>4496</v>
      </c>
    </row>
    <row r="244" ht="15.75" customHeight="1">
      <c r="A244" s="8" t="s">
        <v>4497</v>
      </c>
      <c r="B244" s="7" t="s">
        <v>4498</v>
      </c>
      <c r="C244" s="7" t="s">
        <v>4499</v>
      </c>
      <c r="D244" s="7" t="s">
        <v>4500</v>
      </c>
      <c r="E244" s="8" t="s">
        <v>1855</v>
      </c>
      <c r="F244" s="7" t="s">
        <v>4502</v>
      </c>
      <c r="G244" s="8" t="s">
        <v>4503</v>
      </c>
    </row>
    <row r="245" ht="15.75" customHeight="1">
      <c r="A245" s="5" t="s">
        <v>4504</v>
      </c>
      <c r="B245" s="4" t="s">
        <v>4506</v>
      </c>
      <c r="C245" s="4" t="s">
        <v>582</v>
      </c>
      <c r="D245" s="4" t="s">
        <v>4507</v>
      </c>
      <c r="E245" s="5" t="s">
        <v>2664</v>
      </c>
      <c r="F245" s="4" t="s">
        <v>4508</v>
      </c>
      <c r="G245" s="5" t="s">
        <v>4509</v>
      </c>
    </row>
    <row r="246" ht="15.75" customHeight="1">
      <c r="A246" s="8" t="s">
        <v>4510</v>
      </c>
      <c r="B246" s="7" t="s">
        <v>4512</v>
      </c>
      <c r="C246" s="7" t="s">
        <v>582</v>
      </c>
      <c r="D246" s="7" t="s">
        <v>580</v>
      </c>
      <c r="E246" s="8" t="s">
        <v>2664</v>
      </c>
      <c r="F246" s="7" t="s">
        <v>4513</v>
      </c>
      <c r="G246" s="8" t="s">
        <v>4514</v>
      </c>
    </row>
    <row r="247" ht="15.75" customHeight="1">
      <c r="A247" s="5" t="s">
        <v>4515</v>
      </c>
      <c r="B247" s="4" t="s">
        <v>4516</v>
      </c>
      <c r="C247" s="4" t="s">
        <v>4517</v>
      </c>
      <c r="D247" s="4" t="s">
        <v>4518</v>
      </c>
      <c r="E247" s="5" t="s">
        <v>4456</v>
      </c>
      <c r="F247" s="4" t="s">
        <v>4519</v>
      </c>
      <c r="G247" s="5" t="s">
        <v>4520</v>
      </c>
    </row>
    <row r="248" ht="15.75" customHeight="1">
      <c r="A248" s="8" t="s">
        <v>4521</v>
      </c>
      <c r="B248" s="7" t="s">
        <v>4522</v>
      </c>
      <c r="C248" s="7" t="s">
        <v>582</v>
      </c>
      <c r="D248" s="7" t="s">
        <v>2783</v>
      </c>
      <c r="E248" s="8" t="s">
        <v>2664</v>
      </c>
      <c r="F248" s="7" t="s">
        <v>4524</v>
      </c>
      <c r="G248" s="8" t="s">
        <v>4526</v>
      </c>
    </row>
    <row r="249" ht="15.75" customHeight="1">
      <c r="A249" s="5" t="s">
        <v>4528</v>
      </c>
      <c r="B249" s="4" t="s">
        <v>4529</v>
      </c>
      <c r="C249" s="4" t="s">
        <v>582</v>
      </c>
      <c r="D249" s="4" t="s">
        <v>4530</v>
      </c>
      <c r="E249" s="5" t="s">
        <v>3378</v>
      </c>
      <c r="F249" s="4" t="s">
        <v>4531</v>
      </c>
      <c r="G249" s="5" t="s">
        <v>4532</v>
      </c>
    </row>
    <row r="250" ht="15.75" customHeight="1">
      <c r="A250" s="8" t="s">
        <v>4533</v>
      </c>
      <c r="B250" s="7" t="s">
        <v>4534</v>
      </c>
      <c r="C250" s="7" t="s">
        <v>582</v>
      </c>
      <c r="D250" s="7" t="s">
        <v>2783</v>
      </c>
      <c r="E250" s="8" t="s">
        <v>3378</v>
      </c>
      <c r="F250" s="7" t="s">
        <v>4536</v>
      </c>
      <c r="G250" s="8" t="s">
        <v>4537</v>
      </c>
    </row>
    <row r="251" ht="15.75" customHeight="1">
      <c r="A251" s="6" t="s">
        <v>4539</v>
      </c>
      <c r="B251" s="6"/>
      <c r="C251" s="6"/>
      <c r="D251" s="6"/>
      <c r="E251" s="6"/>
      <c r="F251" s="6"/>
      <c r="G251" s="6"/>
    </row>
    <row r="252" ht="15.75" customHeight="1">
      <c r="A252" s="8" t="s">
        <v>4542</v>
      </c>
      <c r="B252" s="7" t="s">
        <v>4543</v>
      </c>
      <c r="C252" s="7" t="s">
        <v>582</v>
      </c>
      <c r="D252" s="7" t="s">
        <v>2783</v>
      </c>
      <c r="E252" s="8" t="s">
        <v>2664</v>
      </c>
      <c r="F252" s="7" t="s">
        <v>4545</v>
      </c>
      <c r="G252" s="8" t="s">
        <v>4546</v>
      </c>
    </row>
    <row r="253" ht="15.75" customHeight="1">
      <c r="A253" s="5" t="s">
        <v>4547</v>
      </c>
      <c r="B253" s="4" t="s">
        <v>4549</v>
      </c>
      <c r="C253" s="4" t="s">
        <v>582</v>
      </c>
      <c r="D253" s="4" t="s">
        <v>2844</v>
      </c>
      <c r="E253" s="5" t="s">
        <v>4467</v>
      </c>
      <c r="F253" s="4" t="s">
        <v>4552</v>
      </c>
      <c r="G253" s="5" t="s">
        <v>4553</v>
      </c>
    </row>
    <row r="254" ht="15.75" customHeight="1">
      <c r="A254" s="8" t="s">
        <v>4554</v>
      </c>
      <c r="B254" s="7" t="s">
        <v>4555</v>
      </c>
      <c r="C254" s="7" t="s">
        <v>4556</v>
      </c>
      <c r="D254" s="7" t="s">
        <v>4557</v>
      </c>
      <c r="E254" s="8" t="s">
        <v>3318</v>
      </c>
      <c r="F254" s="7" t="s">
        <v>4558</v>
      </c>
      <c r="G254" s="8" t="s">
        <v>4559</v>
      </c>
    </row>
    <row r="255" ht="15.75" customHeight="1">
      <c r="A255" s="5" t="s">
        <v>4560</v>
      </c>
      <c r="B255" s="4" t="s">
        <v>4562</v>
      </c>
      <c r="C255" s="4" t="s">
        <v>4563</v>
      </c>
      <c r="D255" s="4" t="s">
        <v>4565</v>
      </c>
      <c r="E255" s="5" t="s">
        <v>4567</v>
      </c>
      <c r="F255" s="4" t="s">
        <v>4568</v>
      </c>
      <c r="G255" s="5" t="s">
        <v>4569</v>
      </c>
    </row>
    <row r="256" ht="15.75" customHeight="1">
      <c r="A256" s="8" t="s">
        <v>4571</v>
      </c>
      <c r="B256" s="7" t="s">
        <v>4572</v>
      </c>
      <c r="C256" s="7" t="s">
        <v>582</v>
      </c>
      <c r="D256" s="7" t="s">
        <v>4573</v>
      </c>
      <c r="E256" s="8" t="s">
        <v>2664</v>
      </c>
      <c r="F256" s="7" t="s">
        <v>4575</v>
      </c>
      <c r="G256" s="8" t="s">
        <v>4576</v>
      </c>
    </row>
    <row r="257" ht="15.75" customHeight="1">
      <c r="A257" s="5" t="s">
        <v>4577</v>
      </c>
      <c r="B257" s="4" t="s">
        <v>4578</v>
      </c>
      <c r="C257" s="4" t="s">
        <v>582</v>
      </c>
      <c r="D257" s="4" t="s">
        <v>2783</v>
      </c>
      <c r="E257" s="5" t="s">
        <v>2664</v>
      </c>
      <c r="F257" s="4" t="s">
        <v>4579</v>
      </c>
      <c r="G257" s="5" t="s">
        <v>4580</v>
      </c>
    </row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257"/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6.0"/>
    <col customWidth="1" min="2" max="2" width="44.0"/>
    <col customWidth="1" min="3" max="3" width="54.0"/>
    <col customWidth="1" min="4" max="4" width="86.0"/>
    <col customWidth="1" min="5" max="5" width="24.0"/>
    <col customWidth="1" min="6" max="6" width="20.0"/>
    <col customWidth="1" min="7" max="26" width="8.71"/>
  </cols>
  <sheetData>
    <row r="1" ht="19.5" customHeight="1">
      <c r="A1" s="1" t="s">
        <v>3196</v>
      </c>
    </row>
    <row r="2" ht="25.5" customHeight="1">
      <c r="A2" s="2" t="s">
        <v>3204</v>
      </c>
    </row>
    <row r="4" ht="30.0" customHeight="1">
      <c r="A4" s="3" t="s">
        <v>3208</v>
      </c>
      <c r="B4" s="3" t="s">
        <v>1936</v>
      </c>
      <c r="C4" s="3" t="s">
        <v>3211</v>
      </c>
      <c r="D4" s="3" t="s">
        <v>3212</v>
      </c>
      <c r="E4" s="3" t="s">
        <v>3213</v>
      </c>
      <c r="F4" s="3" t="s">
        <v>3214</v>
      </c>
    </row>
    <row r="5">
      <c r="A5" s="5" t="s">
        <v>1233</v>
      </c>
      <c r="B5" s="4" t="s">
        <v>3218</v>
      </c>
      <c r="C5" s="4" t="s">
        <v>3220</v>
      </c>
      <c r="D5" s="4" t="s">
        <v>3223</v>
      </c>
      <c r="E5" s="5" t="s">
        <v>160</v>
      </c>
      <c r="F5" s="5" t="s">
        <v>909</v>
      </c>
    </row>
    <row r="6">
      <c r="A6" s="8" t="s">
        <v>1217</v>
      </c>
      <c r="B6" s="7" t="s">
        <v>3229</v>
      </c>
      <c r="C6" s="7" t="s">
        <v>3232</v>
      </c>
      <c r="D6" s="7" t="s">
        <v>3233</v>
      </c>
      <c r="E6" s="8" t="s">
        <v>160</v>
      </c>
      <c r="F6" s="8" t="s">
        <v>909</v>
      </c>
    </row>
    <row r="7">
      <c r="A7" s="5" t="s">
        <v>1417</v>
      </c>
      <c r="B7" s="4" t="s">
        <v>3239</v>
      </c>
      <c r="C7" s="4" t="s">
        <v>3240</v>
      </c>
      <c r="D7" s="4" t="s">
        <v>3241</v>
      </c>
      <c r="E7" s="5" t="s">
        <v>160</v>
      </c>
      <c r="F7" s="5" t="s">
        <v>909</v>
      </c>
    </row>
    <row r="8">
      <c r="A8" s="8" t="s">
        <v>1476</v>
      </c>
      <c r="B8" s="7" t="s">
        <v>3245</v>
      </c>
      <c r="C8" s="7" t="s">
        <v>3246</v>
      </c>
      <c r="D8" s="7" t="s">
        <v>3248</v>
      </c>
      <c r="E8" s="8" t="s">
        <v>160</v>
      </c>
      <c r="F8" s="8" t="s">
        <v>909</v>
      </c>
    </row>
    <row r="9">
      <c r="A9" s="5" t="s">
        <v>3252</v>
      </c>
      <c r="B9" s="4" t="s">
        <v>3254</v>
      </c>
      <c r="C9" s="4" t="s">
        <v>3255</v>
      </c>
      <c r="D9" s="4" t="s">
        <v>3256</v>
      </c>
      <c r="E9" s="5" t="s">
        <v>160</v>
      </c>
      <c r="F9" s="5" t="s">
        <v>909</v>
      </c>
    </row>
    <row r="10">
      <c r="A10" s="8" t="s">
        <v>3258</v>
      </c>
      <c r="B10" s="7" t="s">
        <v>3260</v>
      </c>
      <c r="C10" s="7" t="s">
        <v>3262</v>
      </c>
      <c r="D10" s="7" t="s">
        <v>3263</v>
      </c>
      <c r="E10" s="8" t="s">
        <v>160</v>
      </c>
      <c r="F10" s="8" t="s">
        <v>909</v>
      </c>
    </row>
    <row r="11">
      <c r="A11" s="5" t="s">
        <v>3268</v>
      </c>
      <c r="B11" s="4" t="s">
        <v>3271</v>
      </c>
      <c r="C11" s="4" t="s">
        <v>3272</v>
      </c>
      <c r="D11" s="4" t="s">
        <v>3273</v>
      </c>
      <c r="E11" s="5" t="s">
        <v>160</v>
      </c>
      <c r="F11" s="5" t="s">
        <v>909</v>
      </c>
    </row>
    <row r="12">
      <c r="A12" s="8" t="s">
        <v>1550</v>
      </c>
      <c r="B12" s="7" t="s">
        <v>3278</v>
      </c>
      <c r="C12" s="7" t="s">
        <v>3279</v>
      </c>
      <c r="D12" s="7" t="s">
        <v>3280</v>
      </c>
      <c r="E12" s="8" t="s">
        <v>160</v>
      </c>
      <c r="F12" s="8" t="s">
        <v>909</v>
      </c>
    </row>
    <row r="13">
      <c r="A13" s="5" t="s">
        <v>1558</v>
      </c>
      <c r="B13" s="4" t="s">
        <v>3282</v>
      </c>
      <c r="C13" s="4" t="s">
        <v>1559</v>
      </c>
      <c r="D13" s="4" t="s">
        <v>3283</v>
      </c>
      <c r="E13" s="5" t="s">
        <v>160</v>
      </c>
      <c r="F13" s="5" t="s">
        <v>909</v>
      </c>
    </row>
    <row r="14">
      <c r="A14" s="8" t="s">
        <v>1566</v>
      </c>
      <c r="B14" s="7" t="s">
        <v>3288</v>
      </c>
      <c r="C14" s="7" t="s">
        <v>2093</v>
      </c>
      <c r="D14" s="7" t="s">
        <v>3292</v>
      </c>
      <c r="E14" s="8" t="s">
        <v>160</v>
      </c>
      <c r="F14" s="8" t="s">
        <v>909</v>
      </c>
    </row>
    <row r="15">
      <c r="A15" s="5" t="s">
        <v>995</v>
      </c>
      <c r="B15" s="4" t="s">
        <v>3299</v>
      </c>
      <c r="C15" s="4" t="s">
        <v>3300</v>
      </c>
      <c r="D15" s="4" t="s">
        <v>3303</v>
      </c>
      <c r="E15" s="5" t="s">
        <v>160</v>
      </c>
      <c r="F15" s="5" t="s">
        <v>909</v>
      </c>
    </row>
    <row r="16">
      <c r="A16" s="8" t="s">
        <v>3306</v>
      </c>
      <c r="B16" s="7" t="s">
        <v>3308</v>
      </c>
      <c r="C16" s="7" t="s">
        <v>3309</v>
      </c>
      <c r="D16" s="7" t="s">
        <v>3312</v>
      </c>
      <c r="E16" s="8" t="s">
        <v>3315</v>
      </c>
      <c r="F16" s="8" t="s">
        <v>909</v>
      </c>
    </row>
    <row r="17">
      <c r="A17" s="5" t="s">
        <v>3319</v>
      </c>
      <c r="B17" s="4" t="s">
        <v>3321</v>
      </c>
      <c r="C17" s="4" t="s">
        <v>3324</v>
      </c>
      <c r="D17" s="4" t="s">
        <v>3325</v>
      </c>
      <c r="E17" s="5" t="s">
        <v>3315</v>
      </c>
      <c r="F17" s="5" t="s">
        <v>909</v>
      </c>
    </row>
    <row r="18">
      <c r="A18" s="8" t="s">
        <v>1758</v>
      </c>
      <c r="B18" s="7" t="s">
        <v>3327</v>
      </c>
      <c r="C18" s="7" t="s">
        <v>3330</v>
      </c>
      <c r="D18" s="7" t="s">
        <v>3331</v>
      </c>
      <c r="E18" s="8" t="s">
        <v>160</v>
      </c>
      <c r="F18" s="8" t="s">
        <v>909</v>
      </c>
    </row>
    <row r="19">
      <c r="A19" s="5" t="s">
        <v>1726</v>
      </c>
      <c r="B19" s="4" t="s">
        <v>3338</v>
      </c>
      <c r="C19" s="4" t="s">
        <v>3339</v>
      </c>
      <c r="D19" s="4" t="s">
        <v>3342</v>
      </c>
      <c r="E19" s="5" t="s">
        <v>2449</v>
      </c>
      <c r="F19" s="5" t="s">
        <v>909</v>
      </c>
    </row>
    <row r="20">
      <c r="A20" s="8" t="s">
        <v>1715</v>
      </c>
      <c r="B20" s="7" t="s">
        <v>3346</v>
      </c>
      <c r="C20" s="7" t="s">
        <v>3347</v>
      </c>
      <c r="D20" s="7" t="s">
        <v>3349</v>
      </c>
      <c r="E20" s="8" t="s">
        <v>2449</v>
      </c>
      <c r="F20" s="8" t="s">
        <v>3351</v>
      </c>
    </row>
    <row r="21" ht="15.75" customHeight="1">
      <c r="A21" s="5" t="s">
        <v>1881</v>
      </c>
      <c r="B21" s="4" t="s">
        <v>3354</v>
      </c>
      <c r="C21" s="4" t="s">
        <v>1882</v>
      </c>
      <c r="D21" s="4" t="s">
        <v>3357</v>
      </c>
      <c r="E21" s="5" t="s">
        <v>160</v>
      </c>
      <c r="F21" s="5" t="s">
        <v>909</v>
      </c>
    </row>
    <row r="22" ht="15.75" customHeight="1">
      <c r="A22" s="8" t="s">
        <v>3359</v>
      </c>
      <c r="B22" s="7" t="s">
        <v>3360</v>
      </c>
      <c r="C22" s="7" t="s">
        <v>3361</v>
      </c>
      <c r="D22" s="7" t="s">
        <v>3362</v>
      </c>
      <c r="E22" s="8" t="s">
        <v>204</v>
      </c>
      <c r="F22" s="8" t="s">
        <v>909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22"/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46.0"/>
    <col customWidth="1" min="4" max="4" width="14.0"/>
    <col customWidth="1" min="5" max="5" width="34.0"/>
    <col customWidth="1" min="6" max="6" width="44.0"/>
    <col customWidth="1" min="7" max="7" width="26.0"/>
    <col customWidth="1" min="8" max="8" width="30.0"/>
    <col customWidth="1" min="9" max="26" width="8.71"/>
  </cols>
  <sheetData>
    <row r="1" ht="19.5" customHeight="1">
      <c r="A1" s="1" t="s">
        <v>3510</v>
      </c>
    </row>
    <row r="2" ht="25.5" customHeight="1">
      <c r="A2" s="2" t="s">
        <v>3514</v>
      </c>
    </row>
    <row r="4" ht="30.0" customHeight="1">
      <c r="A4" s="3" t="s">
        <v>803</v>
      </c>
      <c r="B4" s="3" t="s">
        <v>2926</v>
      </c>
      <c r="C4" s="3" t="s">
        <v>3525</v>
      </c>
      <c r="D4" s="3" t="s">
        <v>3526</v>
      </c>
      <c r="E4" s="3" t="s">
        <v>3527</v>
      </c>
      <c r="F4" s="3" t="s">
        <v>3530</v>
      </c>
      <c r="G4" s="3" t="s">
        <v>3531</v>
      </c>
      <c r="H4" s="3" t="s">
        <v>110</v>
      </c>
    </row>
    <row r="5">
      <c r="A5" s="6" t="s">
        <v>3535</v>
      </c>
      <c r="B5" s="6"/>
      <c r="C5" s="6"/>
      <c r="D5" s="6"/>
      <c r="E5" s="6"/>
      <c r="F5" s="6"/>
      <c r="G5" s="6"/>
      <c r="H5" s="6"/>
    </row>
    <row r="6">
      <c r="A6" s="8" t="s">
        <v>1604</v>
      </c>
      <c r="B6" s="8" t="s">
        <v>2937</v>
      </c>
      <c r="C6" s="7" t="s">
        <v>3548</v>
      </c>
      <c r="D6" s="8" t="s">
        <v>560</v>
      </c>
      <c r="E6" s="7" t="s">
        <v>3551</v>
      </c>
      <c r="F6" s="7" t="s">
        <v>582</v>
      </c>
      <c r="G6" s="7" t="s">
        <v>909</v>
      </c>
      <c r="H6" s="8" t="s">
        <v>2631</v>
      </c>
    </row>
    <row r="7">
      <c r="A7" s="5" t="s">
        <v>1604</v>
      </c>
      <c r="B7" s="5" t="s">
        <v>3551</v>
      </c>
      <c r="C7" s="4" t="s">
        <v>3559</v>
      </c>
      <c r="D7" s="5" t="s">
        <v>573</v>
      </c>
      <c r="E7" s="4" t="s">
        <v>3561</v>
      </c>
      <c r="F7" s="4" t="s">
        <v>3563</v>
      </c>
      <c r="G7" s="4" t="s">
        <v>909</v>
      </c>
      <c r="H7" s="5" t="s">
        <v>2680</v>
      </c>
    </row>
    <row r="8">
      <c r="A8" s="8" t="s">
        <v>1604</v>
      </c>
      <c r="B8" s="8" t="s">
        <v>3568</v>
      </c>
      <c r="C8" s="7" t="s">
        <v>3570</v>
      </c>
      <c r="D8" s="8" t="s">
        <v>586</v>
      </c>
      <c r="E8" s="7" t="s">
        <v>3573</v>
      </c>
      <c r="F8" s="7" t="s">
        <v>3576</v>
      </c>
      <c r="G8" s="7" t="s">
        <v>909</v>
      </c>
      <c r="H8" s="8" t="s">
        <v>2734</v>
      </c>
    </row>
    <row r="9">
      <c r="A9" s="5" t="s">
        <v>1604</v>
      </c>
      <c r="B9" s="5" t="s">
        <v>3579</v>
      </c>
      <c r="C9" s="4" t="s">
        <v>3581</v>
      </c>
      <c r="D9" s="5" t="s">
        <v>602</v>
      </c>
      <c r="E9" s="4" t="s">
        <v>3582</v>
      </c>
      <c r="F9" s="4" t="s">
        <v>582</v>
      </c>
      <c r="G9" s="4" t="s">
        <v>909</v>
      </c>
      <c r="H9" s="5" t="s">
        <v>3584</v>
      </c>
    </row>
    <row r="10">
      <c r="A10" s="8" t="s">
        <v>1604</v>
      </c>
      <c r="B10" s="8" t="s">
        <v>3586</v>
      </c>
      <c r="C10" s="7" t="s">
        <v>3587</v>
      </c>
      <c r="D10" s="8" t="s">
        <v>669</v>
      </c>
      <c r="E10" s="7" t="s">
        <v>3588</v>
      </c>
      <c r="F10" s="7" t="s">
        <v>582</v>
      </c>
      <c r="G10" s="7" t="s">
        <v>909</v>
      </c>
      <c r="H10" s="8" t="s">
        <v>582</v>
      </c>
    </row>
    <row r="11">
      <c r="A11" s="5" t="s">
        <v>1604</v>
      </c>
      <c r="B11" s="5" t="s">
        <v>3594</v>
      </c>
      <c r="C11" s="4" t="s">
        <v>3597</v>
      </c>
      <c r="D11" s="5" t="s">
        <v>669</v>
      </c>
      <c r="E11" s="4" t="s">
        <v>3599</v>
      </c>
      <c r="F11" s="4" t="s">
        <v>3601</v>
      </c>
      <c r="G11" s="4" t="s">
        <v>909</v>
      </c>
      <c r="H11" s="5" t="s">
        <v>3149</v>
      </c>
    </row>
    <row r="12">
      <c r="A12" s="8" t="s">
        <v>1604</v>
      </c>
      <c r="B12" s="8" t="s">
        <v>3605</v>
      </c>
      <c r="C12" s="7" t="s">
        <v>3606</v>
      </c>
      <c r="D12" s="8" t="s">
        <v>669</v>
      </c>
      <c r="E12" s="7" t="s">
        <v>3617</v>
      </c>
      <c r="F12" s="7" t="s">
        <v>3618</v>
      </c>
      <c r="G12" s="7" t="s">
        <v>3619</v>
      </c>
      <c r="H12" s="8" t="s">
        <v>3176</v>
      </c>
    </row>
    <row r="13">
      <c r="A13" s="5" t="s">
        <v>1604</v>
      </c>
      <c r="B13" s="5" t="s">
        <v>3623</v>
      </c>
      <c r="C13" s="4" t="s">
        <v>3626</v>
      </c>
      <c r="D13" s="5" t="s">
        <v>669</v>
      </c>
      <c r="E13" s="4" t="s">
        <v>3629</v>
      </c>
      <c r="F13" s="4" t="s">
        <v>582</v>
      </c>
      <c r="G13" s="4" t="s">
        <v>3632</v>
      </c>
      <c r="H13" s="5" t="s">
        <v>3189</v>
      </c>
    </row>
    <row r="14">
      <c r="A14" s="8" t="s">
        <v>1604</v>
      </c>
      <c r="B14" s="8" t="s">
        <v>3629</v>
      </c>
      <c r="C14" s="7" t="s">
        <v>3637</v>
      </c>
      <c r="D14" s="8" t="s">
        <v>1395</v>
      </c>
      <c r="E14" s="7" t="s">
        <v>3639</v>
      </c>
      <c r="F14" s="7" t="s">
        <v>3641</v>
      </c>
      <c r="G14" s="7" t="s">
        <v>865</v>
      </c>
      <c r="H14" s="8" t="s">
        <v>3643</v>
      </c>
    </row>
    <row r="15">
      <c r="A15" s="5" t="s">
        <v>1604</v>
      </c>
      <c r="B15" s="5" t="s">
        <v>3639</v>
      </c>
      <c r="C15" s="4" t="s">
        <v>3646</v>
      </c>
      <c r="D15" s="5" t="s">
        <v>85</v>
      </c>
      <c r="E15" s="4" t="s">
        <v>582</v>
      </c>
      <c r="F15" s="4" t="s">
        <v>3650</v>
      </c>
      <c r="G15" s="4" t="s">
        <v>865</v>
      </c>
      <c r="H15" s="5" t="s">
        <v>3652</v>
      </c>
    </row>
    <row r="16">
      <c r="A16" s="6" t="s">
        <v>3654</v>
      </c>
      <c r="B16" s="6"/>
      <c r="C16" s="6"/>
      <c r="D16" s="6"/>
      <c r="E16" s="6"/>
      <c r="F16" s="6"/>
      <c r="G16" s="6"/>
      <c r="H16" s="6"/>
    </row>
    <row r="17">
      <c r="A17" s="5" t="s">
        <v>1348</v>
      </c>
      <c r="B17" s="5" t="s">
        <v>3662</v>
      </c>
      <c r="C17" s="4" t="s">
        <v>3665</v>
      </c>
      <c r="D17" s="5" t="s">
        <v>428</v>
      </c>
      <c r="E17" s="4" t="s">
        <v>3667</v>
      </c>
      <c r="F17" s="4" t="s">
        <v>582</v>
      </c>
      <c r="G17" s="4" t="s">
        <v>3670</v>
      </c>
      <c r="H17" s="5" t="s">
        <v>1035</v>
      </c>
    </row>
    <row r="18">
      <c r="A18" s="8" t="s">
        <v>1348</v>
      </c>
      <c r="B18" s="8" t="s">
        <v>3667</v>
      </c>
      <c r="C18" s="7" t="s">
        <v>3673</v>
      </c>
      <c r="D18" s="8" t="s">
        <v>3674</v>
      </c>
      <c r="E18" s="7" t="s">
        <v>3677</v>
      </c>
      <c r="F18" s="7" t="s">
        <v>582</v>
      </c>
      <c r="G18" s="7" t="s">
        <v>3678</v>
      </c>
      <c r="H18" s="8" t="s">
        <v>1537</v>
      </c>
    </row>
    <row r="19">
      <c r="A19" s="5" t="s">
        <v>1348</v>
      </c>
      <c r="B19" s="5" t="s">
        <v>3684</v>
      </c>
      <c r="C19" s="4" t="s">
        <v>3686</v>
      </c>
      <c r="D19" s="5" t="s">
        <v>472</v>
      </c>
      <c r="E19" s="4" t="s">
        <v>3667</v>
      </c>
      <c r="F19" s="4" t="s">
        <v>3688</v>
      </c>
      <c r="G19" s="4" t="s">
        <v>909</v>
      </c>
      <c r="H19" s="5" t="s">
        <v>1879</v>
      </c>
    </row>
    <row r="20">
      <c r="A20" s="8" t="s">
        <v>1348</v>
      </c>
      <c r="B20" s="8" t="s">
        <v>3693</v>
      </c>
      <c r="C20" s="7" t="s">
        <v>3695</v>
      </c>
      <c r="D20" s="8" t="s">
        <v>573</v>
      </c>
      <c r="E20" s="7" t="s">
        <v>3697</v>
      </c>
      <c r="F20" s="7" t="s">
        <v>3700</v>
      </c>
      <c r="G20" s="7" t="s">
        <v>865</v>
      </c>
      <c r="H20" s="8" t="s">
        <v>2680</v>
      </c>
    </row>
    <row r="21" ht="15.75" customHeight="1">
      <c r="A21" s="6" t="s">
        <v>3704</v>
      </c>
      <c r="B21" s="6"/>
      <c r="C21" s="6"/>
      <c r="D21" s="6"/>
      <c r="E21" s="6"/>
      <c r="F21" s="6"/>
      <c r="G21" s="6"/>
      <c r="H21" s="6"/>
    </row>
    <row r="22" ht="15.75" customHeight="1">
      <c r="A22" s="8" t="s">
        <v>1590</v>
      </c>
      <c r="B22" s="8" t="s">
        <v>2937</v>
      </c>
      <c r="C22" s="7" t="s">
        <v>3711</v>
      </c>
      <c r="D22" s="8" t="s">
        <v>504</v>
      </c>
      <c r="E22" s="7" t="s">
        <v>3715</v>
      </c>
      <c r="F22" s="7" t="s">
        <v>582</v>
      </c>
      <c r="G22" s="7" t="s">
        <v>909</v>
      </c>
      <c r="H22" s="8" t="s">
        <v>2162</v>
      </c>
    </row>
    <row r="23" ht="15.75" customHeight="1">
      <c r="A23" s="5" t="s">
        <v>1590</v>
      </c>
      <c r="B23" s="5" t="s">
        <v>3721</v>
      </c>
      <c r="C23" s="4" t="s">
        <v>3722</v>
      </c>
      <c r="D23" s="5" t="s">
        <v>504</v>
      </c>
      <c r="E23" s="4" t="s">
        <v>582</v>
      </c>
      <c r="F23" s="4" t="s">
        <v>3725</v>
      </c>
      <c r="G23" s="4" t="s">
        <v>3727</v>
      </c>
      <c r="H23" s="5" t="s">
        <v>2196</v>
      </c>
    </row>
    <row r="24" ht="15.75" customHeight="1">
      <c r="A24" s="8" t="s">
        <v>1590</v>
      </c>
      <c r="B24" s="8" t="s">
        <v>3730</v>
      </c>
      <c r="C24" s="7" t="s">
        <v>3733</v>
      </c>
      <c r="D24" s="8" t="s">
        <v>504</v>
      </c>
      <c r="E24" s="7" t="s">
        <v>3736</v>
      </c>
      <c r="F24" s="7" t="s">
        <v>582</v>
      </c>
      <c r="G24" s="7" t="s">
        <v>909</v>
      </c>
      <c r="H24" s="8" t="s">
        <v>582</v>
      </c>
    </row>
    <row r="25" ht="15.75" customHeight="1">
      <c r="A25" s="5" t="s">
        <v>1590</v>
      </c>
      <c r="B25" s="5" t="s">
        <v>3736</v>
      </c>
      <c r="C25" s="4" t="s">
        <v>3743</v>
      </c>
      <c r="D25" s="5" t="s">
        <v>515</v>
      </c>
      <c r="E25" s="4" t="s">
        <v>3745</v>
      </c>
      <c r="F25" s="4" t="s">
        <v>3747</v>
      </c>
      <c r="G25" s="4" t="s">
        <v>909</v>
      </c>
      <c r="H25" s="5" t="s">
        <v>630</v>
      </c>
    </row>
    <row r="26" ht="15.75" customHeight="1">
      <c r="A26" s="8" t="s">
        <v>1590</v>
      </c>
      <c r="B26" s="8" t="s">
        <v>3594</v>
      </c>
      <c r="C26" s="7" t="s">
        <v>3749</v>
      </c>
      <c r="D26" s="8" t="s">
        <v>515</v>
      </c>
      <c r="E26" s="7" t="s">
        <v>3751</v>
      </c>
      <c r="F26" s="7" t="s">
        <v>582</v>
      </c>
      <c r="G26" s="7" t="s">
        <v>3753</v>
      </c>
      <c r="H26" s="8" t="s">
        <v>2306</v>
      </c>
    </row>
    <row r="27" ht="15.75" customHeight="1">
      <c r="A27" s="5" t="s">
        <v>1590</v>
      </c>
      <c r="B27" s="5" t="s">
        <v>3756</v>
      </c>
      <c r="C27" s="4" t="s">
        <v>3758</v>
      </c>
      <c r="D27" s="5" t="s">
        <v>224</v>
      </c>
      <c r="E27" s="4" t="s">
        <v>3639</v>
      </c>
      <c r="F27" s="4" t="s">
        <v>582</v>
      </c>
      <c r="G27" s="4" t="s">
        <v>865</v>
      </c>
      <c r="H27" s="5" t="s">
        <v>582</v>
      </c>
    </row>
    <row r="28" ht="15.75" customHeight="1">
      <c r="A28" s="8" t="s">
        <v>1590</v>
      </c>
      <c r="B28" s="8" t="s">
        <v>3768</v>
      </c>
      <c r="C28" s="7" t="s">
        <v>3770</v>
      </c>
      <c r="D28" s="8" t="s">
        <v>522</v>
      </c>
      <c r="E28" s="7" t="s">
        <v>3639</v>
      </c>
      <c r="F28" s="7" t="s">
        <v>3771</v>
      </c>
      <c r="G28" s="7" t="s">
        <v>865</v>
      </c>
      <c r="H28" s="8" t="s">
        <v>2353</v>
      </c>
    </row>
    <row r="29" ht="15.75" customHeight="1">
      <c r="A29" s="5" t="s">
        <v>1590</v>
      </c>
      <c r="B29" s="5" t="s">
        <v>3639</v>
      </c>
      <c r="C29" s="4" t="s">
        <v>3776</v>
      </c>
      <c r="D29" s="5" t="s">
        <v>224</v>
      </c>
      <c r="E29" s="4" t="s">
        <v>582</v>
      </c>
      <c r="F29" s="4" t="s">
        <v>3780</v>
      </c>
      <c r="G29" s="4" t="s">
        <v>865</v>
      </c>
      <c r="H29" s="5" t="s">
        <v>582</v>
      </c>
    </row>
    <row r="30" ht="15.75" customHeight="1">
      <c r="A30" s="6" t="s">
        <v>3783</v>
      </c>
      <c r="B30" s="6"/>
      <c r="C30" s="6"/>
      <c r="D30" s="6"/>
      <c r="E30" s="6"/>
      <c r="F30" s="6"/>
      <c r="G30" s="6"/>
      <c r="H30" s="6"/>
    </row>
    <row r="31" ht="15.75" customHeight="1">
      <c r="A31" s="5" t="s">
        <v>1686</v>
      </c>
      <c r="B31" s="5" t="s">
        <v>3789</v>
      </c>
      <c r="C31" s="4" t="s">
        <v>3790</v>
      </c>
      <c r="D31" s="5" t="s">
        <v>1075</v>
      </c>
      <c r="E31" s="4" t="s">
        <v>3794</v>
      </c>
      <c r="F31" s="4" t="s">
        <v>3795</v>
      </c>
      <c r="G31" s="4" t="s">
        <v>909</v>
      </c>
      <c r="H31" s="5" t="s">
        <v>3796</v>
      </c>
    </row>
    <row r="32" ht="15.75" customHeight="1">
      <c r="A32" s="8" t="s">
        <v>1686</v>
      </c>
      <c r="B32" s="8" t="s">
        <v>3799</v>
      </c>
      <c r="C32" s="7" t="s">
        <v>3800</v>
      </c>
      <c r="D32" s="8" t="s">
        <v>1075</v>
      </c>
      <c r="E32" s="7" t="s">
        <v>582</v>
      </c>
      <c r="F32" s="7" t="s">
        <v>3802</v>
      </c>
      <c r="G32" s="7" t="s">
        <v>3727</v>
      </c>
      <c r="H32" s="8" t="s">
        <v>3805</v>
      </c>
    </row>
    <row r="33" ht="15.75" customHeight="1">
      <c r="A33" s="5" t="s">
        <v>1686</v>
      </c>
      <c r="B33" s="5" t="s">
        <v>3808</v>
      </c>
      <c r="C33" s="4" t="s">
        <v>3810</v>
      </c>
      <c r="D33" s="5" t="s">
        <v>1075</v>
      </c>
      <c r="E33" s="4" t="s">
        <v>3814</v>
      </c>
      <c r="F33" s="4" t="s">
        <v>3815</v>
      </c>
      <c r="G33" s="4" t="s">
        <v>909</v>
      </c>
      <c r="H33" s="5" t="s">
        <v>3819</v>
      </c>
    </row>
    <row r="34" ht="15.75" customHeight="1">
      <c r="A34" s="8" t="s">
        <v>1686</v>
      </c>
      <c r="B34" s="8" t="s">
        <v>3814</v>
      </c>
      <c r="C34" s="7" t="s">
        <v>3822</v>
      </c>
      <c r="D34" s="8" t="s">
        <v>1092</v>
      </c>
      <c r="E34" s="7" t="s">
        <v>3825</v>
      </c>
      <c r="F34" s="7" t="s">
        <v>3826</v>
      </c>
      <c r="G34" s="7" t="s">
        <v>909</v>
      </c>
      <c r="H34" s="8" t="s">
        <v>630</v>
      </c>
    </row>
    <row r="35" ht="15.75" customHeight="1">
      <c r="A35" s="5" t="s">
        <v>1686</v>
      </c>
      <c r="B35" s="5" t="s">
        <v>3829</v>
      </c>
      <c r="C35" s="4" t="s">
        <v>3832</v>
      </c>
      <c r="D35" s="5" t="s">
        <v>1092</v>
      </c>
      <c r="E35" s="4" t="s">
        <v>3836</v>
      </c>
      <c r="F35" s="4" t="s">
        <v>3839</v>
      </c>
      <c r="G35" s="4" t="s">
        <v>865</v>
      </c>
      <c r="H35" s="5" t="s">
        <v>3841</v>
      </c>
    </row>
    <row r="36" ht="15.75" customHeight="1">
      <c r="A36" s="8" t="s">
        <v>1686</v>
      </c>
      <c r="B36" s="8" t="s">
        <v>3639</v>
      </c>
      <c r="C36" s="7" t="s">
        <v>3847</v>
      </c>
      <c r="D36" s="8" t="s">
        <v>1108</v>
      </c>
      <c r="E36" s="7" t="s">
        <v>582</v>
      </c>
      <c r="F36" s="7" t="s">
        <v>3851</v>
      </c>
      <c r="G36" s="7" t="s">
        <v>865</v>
      </c>
      <c r="H36" s="8" t="s">
        <v>3120</v>
      </c>
    </row>
    <row r="37" ht="15.75" customHeight="1">
      <c r="A37" s="5" t="s">
        <v>1686</v>
      </c>
      <c r="B37" s="5" t="s">
        <v>3854</v>
      </c>
      <c r="C37" s="4" t="s">
        <v>3855</v>
      </c>
      <c r="D37" s="5" t="s">
        <v>705</v>
      </c>
      <c r="E37" s="4" t="s">
        <v>582</v>
      </c>
      <c r="F37" s="4" t="s">
        <v>3858</v>
      </c>
      <c r="G37" s="4" t="s">
        <v>865</v>
      </c>
      <c r="H37" s="5" t="s">
        <v>3864</v>
      </c>
    </row>
    <row r="38" ht="15.75" customHeight="1">
      <c r="A38" s="6" t="s">
        <v>3868</v>
      </c>
      <c r="B38" s="6"/>
      <c r="C38" s="6"/>
      <c r="D38" s="6"/>
      <c r="E38" s="6"/>
      <c r="F38" s="6"/>
      <c r="G38" s="6"/>
      <c r="H38" s="6"/>
    </row>
    <row r="39" ht="15.75" customHeight="1">
      <c r="A39" s="5" t="s">
        <v>1765</v>
      </c>
      <c r="B39" s="5" t="s">
        <v>3875</v>
      </c>
      <c r="C39" s="4" t="s">
        <v>3878</v>
      </c>
      <c r="D39" s="5" t="s">
        <v>926</v>
      </c>
      <c r="E39" s="4" t="s">
        <v>3881</v>
      </c>
      <c r="F39" s="4" t="s">
        <v>582</v>
      </c>
      <c r="G39" s="4" t="s">
        <v>909</v>
      </c>
      <c r="H39" s="5" t="s">
        <v>3767</v>
      </c>
    </row>
    <row r="40" ht="15.75" customHeight="1">
      <c r="A40" s="8" t="s">
        <v>1765</v>
      </c>
      <c r="B40" s="8" t="s">
        <v>3891</v>
      </c>
      <c r="C40" s="7" t="s">
        <v>3893</v>
      </c>
      <c r="D40" s="8" t="s">
        <v>926</v>
      </c>
      <c r="E40" s="7" t="s">
        <v>582</v>
      </c>
      <c r="F40" s="7" t="s">
        <v>3898</v>
      </c>
      <c r="G40" s="7" t="s">
        <v>3900</v>
      </c>
      <c r="H40" s="8" t="s">
        <v>3781</v>
      </c>
    </row>
    <row r="41" ht="15.75" customHeight="1">
      <c r="A41" s="5" t="s">
        <v>1765</v>
      </c>
      <c r="B41" s="5" t="s">
        <v>3904</v>
      </c>
      <c r="C41" s="4" t="s">
        <v>3906</v>
      </c>
      <c r="D41" s="5" t="s">
        <v>926</v>
      </c>
      <c r="E41" s="4" t="s">
        <v>582</v>
      </c>
      <c r="F41" s="4" t="s">
        <v>3910</v>
      </c>
      <c r="G41" s="4" t="s">
        <v>865</v>
      </c>
      <c r="H41" s="5" t="s">
        <v>3817</v>
      </c>
    </row>
    <row r="42" ht="15.75" customHeight="1">
      <c r="A42" s="8" t="s">
        <v>3913</v>
      </c>
      <c r="B42" s="8" t="s">
        <v>3916</v>
      </c>
      <c r="C42" s="7" t="s">
        <v>3918</v>
      </c>
      <c r="D42" s="8" t="s">
        <v>705</v>
      </c>
      <c r="E42" s="7" t="s">
        <v>3921</v>
      </c>
      <c r="F42" s="7" t="s">
        <v>3922</v>
      </c>
      <c r="G42" s="7" t="s">
        <v>582</v>
      </c>
      <c r="H42" s="8" t="s">
        <v>582</v>
      </c>
    </row>
    <row r="43" ht="15.75" customHeight="1">
      <c r="A43" s="5" t="s">
        <v>3913</v>
      </c>
      <c r="B43" s="5" t="s">
        <v>3921</v>
      </c>
      <c r="C43" s="4" t="s">
        <v>3932</v>
      </c>
      <c r="D43" s="5" t="s">
        <v>705</v>
      </c>
      <c r="E43" s="4" t="s">
        <v>3934</v>
      </c>
      <c r="F43" s="4" t="s">
        <v>3937</v>
      </c>
      <c r="G43" s="4" t="s">
        <v>909</v>
      </c>
      <c r="H43" s="5" t="s">
        <v>582</v>
      </c>
    </row>
    <row r="44" ht="15.75" customHeight="1">
      <c r="A44" s="8" t="s">
        <v>3913</v>
      </c>
      <c r="B44" s="8" t="s">
        <v>3934</v>
      </c>
      <c r="C44" s="7" t="s">
        <v>3941</v>
      </c>
      <c r="D44" s="8" t="s">
        <v>705</v>
      </c>
      <c r="E44" s="7" t="s">
        <v>582</v>
      </c>
      <c r="F44" s="7" t="s">
        <v>582</v>
      </c>
      <c r="G44" s="7" t="s">
        <v>865</v>
      </c>
      <c r="H44" s="8" t="s">
        <v>3340</v>
      </c>
    </row>
    <row r="45" ht="15.75" customHeight="1">
      <c r="A45" s="6" t="s">
        <v>3952</v>
      </c>
      <c r="B45" s="6"/>
      <c r="C45" s="6"/>
      <c r="D45" s="6"/>
      <c r="E45" s="6"/>
      <c r="F45" s="6"/>
      <c r="G45" s="6"/>
      <c r="H45" s="6"/>
    </row>
    <row r="46" ht="15.75" customHeight="1">
      <c r="A46" s="8" t="s">
        <v>1821</v>
      </c>
      <c r="B46" s="8" t="s">
        <v>2937</v>
      </c>
      <c r="C46" s="7" t="s">
        <v>3958</v>
      </c>
      <c r="D46" s="8" t="s">
        <v>1161</v>
      </c>
      <c r="E46" s="7" t="s">
        <v>3962</v>
      </c>
      <c r="F46" s="7" t="s">
        <v>582</v>
      </c>
      <c r="G46" s="7" t="s">
        <v>909</v>
      </c>
      <c r="H46" s="8" t="s">
        <v>3964</v>
      </c>
    </row>
    <row r="47" ht="15.75" customHeight="1">
      <c r="A47" s="5" t="s">
        <v>1821</v>
      </c>
      <c r="B47" s="5" t="s">
        <v>3968</v>
      </c>
      <c r="C47" s="4" t="s">
        <v>3971</v>
      </c>
      <c r="D47" s="5" t="s">
        <v>1161</v>
      </c>
      <c r="E47" s="4" t="s">
        <v>3976</v>
      </c>
      <c r="F47" s="4" t="s">
        <v>3978</v>
      </c>
      <c r="G47" s="4" t="s">
        <v>909</v>
      </c>
      <c r="H47" s="5" t="s">
        <v>3982</v>
      </c>
    </row>
    <row r="48" ht="15.75" customHeight="1">
      <c r="A48" s="8" t="s">
        <v>1821</v>
      </c>
      <c r="B48" s="8" t="s">
        <v>3962</v>
      </c>
      <c r="C48" s="7" t="s">
        <v>3986</v>
      </c>
      <c r="D48" s="8" t="s">
        <v>1161</v>
      </c>
      <c r="E48" s="7" t="s">
        <v>3988</v>
      </c>
      <c r="F48" s="7" t="s">
        <v>3990</v>
      </c>
      <c r="G48" s="7" t="s">
        <v>909</v>
      </c>
      <c r="H48" s="8" t="s">
        <v>582</v>
      </c>
    </row>
    <row r="49" ht="15.75" customHeight="1">
      <c r="A49" s="5" t="s">
        <v>1821</v>
      </c>
      <c r="B49" s="5" t="s">
        <v>3594</v>
      </c>
      <c r="C49" s="4" t="s">
        <v>4001</v>
      </c>
      <c r="D49" s="5" t="s">
        <v>1178</v>
      </c>
      <c r="E49" s="4" t="s">
        <v>4008</v>
      </c>
      <c r="F49" s="4" t="s">
        <v>582</v>
      </c>
      <c r="G49" s="4" t="s">
        <v>909</v>
      </c>
      <c r="H49" s="5" t="s">
        <v>582</v>
      </c>
    </row>
    <row r="50" ht="15.75" customHeight="1">
      <c r="A50" s="8" t="s">
        <v>1821</v>
      </c>
      <c r="B50" s="8" t="s">
        <v>4015</v>
      </c>
      <c r="C50" s="7" t="s">
        <v>4018</v>
      </c>
      <c r="D50" s="8" t="s">
        <v>1178</v>
      </c>
      <c r="E50" s="7" t="s">
        <v>582</v>
      </c>
      <c r="F50" s="7" t="s">
        <v>4021</v>
      </c>
      <c r="G50" s="7" t="s">
        <v>865</v>
      </c>
      <c r="H50" s="8" t="s">
        <v>582</v>
      </c>
    </row>
    <row r="51" ht="15.75" customHeight="1">
      <c r="A51" s="6" t="s">
        <v>4026</v>
      </c>
      <c r="B51" s="6"/>
      <c r="C51" s="6"/>
      <c r="D51" s="6"/>
      <c r="E51" s="6"/>
      <c r="F51" s="6"/>
      <c r="G51" s="6"/>
      <c r="H51" s="6"/>
    </row>
    <row r="52" ht="15.75" customHeight="1">
      <c r="A52" s="8" t="s">
        <v>1715</v>
      </c>
      <c r="B52" s="8" t="s">
        <v>2937</v>
      </c>
      <c r="C52" s="7" t="s">
        <v>4037</v>
      </c>
      <c r="D52" s="8" t="s">
        <v>746</v>
      </c>
      <c r="E52" s="7" t="s">
        <v>4038</v>
      </c>
      <c r="F52" s="7" t="s">
        <v>582</v>
      </c>
      <c r="G52" s="7" t="s">
        <v>909</v>
      </c>
      <c r="H52" s="8" t="s">
        <v>3406</v>
      </c>
    </row>
    <row r="53" ht="15.75" customHeight="1">
      <c r="A53" s="5" t="s">
        <v>1715</v>
      </c>
      <c r="B53" s="5" t="s">
        <v>4038</v>
      </c>
      <c r="C53" s="4" t="s">
        <v>4044</v>
      </c>
      <c r="D53" s="5" t="s">
        <v>746</v>
      </c>
      <c r="E53" s="4" t="s">
        <v>4048</v>
      </c>
      <c r="F53" s="4" t="s">
        <v>4049</v>
      </c>
      <c r="G53" s="4" t="s">
        <v>909</v>
      </c>
      <c r="H53" s="5" t="s">
        <v>3432</v>
      </c>
    </row>
    <row r="54" ht="15.75" customHeight="1">
      <c r="A54" s="8" t="s">
        <v>1715</v>
      </c>
      <c r="B54" s="8" t="s">
        <v>4056</v>
      </c>
      <c r="C54" s="7" t="s">
        <v>4058</v>
      </c>
      <c r="D54" s="8" t="s">
        <v>746</v>
      </c>
      <c r="E54" s="7" t="s">
        <v>4060</v>
      </c>
      <c r="F54" s="7" t="s">
        <v>4062</v>
      </c>
      <c r="G54" s="7" t="s">
        <v>909</v>
      </c>
      <c r="H54" s="8" t="s">
        <v>3445</v>
      </c>
    </row>
    <row r="55" ht="15.75" customHeight="1">
      <c r="A55" s="5" t="s">
        <v>1715</v>
      </c>
      <c r="B55" s="5" t="s">
        <v>4060</v>
      </c>
      <c r="C55" s="4" t="s">
        <v>4069</v>
      </c>
      <c r="D55" s="5" t="s">
        <v>746</v>
      </c>
      <c r="E55" s="4" t="s">
        <v>4072</v>
      </c>
      <c r="F55" s="4" t="s">
        <v>582</v>
      </c>
      <c r="G55" s="4" t="s">
        <v>909</v>
      </c>
      <c r="H55" s="5" t="s">
        <v>582</v>
      </c>
    </row>
    <row r="56" ht="15.75" customHeight="1">
      <c r="A56" s="8" t="s">
        <v>1715</v>
      </c>
      <c r="B56" s="8" t="s">
        <v>4082</v>
      </c>
      <c r="C56" s="7" t="s">
        <v>4086</v>
      </c>
      <c r="D56" s="8" t="s">
        <v>746</v>
      </c>
      <c r="E56" s="7" t="s">
        <v>4090</v>
      </c>
      <c r="F56" s="7" t="s">
        <v>582</v>
      </c>
      <c r="G56" s="7" t="s">
        <v>4093</v>
      </c>
      <c r="H56" s="8" t="s">
        <v>3458</v>
      </c>
    </row>
    <row r="57" ht="15.75" customHeight="1">
      <c r="A57" s="5" t="s">
        <v>1715</v>
      </c>
      <c r="B57" s="5" t="s">
        <v>4090</v>
      </c>
      <c r="C57" s="4" t="s">
        <v>4098</v>
      </c>
      <c r="D57" s="5" t="s">
        <v>746</v>
      </c>
      <c r="E57" s="4" t="s">
        <v>582</v>
      </c>
      <c r="F57" s="4" t="s">
        <v>4101</v>
      </c>
      <c r="G57" s="4" t="s">
        <v>865</v>
      </c>
      <c r="H57" s="5" t="s">
        <v>582</v>
      </c>
    </row>
    <row r="58" ht="15.75" customHeight="1">
      <c r="A58" s="6" t="s">
        <v>4108</v>
      </c>
      <c r="B58" s="6"/>
      <c r="C58" s="6"/>
      <c r="D58" s="6"/>
      <c r="E58" s="6"/>
      <c r="F58" s="6"/>
      <c r="G58" s="6"/>
      <c r="H58" s="6"/>
    </row>
    <row r="59" ht="15.75" customHeight="1">
      <c r="A59" s="5" t="s">
        <v>4114</v>
      </c>
      <c r="B59" s="5" t="s">
        <v>4115</v>
      </c>
      <c r="C59" s="4" t="s">
        <v>4117</v>
      </c>
      <c r="D59" s="5" t="s">
        <v>1444</v>
      </c>
      <c r="E59" s="4" t="s">
        <v>4120</v>
      </c>
      <c r="F59" s="4" t="s">
        <v>582</v>
      </c>
      <c r="G59" s="4" t="s">
        <v>909</v>
      </c>
      <c r="H59" s="5" t="s">
        <v>4128</v>
      </c>
    </row>
    <row r="60" ht="15.75" customHeight="1">
      <c r="A60" s="8" t="s">
        <v>4114</v>
      </c>
      <c r="B60" s="8" t="s">
        <v>4120</v>
      </c>
      <c r="C60" s="7" t="s">
        <v>4131</v>
      </c>
      <c r="D60" s="8" t="s">
        <v>1444</v>
      </c>
      <c r="E60" s="7" t="s">
        <v>4135</v>
      </c>
      <c r="F60" s="7" t="s">
        <v>4137</v>
      </c>
      <c r="G60" s="7" t="s">
        <v>909</v>
      </c>
      <c r="H60" s="8" t="s">
        <v>4141</v>
      </c>
    </row>
    <row r="61" ht="15.75" customHeight="1">
      <c r="A61" s="5" t="s">
        <v>4114</v>
      </c>
      <c r="B61" s="5" t="s">
        <v>4142</v>
      </c>
      <c r="C61" s="4" t="s">
        <v>4144</v>
      </c>
      <c r="D61" s="5" t="s">
        <v>1444</v>
      </c>
      <c r="E61" s="4" t="s">
        <v>4147</v>
      </c>
      <c r="F61" s="4" t="s">
        <v>4148</v>
      </c>
      <c r="G61" s="4" t="s">
        <v>909</v>
      </c>
      <c r="H61" s="5" t="s">
        <v>582</v>
      </c>
    </row>
    <row r="62" ht="15.75" customHeight="1">
      <c r="A62" s="8" t="s">
        <v>4114</v>
      </c>
      <c r="B62" s="8" t="s">
        <v>4155</v>
      </c>
      <c r="C62" s="7" t="s">
        <v>4156</v>
      </c>
      <c r="D62" s="8" t="s">
        <v>1444</v>
      </c>
      <c r="E62" s="7" t="s">
        <v>4158</v>
      </c>
      <c r="F62" s="7" t="s">
        <v>4162</v>
      </c>
      <c r="G62" s="7" t="s">
        <v>909</v>
      </c>
      <c r="H62" s="8" t="s">
        <v>582</v>
      </c>
    </row>
    <row r="63" ht="15.75" customHeight="1">
      <c r="A63" s="5" t="s">
        <v>4114</v>
      </c>
      <c r="B63" s="5" t="s">
        <v>4168</v>
      </c>
      <c r="C63" s="4" t="s">
        <v>4169</v>
      </c>
      <c r="D63" s="5" t="s">
        <v>1444</v>
      </c>
      <c r="E63" s="4" t="s">
        <v>4172</v>
      </c>
      <c r="F63" s="4" t="s">
        <v>4175</v>
      </c>
      <c r="G63" s="4" t="s">
        <v>4177</v>
      </c>
      <c r="H63" s="5" t="s">
        <v>3979</v>
      </c>
    </row>
    <row r="64" ht="15.75" customHeight="1">
      <c r="A64" s="8" t="s">
        <v>4114</v>
      </c>
      <c r="B64" s="8" t="s">
        <v>4172</v>
      </c>
      <c r="C64" s="7" t="s">
        <v>4183</v>
      </c>
      <c r="D64" s="8" t="s">
        <v>1461</v>
      </c>
      <c r="E64" s="7" t="s">
        <v>582</v>
      </c>
      <c r="F64" s="7" t="s">
        <v>4188</v>
      </c>
      <c r="G64" s="7" t="s">
        <v>865</v>
      </c>
      <c r="H64" s="8" t="s">
        <v>4192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64"/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0"/>
    <col customWidth="1" min="2" max="2" width="16.0"/>
    <col customWidth="1" min="3" max="3" width="56.0"/>
    <col customWidth="1" min="4" max="4" width="50.0"/>
    <col customWidth="1" min="5" max="5" width="30.0"/>
    <col customWidth="1" min="6" max="6" width="20.0"/>
    <col customWidth="1" min="7" max="26" width="8.71"/>
  </cols>
  <sheetData>
    <row r="1" ht="19.5" customHeight="1">
      <c r="A1" s="1" t="s">
        <v>3816</v>
      </c>
    </row>
    <row r="2" ht="25.5" customHeight="1">
      <c r="A2" s="2" t="s">
        <v>3823</v>
      </c>
    </row>
    <row r="4" ht="30.0" customHeight="1">
      <c r="A4" s="3" t="s">
        <v>110</v>
      </c>
      <c r="B4" s="3" t="s">
        <v>3831</v>
      </c>
      <c r="C4" s="3" t="s">
        <v>3833</v>
      </c>
      <c r="D4" s="3" t="s">
        <v>3834</v>
      </c>
      <c r="E4" s="3" t="s">
        <v>3838</v>
      </c>
      <c r="F4" s="3" t="s">
        <v>3840</v>
      </c>
    </row>
    <row r="5">
      <c r="A5" s="6" t="s">
        <v>3846</v>
      </c>
      <c r="B5" s="6"/>
      <c r="C5" s="6"/>
      <c r="D5" s="6"/>
      <c r="E5" s="6"/>
      <c r="F5" s="6"/>
    </row>
    <row r="6">
      <c r="A6" s="7" t="s">
        <v>927</v>
      </c>
      <c r="B6" s="8" t="s">
        <v>327</v>
      </c>
      <c r="C6" s="7" t="s">
        <v>3857</v>
      </c>
      <c r="D6" s="7" t="s">
        <v>3860</v>
      </c>
      <c r="E6" s="8" t="s">
        <v>3863</v>
      </c>
      <c r="F6" s="8" t="s">
        <v>3865</v>
      </c>
    </row>
    <row r="7">
      <c r="A7" s="4" t="s">
        <v>993</v>
      </c>
      <c r="B7" s="5" t="s">
        <v>337</v>
      </c>
      <c r="C7" s="4" t="s">
        <v>3872</v>
      </c>
      <c r="D7" s="4" t="s">
        <v>3874</v>
      </c>
      <c r="E7" s="5" t="s">
        <v>3876</v>
      </c>
      <c r="F7" s="5" t="s">
        <v>3879</v>
      </c>
    </row>
    <row r="8">
      <c r="A8" s="7" t="s">
        <v>1232</v>
      </c>
      <c r="B8" s="8" t="s">
        <v>364</v>
      </c>
      <c r="C8" s="7" t="s">
        <v>3885</v>
      </c>
      <c r="D8" s="7" t="s">
        <v>3887</v>
      </c>
      <c r="E8" s="8" t="s">
        <v>3889</v>
      </c>
      <c r="F8" s="8" t="s">
        <v>3879</v>
      </c>
    </row>
    <row r="9">
      <c r="A9" s="4" t="s">
        <v>1305</v>
      </c>
      <c r="B9" s="5" t="s">
        <v>395</v>
      </c>
      <c r="C9" s="4" t="s">
        <v>3895</v>
      </c>
      <c r="D9" s="4" t="s">
        <v>3896</v>
      </c>
      <c r="E9" s="5" t="s">
        <v>3899</v>
      </c>
      <c r="F9" s="5" t="s">
        <v>3901</v>
      </c>
    </row>
    <row r="10">
      <c r="A10" s="7" t="s">
        <v>1356</v>
      </c>
      <c r="B10" s="8" t="s">
        <v>428</v>
      </c>
      <c r="C10" s="7" t="s">
        <v>3905</v>
      </c>
      <c r="D10" s="7" t="s">
        <v>3907</v>
      </c>
      <c r="E10" s="8" t="s">
        <v>3908</v>
      </c>
      <c r="F10" s="8" t="s">
        <v>388</v>
      </c>
    </row>
    <row r="11">
      <c r="A11" s="4" t="s">
        <v>1035</v>
      </c>
      <c r="B11" s="5" t="s">
        <v>3912</v>
      </c>
      <c r="C11" s="4" t="s">
        <v>1910</v>
      </c>
      <c r="D11" s="4" t="s">
        <v>3915</v>
      </c>
      <c r="E11" s="5" t="s">
        <v>3917</v>
      </c>
      <c r="F11" s="5" t="s">
        <v>3901</v>
      </c>
    </row>
    <row r="12">
      <c r="A12" s="7" t="s">
        <v>1537</v>
      </c>
      <c r="B12" s="8" t="s">
        <v>435</v>
      </c>
      <c r="C12" s="7" t="s">
        <v>3925</v>
      </c>
      <c r="D12" s="7" t="s">
        <v>3927</v>
      </c>
      <c r="E12" s="8" t="s">
        <v>3930</v>
      </c>
      <c r="F12" s="8" t="s">
        <v>3879</v>
      </c>
    </row>
    <row r="13">
      <c r="A13" s="4" t="s">
        <v>1546</v>
      </c>
      <c r="B13" s="5" t="s">
        <v>477</v>
      </c>
      <c r="C13" s="4" t="s">
        <v>3936</v>
      </c>
      <c r="D13" s="4" t="s">
        <v>3938</v>
      </c>
      <c r="E13" s="5" t="s">
        <v>3930</v>
      </c>
      <c r="F13" s="5" t="s">
        <v>3879</v>
      </c>
    </row>
    <row r="14">
      <c r="A14" s="7" t="s">
        <v>1577</v>
      </c>
      <c r="B14" s="8" t="s">
        <v>441</v>
      </c>
      <c r="C14" s="7" t="s">
        <v>3943</v>
      </c>
      <c r="D14" s="7" t="s">
        <v>3946</v>
      </c>
      <c r="E14" s="8" t="s">
        <v>3948</v>
      </c>
      <c r="F14" s="8" t="s">
        <v>388</v>
      </c>
    </row>
    <row r="15">
      <c r="A15" s="4" t="s">
        <v>1879</v>
      </c>
      <c r="B15" s="5" t="s">
        <v>472</v>
      </c>
      <c r="C15" s="4" t="s">
        <v>3954</v>
      </c>
      <c r="D15" s="4" t="s">
        <v>3955</v>
      </c>
      <c r="E15" s="5" t="s">
        <v>3956</v>
      </c>
      <c r="F15" s="5" t="s">
        <v>388</v>
      </c>
    </row>
    <row r="16">
      <c r="A16" s="7" t="s">
        <v>1781</v>
      </c>
      <c r="B16" s="8" t="s">
        <v>458</v>
      </c>
      <c r="C16" s="7" t="s">
        <v>3957</v>
      </c>
      <c r="D16" s="7" t="s">
        <v>3959</v>
      </c>
      <c r="E16" s="8" t="s">
        <v>3961</v>
      </c>
      <c r="F16" s="8" t="s">
        <v>388</v>
      </c>
    </row>
    <row r="17">
      <c r="A17" s="4" t="s">
        <v>1854</v>
      </c>
      <c r="B17" s="5" t="s">
        <v>465</v>
      </c>
      <c r="C17" s="4" t="s">
        <v>3966</v>
      </c>
      <c r="D17" s="4" t="s">
        <v>3970</v>
      </c>
      <c r="E17" s="5" t="s">
        <v>3973</v>
      </c>
      <c r="F17" s="5" t="s">
        <v>3879</v>
      </c>
    </row>
    <row r="18">
      <c r="A18" s="7" t="s">
        <v>2041</v>
      </c>
      <c r="B18" s="8" t="s">
        <v>3981</v>
      </c>
      <c r="C18" s="7" t="s">
        <v>3983</v>
      </c>
      <c r="D18" s="7" t="s">
        <v>3985</v>
      </c>
      <c r="E18" s="8" t="s">
        <v>3404</v>
      </c>
      <c r="F18" s="8" t="s">
        <v>3879</v>
      </c>
    </row>
    <row r="19">
      <c r="A19" s="4" t="s">
        <v>2306</v>
      </c>
      <c r="B19" s="5" t="s">
        <v>515</v>
      </c>
      <c r="C19" s="4" t="s">
        <v>3991</v>
      </c>
      <c r="D19" s="4" t="s">
        <v>3993</v>
      </c>
      <c r="E19" s="5" t="s">
        <v>3995</v>
      </c>
      <c r="F19" s="5" t="s">
        <v>3879</v>
      </c>
    </row>
    <row r="20">
      <c r="A20" s="7" t="s">
        <v>2374</v>
      </c>
      <c r="B20" s="8" t="s">
        <v>522</v>
      </c>
      <c r="C20" s="7" t="s">
        <v>4005</v>
      </c>
      <c r="D20" s="7" t="s">
        <v>4009</v>
      </c>
      <c r="E20" s="8" t="s">
        <v>4010</v>
      </c>
      <c r="F20" s="8" t="s">
        <v>3879</v>
      </c>
    </row>
    <row r="21" ht="15.75" customHeight="1">
      <c r="A21" s="4" t="s">
        <v>2477</v>
      </c>
      <c r="B21" s="5" t="s">
        <v>528</v>
      </c>
      <c r="C21" s="4" t="s">
        <v>4016</v>
      </c>
      <c r="D21" s="4" t="s">
        <v>4019</v>
      </c>
      <c r="E21" s="5" t="s">
        <v>4010</v>
      </c>
      <c r="F21" s="5" t="s">
        <v>3879</v>
      </c>
    </row>
    <row r="22" ht="15.75" customHeight="1">
      <c r="A22" s="7" t="s">
        <v>2680</v>
      </c>
      <c r="B22" s="8" t="s">
        <v>573</v>
      </c>
      <c r="C22" s="7" t="s">
        <v>4023</v>
      </c>
      <c r="D22" s="7" t="s">
        <v>4024</v>
      </c>
      <c r="E22" s="8" t="s">
        <v>4025</v>
      </c>
      <c r="F22" s="8" t="s">
        <v>3879</v>
      </c>
    </row>
    <row r="23" ht="15.75" customHeight="1">
      <c r="A23" s="4" t="s">
        <v>2699</v>
      </c>
      <c r="B23" s="5" t="s">
        <v>573</v>
      </c>
      <c r="C23" s="4" t="s">
        <v>4030</v>
      </c>
      <c r="D23" s="4" t="s">
        <v>4031</v>
      </c>
      <c r="E23" s="5" t="s">
        <v>4033</v>
      </c>
      <c r="F23" s="5" t="s">
        <v>3879</v>
      </c>
    </row>
    <row r="24" ht="15.75" customHeight="1">
      <c r="A24" s="7" t="s">
        <v>3149</v>
      </c>
      <c r="B24" s="8" t="s">
        <v>669</v>
      </c>
      <c r="C24" s="7" t="s">
        <v>4039</v>
      </c>
      <c r="D24" s="7" t="s">
        <v>4041</v>
      </c>
      <c r="E24" s="8" t="s">
        <v>4025</v>
      </c>
      <c r="F24" s="8" t="s">
        <v>3879</v>
      </c>
    </row>
    <row r="25" ht="15.75" customHeight="1">
      <c r="A25" s="4" t="s">
        <v>3189</v>
      </c>
      <c r="B25" s="5" t="s">
        <v>669</v>
      </c>
      <c r="C25" s="4" t="s">
        <v>4045</v>
      </c>
      <c r="D25" s="4" t="s">
        <v>4047</v>
      </c>
      <c r="E25" s="5" t="s">
        <v>4025</v>
      </c>
      <c r="F25" s="5" t="s">
        <v>3879</v>
      </c>
    </row>
    <row r="26" ht="15.75" customHeight="1">
      <c r="A26" s="7" t="s">
        <v>3205</v>
      </c>
      <c r="B26" s="8" t="s">
        <v>1395</v>
      </c>
      <c r="C26" s="7" t="s">
        <v>4055</v>
      </c>
      <c r="D26" s="7" t="s">
        <v>4057</v>
      </c>
      <c r="E26" s="8" t="s">
        <v>4059</v>
      </c>
      <c r="F26" s="8" t="s">
        <v>3879</v>
      </c>
    </row>
    <row r="27" ht="15.75" customHeight="1">
      <c r="A27" s="4" t="s">
        <v>3643</v>
      </c>
      <c r="B27" s="5" t="s">
        <v>1395</v>
      </c>
      <c r="C27" s="4" t="s">
        <v>4064</v>
      </c>
      <c r="D27" s="4" t="s">
        <v>4065</v>
      </c>
      <c r="E27" s="5" t="s">
        <v>4067</v>
      </c>
      <c r="F27" s="5" t="s">
        <v>3879</v>
      </c>
    </row>
    <row r="28" ht="15.75" customHeight="1">
      <c r="A28" s="7" t="s">
        <v>1052</v>
      </c>
      <c r="B28" s="8" t="s">
        <v>4071</v>
      </c>
      <c r="C28" s="7" t="s">
        <v>4073</v>
      </c>
      <c r="D28" s="7" t="s">
        <v>4076</v>
      </c>
      <c r="E28" s="8" t="s">
        <v>4078</v>
      </c>
      <c r="F28" s="8" t="s">
        <v>3879</v>
      </c>
    </row>
    <row r="29" ht="15.75" customHeight="1">
      <c r="A29" s="4" t="s">
        <v>2544</v>
      </c>
      <c r="B29" s="5" t="s">
        <v>4084</v>
      </c>
      <c r="C29" s="4" t="s">
        <v>4087</v>
      </c>
      <c r="D29" s="4" t="s">
        <v>4088</v>
      </c>
      <c r="E29" s="5" t="s">
        <v>4091</v>
      </c>
      <c r="F29" s="5" t="s">
        <v>3879</v>
      </c>
    </row>
    <row r="30" ht="15.75" customHeight="1">
      <c r="A30" s="7" t="s">
        <v>3841</v>
      </c>
      <c r="B30" s="8" t="s">
        <v>1092</v>
      </c>
      <c r="C30" s="7" t="s">
        <v>4095</v>
      </c>
      <c r="D30" s="7" t="s">
        <v>4097</v>
      </c>
      <c r="E30" s="8" t="s">
        <v>4099</v>
      </c>
      <c r="F30" s="8" t="s">
        <v>3879</v>
      </c>
    </row>
    <row r="31" ht="15.75" customHeight="1">
      <c r="A31" s="4" t="s">
        <v>3107</v>
      </c>
      <c r="B31" s="5" t="s">
        <v>651</v>
      </c>
      <c r="C31" s="4" t="s">
        <v>4105</v>
      </c>
      <c r="D31" s="4" t="s">
        <v>4106</v>
      </c>
      <c r="E31" s="5" t="s">
        <v>4109</v>
      </c>
      <c r="F31" s="5" t="s">
        <v>3879</v>
      </c>
    </row>
    <row r="32" ht="15.75" customHeight="1">
      <c r="A32" s="7" t="s">
        <v>3120</v>
      </c>
      <c r="B32" s="8" t="s">
        <v>1108</v>
      </c>
      <c r="C32" s="7" t="s">
        <v>4111</v>
      </c>
      <c r="D32" s="7" t="s">
        <v>4113</v>
      </c>
      <c r="E32" s="8" t="s">
        <v>4099</v>
      </c>
      <c r="F32" s="8" t="s">
        <v>3879</v>
      </c>
    </row>
    <row r="33" ht="15.75" customHeight="1">
      <c r="A33" s="4" t="s">
        <v>4118</v>
      </c>
      <c r="B33" s="5" t="s">
        <v>1108</v>
      </c>
      <c r="C33" s="4" t="s">
        <v>4122</v>
      </c>
      <c r="D33" s="4" t="s">
        <v>4123</v>
      </c>
      <c r="E33" s="5" t="s">
        <v>4126</v>
      </c>
      <c r="F33" s="5" t="s">
        <v>3879</v>
      </c>
    </row>
    <row r="34" ht="15.75" customHeight="1">
      <c r="A34" s="7" t="s">
        <v>3602</v>
      </c>
      <c r="B34" s="8" t="s">
        <v>858</v>
      </c>
      <c r="C34" s="7" t="s">
        <v>4132</v>
      </c>
      <c r="D34" s="7" t="s">
        <v>4136</v>
      </c>
      <c r="E34" s="8" t="s">
        <v>4138</v>
      </c>
      <c r="F34" s="8" t="s">
        <v>3879</v>
      </c>
    </row>
    <row r="35" ht="15.75" customHeight="1">
      <c r="A35" s="4" t="s">
        <v>3781</v>
      </c>
      <c r="B35" s="5" t="s">
        <v>926</v>
      </c>
      <c r="C35" s="4" t="s">
        <v>4143</v>
      </c>
      <c r="D35" s="4" t="s">
        <v>4145</v>
      </c>
      <c r="E35" s="5" t="s">
        <v>4146</v>
      </c>
      <c r="F35" s="5" t="s">
        <v>3879</v>
      </c>
    </row>
    <row r="36" ht="15.75" customHeight="1">
      <c r="A36" s="7" t="s">
        <v>3340</v>
      </c>
      <c r="B36" s="8" t="s">
        <v>705</v>
      </c>
      <c r="C36" s="7" t="s">
        <v>4150</v>
      </c>
      <c r="D36" s="7" t="s">
        <v>4151</v>
      </c>
      <c r="E36" s="8" t="s">
        <v>4153</v>
      </c>
      <c r="F36" s="8" t="s">
        <v>3879</v>
      </c>
    </row>
    <row r="37" ht="15.75" customHeight="1">
      <c r="A37" s="4" t="s">
        <v>3544</v>
      </c>
      <c r="B37" s="5" t="s">
        <v>773</v>
      </c>
      <c r="C37" s="4" t="s">
        <v>4159</v>
      </c>
      <c r="D37" s="4" t="s">
        <v>4163</v>
      </c>
      <c r="E37" s="5" t="s">
        <v>4165</v>
      </c>
      <c r="F37" s="5" t="s">
        <v>3879</v>
      </c>
    </row>
    <row r="38" ht="15.75" customHeight="1">
      <c r="A38" s="7" t="s">
        <v>3505</v>
      </c>
      <c r="B38" s="8" t="s">
        <v>757</v>
      </c>
      <c r="C38" s="7" t="s">
        <v>4171</v>
      </c>
      <c r="D38" s="7" t="s">
        <v>4173</v>
      </c>
      <c r="E38" s="8" t="s">
        <v>4176</v>
      </c>
      <c r="F38" s="8" t="s">
        <v>3879</v>
      </c>
    </row>
    <row r="39" ht="15.75" customHeight="1">
      <c r="A39" s="4" t="s">
        <v>3458</v>
      </c>
      <c r="B39" s="5" t="s">
        <v>746</v>
      </c>
      <c r="C39" s="4" t="s">
        <v>4182</v>
      </c>
      <c r="D39" s="4" t="s">
        <v>4184</v>
      </c>
      <c r="E39" s="5" t="s">
        <v>4185</v>
      </c>
      <c r="F39" s="5" t="s">
        <v>3879</v>
      </c>
    </row>
    <row r="40" ht="15.75" customHeight="1">
      <c r="A40" s="7" t="s">
        <v>4191</v>
      </c>
      <c r="B40" s="8" t="s">
        <v>1366</v>
      </c>
      <c r="C40" s="7" t="s">
        <v>4195</v>
      </c>
      <c r="D40" s="7" t="s">
        <v>4197</v>
      </c>
      <c r="E40" s="8" t="s">
        <v>4198</v>
      </c>
      <c r="F40" s="8" t="s">
        <v>388</v>
      </c>
    </row>
    <row r="41" ht="15.75" customHeight="1">
      <c r="A41" s="4" t="s">
        <v>4201</v>
      </c>
      <c r="B41" s="5" t="s">
        <v>1366</v>
      </c>
      <c r="C41" s="4" t="s">
        <v>4203</v>
      </c>
      <c r="D41" s="4" t="s">
        <v>4206</v>
      </c>
      <c r="E41" s="5" t="s">
        <v>4207</v>
      </c>
      <c r="F41" s="5" t="s">
        <v>388</v>
      </c>
    </row>
    <row r="42" ht="15.75" customHeight="1">
      <c r="A42" s="7" t="s">
        <v>4210</v>
      </c>
      <c r="B42" s="8" t="s">
        <v>1310</v>
      </c>
      <c r="C42" s="7" t="s">
        <v>4214</v>
      </c>
      <c r="D42" s="7" t="s">
        <v>4216</v>
      </c>
      <c r="E42" s="8" t="s">
        <v>4218</v>
      </c>
      <c r="F42" s="8" t="s">
        <v>388</v>
      </c>
    </row>
    <row r="43" ht="15.75" customHeight="1">
      <c r="A43" s="4" t="s">
        <v>4219</v>
      </c>
      <c r="B43" s="5" t="s">
        <v>1341</v>
      </c>
      <c r="C43" s="4" t="s">
        <v>4221</v>
      </c>
      <c r="D43" s="4" t="s">
        <v>4223</v>
      </c>
      <c r="E43" s="5" t="s">
        <v>4224</v>
      </c>
      <c r="F43" s="5" t="s">
        <v>3879</v>
      </c>
    </row>
    <row r="44" ht="15.75" customHeight="1">
      <c r="A44" s="7" t="s">
        <v>3982</v>
      </c>
      <c r="B44" s="8" t="s">
        <v>1161</v>
      </c>
      <c r="C44" s="7" t="s">
        <v>4228</v>
      </c>
      <c r="D44" s="7" t="s">
        <v>4230</v>
      </c>
      <c r="E44" s="8" t="s">
        <v>4232</v>
      </c>
      <c r="F44" s="8" t="s">
        <v>388</v>
      </c>
    </row>
    <row r="45" ht="15.75" customHeight="1">
      <c r="A45" s="4" t="s">
        <v>3979</v>
      </c>
      <c r="B45" s="5" t="s">
        <v>1444</v>
      </c>
      <c r="C45" s="4" t="s">
        <v>4237</v>
      </c>
      <c r="D45" s="4" t="s">
        <v>4239</v>
      </c>
      <c r="E45" s="5" t="s">
        <v>4240</v>
      </c>
      <c r="F45" s="5" t="s">
        <v>3879</v>
      </c>
    </row>
    <row r="46" ht="15.75" customHeight="1">
      <c r="A46" s="7" t="s">
        <v>4192</v>
      </c>
      <c r="B46" s="8" t="s">
        <v>1461</v>
      </c>
      <c r="C46" s="7" t="s">
        <v>4244</v>
      </c>
      <c r="D46" s="7" t="s">
        <v>4246</v>
      </c>
      <c r="E46" s="8" t="s">
        <v>4240</v>
      </c>
      <c r="F46" s="8" t="s">
        <v>3879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46"/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32.0"/>
    <col customWidth="1" min="3" max="3" width="16.0"/>
    <col customWidth="1" min="4" max="4" width="44.0"/>
    <col customWidth="1" min="5" max="5" width="20.0"/>
    <col customWidth="1" min="6" max="6" width="13.0"/>
    <col customWidth="1" min="7" max="7" width="10.0"/>
    <col customWidth="1" min="8" max="8" width="34.0"/>
    <col customWidth="1" min="9" max="9" width="44.0"/>
    <col customWidth="1" min="10" max="26" width="8.71"/>
  </cols>
  <sheetData>
    <row r="1" ht="19.5" customHeight="1">
      <c r="A1" s="1" t="s">
        <v>4596</v>
      </c>
    </row>
    <row r="2" ht="25.5" customHeight="1">
      <c r="A2" s="2" t="s">
        <v>4598</v>
      </c>
    </row>
    <row r="4" ht="30.0" customHeight="1">
      <c r="A4" s="3" t="s">
        <v>4602</v>
      </c>
      <c r="B4" s="3" t="s">
        <v>13</v>
      </c>
      <c r="C4" s="3" t="s">
        <v>4604</v>
      </c>
      <c r="D4" s="3" t="s">
        <v>1936</v>
      </c>
      <c r="E4" s="3" t="s">
        <v>4605</v>
      </c>
      <c r="F4" s="3" t="s">
        <v>4606</v>
      </c>
      <c r="G4" s="3" t="s">
        <v>4607</v>
      </c>
      <c r="H4" s="3" t="s">
        <v>2641</v>
      </c>
      <c r="I4" s="3" t="s">
        <v>104</v>
      </c>
    </row>
    <row r="5">
      <c r="A5" s="6" t="s">
        <v>4611</v>
      </c>
      <c r="B5" s="6"/>
      <c r="C5" s="6"/>
      <c r="D5" s="6"/>
      <c r="E5" s="6"/>
      <c r="F5" s="6"/>
      <c r="G5" s="6"/>
      <c r="H5" s="6"/>
      <c r="I5" s="6"/>
    </row>
    <row r="6">
      <c r="A6" s="8" t="s">
        <v>4614</v>
      </c>
      <c r="B6" s="8" t="s">
        <v>4616</v>
      </c>
      <c r="C6" s="8" t="s">
        <v>4618</v>
      </c>
      <c r="D6" s="7" t="s">
        <v>4620</v>
      </c>
      <c r="E6" s="8" t="s">
        <v>4621</v>
      </c>
      <c r="F6" s="8" t="s">
        <v>4622</v>
      </c>
      <c r="G6" s="8" t="s">
        <v>865</v>
      </c>
      <c r="H6" s="7" t="s">
        <v>4624</v>
      </c>
      <c r="I6" s="7" t="s">
        <v>4625</v>
      </c>
    </row>
    <row r="7">
      <c r="A7" s="5" t="s">
        <v>4614</v>
      </c>
      <c r="B7" s="5" t="s">
        <v>4627</v>
      </c>
      <c r="C7" s="5" t="s">
        <v>4628</v>
      </c>
      <c r="D7" s="4" t="s">
        <v>4630</v>
      </c>
      <c r="E7" s="5" t="s">
        <v>4631</v>
      </c>
      <c r="F7" s="5" t="s">
        <v>4622</v>
      </c>
      <c r="G7" s="5" t="s">
        <v>865</v>
      </c>
      <c r="H7" s="4" t="s">
        <v>4632</v>
      </c>
      <c r="I7" s="4" t="s">
        <v>4633</v>
      </c>
    </row>
    <row r="8">
      <c r="A8" s="8" t="s">
        <v>4614</v>
      </c>
      <c r="B8" s="8" t="s">
        <v>4637</v>
      </c>
      <c r="C8" s="8" t="s">
        <v>4640</v>
      </c>
      <c r="D8" s="7" t="s">
        <v>4641</v>
      </c>
      <c r="E8" s="8" t="s">
        <v>4643</v>
      </c>
      <c r="F8" s="8" t="s">
        <v>4622</v>
      </c>
      <c r="G8" s="8" t="s">
        <v>865</v>
      </c>
      <c r="H8" s="7" t="s">
        <v>4648</v>
      </c>
      <c r="I8" s="7" t="s">
        <v>4649</v>
      </c>
    </row>
    <row r="9">
      <c r="A9" s="5" t="s">
        <v>4614</v>
      </c>
      <c r="B9" s="5" t="s">
        <v>4650</v>
      </c>
      <c r="C9" s="5" t="s">
        <v>4652</v>
      </c>
      <c r="D9" s="4" t="s">
        <v>4653</v>
      </c>
      <c r="E9" s="5" t="s">
        <v>4654</v>
      </c>
      <c r="F9" s="5" t="s">
        <v>4657</v>
      </c>
      <c r="G9" s="5" t="s">
        <v>582</v>
      </c>
      <c r="H9" s="4" t="s">
        <v>4659</v>
      </c>
      <c r="I9" s="4" t="s">
        <v>4662</v>
      </c>
    </row>
    <row r="10">
      <c r="A10" s="8" t="s">
        <v>4614</v>
      </c>
      <c r="B10" s="8" t="s">
        <v>4667</v>
      </c>
      <c r="C10" s="8" t="s">
        <v>4640</v>
      </c>
      <c r="D10" s="7" t="s">
        <v>4668</v>
      </c>
      <c r="E10" s="8" t="s">
        <v>4669</v>
      </c>
      <c r="F10" s="8" t="s">
        <v>4622</v>
      </c>
      <c r="G10" s="8" t="s">
        <v>909</v>
      </c>
      <c r="H10" s="7" t="s">
        <v>4671</v>
      </c>
      <c r="I10" s="7" t="s">
        <v>4672</v>
      </c>
    </row>
    <row r="11">
      <c r="A11" s="5" t="s">
        <v>4614</v>
      </c>
      <c r="B11" s="5" t="s">
        <v>4675</v>
      </c>
      <c r="C11" s="5" t="s">
        <v>4618</v>
      </c>
      <c r="D11" s="4" t="s">
        <v>4677</v>
      </c>
      <c r="E11" s="5" t="s">
        <v>4679</v>
      </c>
      <c r="F11" s="5" t="s">
        <v>4622</v>
      </c>
      <c r="G11" s="5" t="s">
        <v>865</v>
      </c>
      <c r="H11" s="4" t="s">
        <v>4682</v>
      </c>
      <c r="I11" s="4" t="s">
        <v>4684</v>
      </c>
    </row>
    <row r="12">
      <c r="A12" s="8" t="s">
        <v>4614</v>
      </c>
      <c r="B12" s="8" t="s">
        <v>4687</v>
      </c>
      <c r="C12" s="8" t="s">
        <v>4652</v>
      </c>
      <c r="D12" s="7" t="s">
        <v>4689</v>
      </c>
      <c r="E12" s="8" t="s">
        <v>4691</v>
      </c>
      <c r="F12" s="8" t="s">
        <v>4657</v>
      </c>
      <c r="G12" s="8" t="s">
        <v>582</v>
      </c>
      <c r="H12" s="7" t="s">
        <v>4695</v>
      </c>
      <c r="I12" s="7" t="s">
        <v>4698</v>
      </c>
    </row>
    <row r="13">
      <c r="A13" s="5" t="s">
        <v>4614</v>
      </c>
      <c r="B13" s="5" t="s">
        <v>4702</v>
      </c>
      <c r="C13" s="5" t="s">
        <v>4618</v>
      </c>
      <c r="D13" s="4" t="s">
        <v>4705</v>
      </c>
      <c r="E13" s="5" t="s">
        <v>4707</v>
      </c>
      <c r="F13" s="5" t="s">
        <v>4622</v>
      </c>
      <c r="G13" s="5" t="s">
        <v>865</v>
      </c>
      <c r="H13" s="4" t="s">
        <v>4711</v>
      </c>
      <c r="I13" s="4" t="s">
        <v>4713</v>
      </c>
    </row>
    <row r="14">
      <c r="A14" s="8" t="s">
        <v>4614</v>
      </c>
      <c r="B14" s="8" t="s">
        <v>4715</v>
      </c>
      <c r="C14" s="8" t="s">
        <v>4618</v>
      </c>
      <c r="D14" s="7" t="s">
        <v>4718</v>
      </c>
      <c r="E14" s="8" t="s">
        <v>4721</v>
      </c>
      <c r="F14" s="8" t="s">
        <v>4622</v>
      </c>
      <c r="G14" s="8" t="s">
        <v>4724</v>
      </c>
      <c r="H14" s="7" t="s">
        <v>4726</v>
      </c>
      <c r="I14" s="7" t="s">
        <v>4727</v>
      </c>
    </row>
    <row r="15">
      <c r="A15" s="5" t="s">
        <v>4614</v>
      </c>
      <c r="B15" s="5" t="s">
        <v>4729</v>
      </c>
      <c r="C15" s="5" t="s">
        <v>4652</v>
      </c>
      <c r="D15" s="4" t="s">
        <v>4732</v>
      </c>
      <c r="E15" s="5" t="s">
        <v>4734</v>
      </c>
      <c r="F15" s="5" t="s">
        <v>4657</v>
      </c>
      <c r="G15" s="5" t="s">
        <v>582</v>
      </c>
      <c r="H15" s="4" t="s">
        <v>4736</v>
      </c>
      <c r="I15" s="4" t="s">
        <v>4737</v>
      </c>
    </row>
    <row r="16">
      <c r="A16" s="8" t="s">
        <v>4614</v>
      </c>
      <c r="B16" s="8" t="s">
        <v>4740</v>
      </c>
      <c r="C16" s="8" t="s">
        <v>4652</v>
      </c>
      <c r="D16" s="7" t="s">
        <v>4743</v>
      </c>
      <c r="E16" s="8" t="s">
        <v>4745</v>
      </c>
      <c r="F16" s="8" t="s">
        <v>4657</v>
      </c>
      <c r="G16" s="8" t="s">
        <v>582</v>
      </c>
      <c r="H16" s="7" t="s">
        <v>4747</v>
      </c>
      <c r="I16" s="7" t="s">
        <v>4749</v>
      </c>
    </row>
    <row r="17">
      <c r="A17" s="5" t="s">
        <v>4614</v>
      </c>
      <c r="B17" s="5" t="s">
        <v>4751</v>
      </c>
      <c r="C17" s="5" t="s">
        <v>4652</v>
      </c>
      <c r="D17" s="4" t="s">
        <v>4754</v>
      </c>
      <c r="E17" s="5" t="s">
        <v>4757</v>
      </c>
      <c r="F17" s="5" t="s">
        <v>4657</v>
      </c>
      <c r="G17" s="5" t="s">
        <v>582</v>
      </c>
      <c r="H17" s="4" t="s">
        <v>4762</v>
      </c>
      <c r="I17" s="4" t="s">
        <v>4764</v>
      </c>
    </row>
    <row r="18">
      <c r="A18" s="8" t="s">
        <v>4614</v>
      </c>
      <c r="B18" s="8" t="s">
        <v>4767</v>
      </c>
      <c r="C18" s="8" t="s">
        <v>4618</v>
      </c>
      <c r="D18" s="7" t="s">
        <v>4769</v>
      </c>
      <c r="E18" s="8" t="s">
        <v>4770</v>
      </c>
      <c r="F18" s="8" t="s">
        <v>4622</v>
      </c>
      <c r="G18" s="8" t="s">
        <v>865</v>
      </c>
      <c r="H18" s="7" t="s">
        <v>4771</v>
      </c>
      <c r="I18" s="7" t="s">
        <v>4773</v>
      </c>
    </row>
    <row r="19">
      <c r="A19" s="5" t="s">
        <v>4614</v>
      </c>
      <c r="B19" s="5" t="s">
        <v>4776</v>
      </c>
      <c r="C19" s="5" t="s">
        <v>4618</v>
      </c>
      <c r="D19" s="4" t="s">
        <v>4778</v>
      </c>
      <c r="E19" s="5" t="s">
        <v>4779</v>
      </c>
      <c r="F19" s="5" t="s">
        <v>4622</v>
      </c>
      <c r="G19" s="5" t="s">
        <v>865</v>
      </c>
      <c r="H19" s="4" t="s">
        <v>4780</v>
      </c>
      <c r="I19" s="4" t="s">
        <v>4782</v>
      </c>
    </row>
    <row r="20">
      <c r="A20" s="8" t="s">
        <v>4614</v>
      </c>
      <c r="B20" s="8" t="s">
        <v>4783</v>
      </c>
      <c r="C20" s="8" t="s">
        <v>4640</v>
      </c>
      <c r="D20" s="7" t="s">
        <v>4784</v>
      </c>
      <c r="E20" s="8" t="s">
        <v>4785</v>
      </c>
      <c r="F20" s="8" t="s">
        <v>4622</v>
      </c>
      <c r="G20" s="8" t="s">
        <v>865</v>
      </c>
      <c r="H20" s="7" t="s">
        <v>4589</v>
      </c>
      <c r="I20" s="7" t="s">
        <v>4786</v>
      </c>
    </row>
    <row r="21" ht="15.75" customHeight="1">
      <c r="A21" s="5" t="s">
        <v>4614</v>
      </c>
      <c r="B21" s="5" t="s">
        <v>4787</v>
      </c>
      <c r="C21" s="5" t="s">
        <v>4618</v>
      </c>
      <c r="D21" s="4" t="s">
        <v>4788</v>
      </c>
      <c r="E21" s="5" t="s">
        <v>4790</v>
      </c>
      <c r="F21" s="5" t="s">
        <v>4622</v>
      </c>
      <c r="G21" s="5" t="s">
        <v>865</v>
      </c>
      <c r="H21" s="4" t="s">
        <v>4792</v>
      </c>
      <c r="I21" s="4" t="s">
        <v>4794</v>
      </c>
    </row>
    <row r="22" ht="15.75" customHeight="1">
      <c r="A22" s="6" t="s">
        <v>4796</v>
      </c>
      <c r="B22" s="6"/>
      <c r="C22" s="6"/>
      <c r="D22" s="6"/>
      <c r="E22" s="6"/>
      <c r="F22" s="6"/>
      <c r="G22" s="6"/>
      <c r="H22" s="6"/>
      <c r="I22" s="6"/>
    </row>
    <row r="23" ht="15.75" customHeight="1">
      <c r="A23" s="5" t="s">
        <v>4799</v>
      </c>
      <c r="B23" s="5" t="s">
        <v>4800</v>
      </c>
      <c r="C23" s="5" t="s">
        <v>4657</v>
      </c>
      <c r="D23" s="4" t="s">
        <v>4802</v>
      </c>
      <c r="E23" s="5" t="s">
        <v>4803</v>
      </c>
      <c r="F23" s="5" t="s">
        <v>4657</v>
      </c>
      <c r="G23" s="5" t="s">
        <v>582</v>
      </c>
      <c r="H23" s="4" t="s">
        <v>4806</v>
      </c>
      <c r="I23" s="4" t="s">
        <v>4808</v>
      </c>
    </row>
    <row r="24" ht="15.75" customHeight="1">
      <c r="A24" s="8" t="s">
        <v>4799</v>
      </c>
      <c r="B24" s="8" t="s">
        <v>4809</v>
      </c>
      <c r="C24" s="8" t="s">
        <v>4657</v>
      </c>
      <c r="D24" s="7" t="s">
        <v>4811</v>
      </c>
      <c r="E24" s="8" t="s">
        <v>4654</v>
      </c>
      <c r="F24" s="8" t="s">
        <v>4657</v>
      </c>
      <c r="G24" s="8" t="s">
        <v>582</v>
      </c>
      <c r="H24" s="7" t="s">
        <v>4673</v>
      </c>
      <c r="I24" s="7" t="s">
        <v>4812</v>
      </c>
    </row>
    <row r="25" ht="15.75" customHeight="1">
      <c r="A25" s="5" t="s">
        <v>4799</v>
      </c>
      <c r="B25" s="5" t="s">
        <v>4814</v>
      </c>
      <c r="C25" s="5" t="s">
        <v>4816</v>
      </c>
      <c r="D25" s="4" t="s">
        <v>4817</v>
      </c>
      <c r="E25" s="5" t="s">
        <v>4819</v>
      </c>
      <c r="F25" s="5" t="s">
        <v>4816</v>
      </c>
      <c r="G25" s="5" t="s">
        <v>909</v>
      </c>
      <c r="H25" s="4" t="s">
        <v>4673</v>
      </c>
      <c r="I25" s="4" t="s">
        <v>4822</v>
      </c>
    </row>
    <row r="26" ht="15.75" customHeight="1">
      <c r="A26" s="8" t="s">
        <v>4799</v>
      </c>
      <c r="B26" s="8" t="s">
        <v>4823</v>
      </c>
      <c r="C26" s="8" t="s">
        <v>4657</v>
      </c>
      <c r="D26" s="7" t="s">
        <v>4824</v>
      </c>
      <c r="E26" s="8" t="s">
        <v>4825</v>
      </c>
      <c r="F26" s="8" t="s">
        <v>4657</v>
      </c>
      <c r="G26" s="8" t="s">
        <v>582</v>
      </c>
      <c r="H26" s="7" t="s">
        <v>4688</v>
      </c>
      <c r="I26" s="7" t="s">
        <v>4826</v>
      </c>
    </row>
    <row r="27" ht="15.75" customHeight="1">
      <c r="A27" s="5" t="s">
        <v>4799</v>
      </c>
      <c r="B27" s="5" t="s">
        <v>4828</v>
      </c>
      <c r="C27" s="5" t="s">
        <v>4816</v>
      </c>
      <c r="D27" s="4" t="s">
        <v>4829</v>
      </c>
      <c r="E27" s="5" t="s">
        <v>4830</v>
      </c>
      <c r="F27" s="5" t="s">
        <v>4816</v>
      </c>
      <c r="G27" s="5" t="s">
        <v>909</v>
      </c>
      <c r="H27" s="4" t="s">
        <v>4688</v>
      </c>
      <c r="I27" s="4" t="s">
        <v>1050</v>
      </c>
    </row>
    <row r="28" ht="15.75" customHeight="1">
      <c r="A28" s="8" t="s">
        <v>4799</v>
      </c>
      <c r="B28" s="8" t="s">
        <v>4832</v>
      </c>
      <c r="C28" s="8" t="s">
        <v>4657</v>
      </c>
      <c r="D28" s="7" t="s">
        <v>4834</v>
      </c>
      <c r="E28" s="8" t="s">
        <v>4757</v>
      </c>
      <c r="F28" s="8" t="s">
        <v>4657</v>
      </c>
      <c r="G28" s="8" t="s">
        <v>582</v>
      </c>
      <c r="H28" s="7" t="s">
        <v>4651</v>
      </c>
      <c r="I28" s="7" t="s">
        <v>4837</v>
      </c>
    </row>
    <row r="29" ht="15.75" customHeight="1">
      <c r="A29" s="5" t="s">
        <v>4799</v>
      </c>
      <c r="B29" s="5" t="s">
        <v>4838</v>
      </c>
      <c r="C29" s="5" t="s">
        <v>4816</v>
      </c>
      <c r="D29" s="4" t="s">
        <v>4840</v>
      </c>
      <c r="E29" s="5" t="s">
        <v>4841</v>
      </c>
      <c r="F29" s="5" t="s">
        <v>4816</v>
      </c>
      <c r="G29" s="5" t="s">
        <v>909</v>
      </c>
      <c r="H29" s="4" t="s">
        <v>4842</v>
      </c>
      <c r="I29" s="4" t="s">
        <v>4843</v>
      </c>
    </row>
    <row r="30" ht="15.75" customHeight="1">
      <c r="A30" s="8" t="s">
        <v>4799</v>
      </c>
      <c r="B30" s="8" t="s">
        <v>4845</v>
      </c>
      <c r="C30" s="8" t="s">
        <v>4816</v>
      </c>
      <c r="D30" s="7" t="s">
        <v>4847</v>
      </c>
      <c r="E30" s="8" t="s">
        <v>4848</v>
      </c>
      <c r="F30" s="8" t="s">
        <v>4816</v>
      </c>
      <c r="G30" s="8" t="s">
        <v>909</v>
      </c>
      <c r="H30" s="7" t="s">
        <v>4703</v>
      </c>
      <c r="I30" s="7" t="s">
        <v>4851</v>
      </c>
    </row>
    <row r="31" ht="15.75" customHeight="1">
      <c r="A31" s="5" t="s">
        <v>4799</v>
      </c>
      <c r="B31" s="5" t="s">
        <v>4852</v>
      </c>
      <c r="C31" s="5" t="s">
        <v>4622</v>
      </c>
      <c r="D31" s="4" t="s">
        <v>4853</v>
      </c>
      <c r="E31" s="5" t="s">
        <v>4854</v>
      </c>
      <c r="F31" s="5" t="s">
        <v>4622</v>
      </c>
      <c r="G31" s="5" t="s">
        <v>909</v>
      </c>
      <c r="H31" s="4" t="s">
        <v>4651</v>
      </c>
      <c r="I31" s="4" t="s">
        <v>4855</v>
      </c>
    </row>
    <row r="32" ht="15.75" customHeight="1">
      <c r="A32" s="8" t="s">
        <v>4799</v>
      </c>
      <c r="B32" s="8" t="s">
        <v>4856</v>
      </c>
      <c r="C32" s="8" t="s">
        <v>4622</v>
      </c>
      <c r="D32" s="7" t="s">
        <v>4857</v>
      </c>
      <c r="E32" s="8" t="s">
        <v>4770</v>
      </c>
      <c r="F32" s="8" t="s">
        <v>4622</v>
      </c>
      <c r="G32" s="8" t="s">
        <v>909</v>
      </c>
      <c r="H32" s="7" t="s">
        <v>4714</v>
      </c>
      <c r="I32" s="7" t="s">
        <v>4858</v>
      </c>
    </row>
    <row r="33" ht="15.75" customHeight="1">
      <c r="A33" s="5" t="s">
        <v>4799</v>
      </c>
      <c r="B33" s="5" t="s">
        <v>4766</v>
      </c>
      <c r="C33" s="5" t="s">
        <v>4657</v>
      </c>
      <c r="D33" s="4" t="s">
        <v>4859</v>
      </c>
      <c r="E33" s="5" t="s">
        <v>4860</v>
      </c>
      <c r="F33" s="5" t="s">
        <v>4657</v>
      </c>
      <c r="G33" s="5" t="s">
        <v>582</v>
      </c>
      <c r="H33" s="4" t="s">
        <v>4861</v>
      </c>
      <c r="I33" s="4" t="s">
        <v>4862</v>
      </c>
    </row>
    <row r="34" ht="15.75" customHeight="1">
      <c r="A34" s="8" t="s">
        <v>4799</v>
      </c>
      <c r="B34" s="8" t="s">
        <v>4863</v>
      </c>
      <c r="C34" s="8" t="s">
        <v>4622</v>
      </c>
      <c r="D34" s="7" t="s">
        <v>4864</v>
      </c>
      <c r="E34" s="8" t="s">
        <v>4691</v>
      </c>
      <c r="F34" s="8" t="s">
        <v>4622</v>
      </c>
      <c r="G34" s="8" t="s">
        <v>909</v>
      </c>
      <c r="H34" s="7" t="s">
        <v>4651</v>
      </c>
      <c r="I34" s="7" t="s">
        <v>4865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34"/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2.0"/>
    <col customWidth="1" min="2" max="2" width="14.0"/>
    <col customWidth="1" min="3" max="3" width="64.0"/>
    <col customWidth="1" min="4" max="4" width="40.0"/>
    <col customWidth="1" min="5" max="6" width="34.0"/>
    <col customWidth="1" min="7" max="7" width="46.0"/>
    <col customWidth="1" min="8" max="8" width="8.0"/>
    <col customWidth="1" min="9" max="26" width="8.71"/>
  </cols>
  <sheetData>
    <row r="1" ht="19.5" customHeight="1">
      <c r="A1" s="1" t="s">
        <v>4626</v>
      </c>
    </row>
    <row r="2" ht="25.5" customHeight="1">
      <c r="A2" s="2" t="s">
        <v>4629</v>
      </c>
    </row>
    <row r="4" ht="30.0" customHeight="1">
      <c r="A4" s="3" t="s">
        <v>616</v>
      </c>
      <c r="B4" s="3" t="s">
        <v>4635</v>
      </c>
      <c r="C4" s="3" t="s">
        <v>4638</v>
      </c>
      <c r="D4" s="3" t="s">
        <v>4642</v>
      </c>
      <c r="E4" s="3" t="s">
        <v>4645</v>
      </c>
      <c r="F4" s="3" t="s">
        <v>4646</v>
      </c>
      <c r="G4" s="3" t="s">
        <v>4647</v>
      </c>
      <c r="H4" s="3" t="s">
        <v>95</v>
      </c>
    </row>
    <row r="5">
      <c r="A5" s="4" t="s">
        <v>4651</v>
      </c>
      <c r="B5" s="5" t="s">
        <v>4656</v>
      </c>
      <c r="C5" s="4" t="s">
        <v>2312</v>
      </c>
      <c r="D5" s="4" t="s">
        <v>4661</v>
      </c>
      <c r="E5" s="4" t="s">
        <v>4663</v>
      </c>
      <c r="F5" s="4" t="s">
        <v>4665</v>
      </c>
      <c r="G5" s="4" t="s">
        <v>4670</v>
      </c>
      <c r="H5" s="5" t="s">
        <v>315</v>
      </c>
    </row>
    <row r="6">
      <c r="A6" s="7" t="s">
        <v>4673</v>
      </c>
      <c r="B6" s="8" t="s">
        <v>332</v>
      </c>
      <c r="C6" s="7" t="s">
        <v>4680</v>
      </c>
      <c r="D6" s="7" t="s">
        <v>4681</v>
      </c>
      <c r="E6" s="7" t="s">
        <v>4683</v>
      </c>
      <c r="F6" s="7" t="s">
        <v>4685</v>
      </c>
      <c r="G6" s="7" t="s">
        <v>4686</v>
      </c>
      <c r="H6" s="8" t="s">
        <v>315</v>
      </c>
    </row>
    <row r="7">
      <c r="A7" s="4" t="s">
        <v>4688</v>
      </c>
      <c r="B7" s="5" t="s">
        <v>4690</v>
      </c>
      <c r="C7" s="4" t="s">
        <v>4692</v>
      </c>
      <c r="D7" s="4" t="s">
        <v>4693</v>
      </c>
      <c r="E7" s="4" t="s">
        <v>1050</v>
      </c>
      <c r="F7" s="4" t="s">
        <v>4697</v>
      </c>
      <c r="G7" s="4" t="s">
        <v>4700</v>
      </c>
      <c r="H7" s="5" t="s">
        <v>375</v>
      </c>
    </row>
    <row r="8">
      <c r="A8" s="7" t="s">
        <v>4703</v>
      </c>
      <c r="B8" s="8" t="s">
        <v>206</v>
      </c>
      <c r="C8" s="7" t="s">
        <v>4706</v>
      </c>
      <c r="D8" s="7" t="s">
        <v>4708</v>
      </c>
      <c r="E8" s="7" t="s">
        <v>4709</v>
      </c>
      <c r="F8" s="7" t="s">
        <v>4710</v>
      </c>
      <c r="G8" s="7" t="s">
        <v>4712</v>
      </c>
      <c r="H8" s="8" t="s">
        <v>375</v>
      </c>
    </row>
    <row r="9">
      <c r="A9" s="4" t="s">
        <v>4714</v>
      </c>
      <c r="B9" s="5" t="s">
        <v>206</v>
      </c>
      <c r="C9" s="4" t="s">
        <v>4716</v>
      </c>
      <c r="D9" s="4" t="s">
        <v>4717</v>
      </c>
      <c r="E9" s="4" t="s">
        <v>4720</v>
      </c>
      <c r="F9" s="4" t="s">
        <v>4722</v>
      </c>
      <c r="G9" s="4" t="s">
        <v>4723</v>
      </c>
      <c r="H9" s="5" t="s">
        <v>375</v>
      </c>
    </row>
    <row r="10">
      <c r="A10" s="7" t="s">
        <v>4728</v>
      </c>
      <c r="B10" s="8" t="s">
        <v>344</v>
      </c>
      <c r="C10" s="7" t="s">
        <v>4730</v>
      </c>
      <c r="D10" s="7" t="s">
        <v>4731</v>
      </c>
      <c r="E10" s="7" t="s">
        <v>1976</v>
      </c>
      <c r="F10" s="7" t="s">
        <v>582</v>
      </c>
      <c r="G10" s="7" t="s">
        <v>4735</v>
      </c>
      <c r="H10" s="8" t="s">
        <v>375</v>
      </c>
    </row>
    <row r="11">
      <c r="A11" s="4" t="s">
        <v>4738</v>
      </c>
      <c r="B11" s="5" t="s">
        <v>423</v>
      </c>
      <c r="C11" s="4" t="s">
        <v>4739</v>
      </c>
      <c r="D11" s="4" t="s">
        <v>4741</v>
      </c>
      <c r="E11" s="4" t="s">
        <v>4742</v>
      </c>
      <c r="F11" s="4" t="s">
        <v>4744</v>
      </c>
      <c r="G11" s="4" t="s">
        <v>4746</v>
      </c>
      <c r="H11" s="5" t="s">
        <v>375</v>
      </c>
    </row>
    <row r="12">
      <c r="A12" s="7" t="s">
        <v>4748</v>
      </c>
      <c r="B12" s="8" t="s">
        <v>712</v>
      </c>
      <c r="C12" s="7" t="s">
        <v>4750</v>
      </c>
      <c r="D12" s="7" t="s">
        <v>4752</v>
      </c>
      <c r="E12" s="7" t="s">
        <v>1307</v>
      </c>
      <c r="F12" s="7" t="s">
        <v>4755</v>
      </c>
      <c r="G12" s="7" t="s">
        <v>4758</v>
      </c>
      <c r="H12" s="8" t="s">
        <v>375</v>
      </c>
    </row>
    <row r="13">
      <c r="A13" s="4" t="s">
        <v>4760</v>
      </c>
      <c r="B13" s="5" t="s">
        <v>4656</v>
      </c>
      <c r="C13" s="4" t="s">
        <v>4765</v>
      </c>
      <c r="D13" s="4" t="s">
        <v>4766</v>
      </c>
      <c r="E13" s="4" t="s">
        <v>1976</v>
      </c>
      <c r="F13" s="4" t="s">
        <v>582</v>
      </c>
      <c r="G13" s="4" t="s">
        <v>4768</v>
      </c>
      <c r="H13" s="5" t="s">
        <v>375</v>
      </c>
    </row>
    <row r="14">
      <c r="A14" s="6" t="s">
        <v>4774</v>
      </c>
      <c r="B14" s="6"/>
      <c r="C14" s="6"/>
      <c r="D14" s="6"/>
      <c r="E14" s="6"/>
      <c r="F14" s="6"/>
      <c r="G14" s="6"/>
      <c r="H1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14"/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2" width="26.0"/>
    <col customWidth="1" min="3" max="3" width="44.0"/>
    <col customWidth="1" min="4" max="4" width="16.0"/>
    <col customWidth="1" min="5" max="5" width="46.0"/>
    <col customWidth="1" min="6" max="6" width="60.0"/>
    <col customWidth="1" min="7" max="7" width="46.0"/>
    <col customWidth="1" min="8" max="8" width="8.0"/>
    <col customWidth="1" min="9" max="26" width="8.71"/>
  </cols>
  <sheetData>
    <row r="1" ht="19.5" customHeight="1">
      <c r="A1" s="1" t="s">
        <v>4866</v>
      </c>
    </row>
    <row r="2" ht="25.5" customHeight="1">
      <c r="A2" s="2" t="s">
        <v>4867</v>
      </c>
    </row>
    <row r="4" ht="30.0" customHeight="1">
      <c r="A4" s="3" t="s">
        <v>607</v>
      </c>
      <c r="B4" s="3" t="s">
        <v>4868</v>
      </c>
      <c r="C4" s="3" t="s">
        <v>4869</v>
      </c>
      <c r="D4" s="3" t="s">
        <v>4635</v>
      </c>
      <c r="E4" s="3" t="s">
        <v>4870</v>
      </c>
      <c r="F4" s="3" t="s">
        <v>4871</v>
      </c>
      <c r="G4" s="3" t="s">
        <v>2591</v>
      </c>
      <c r="H4" s="3" t="s">
        <v>95</v>
      </c>
    </row>
    <row r="5">
      <c r="A5" s="5" t="s">
        <v>4872</v>
      </c>
      <c r="B5" s="5" t="s">
        <v>4873</v>
      </c>
      <c r="C5" s="4" t="s">
        <v>4874</v>
      </c>
      <c r="D5" s="5" t="s">
        <v>4875</v>
      </c>
      <c r="E5" s="4" t="s">
        <v>4876</v>
      </c>
      <c r="F5" s="4" t="s">
        <v>4877</v>
      </c>
      <c r="G5" s="4" t="s">
        <v>4878</v>
      </c>
      <c r="H5" s="5" t="s">
        <v>221</v>
      </c>
    </row>
    <row r="6">
      <c r="A6" s="8" t="s">
        <v>4879</v>
      </c>
      <c r="B6" s="8" t="s">
        <v>4880</v>
      </c>
      <c r="C6" s="7" t="s">
        <v>4881</v>
      </c>
      <c r="D6" s="8" t="s">
        <v>580</v>
      </c>
      <c r="E6" s="7" t="s">
        <v>4882</v>
      </c>
      <c r="F6" s="7" t="s">
        <v>4883</v>
      </c>
      <c r="G6" s="7" t="s">
        <v>4884</v>
      </c>
      <c r="H6" s="8" t="s">
        <v>221</v>
      </c>
    </row>
    <row r="7">
      <c r="A7" s="5" t="s">
        <v>4885</v>
      </c>
      <c r="B7" s="5" t="s">
        <v>4886</v>
      </c>
      <c r="C7" s="4" t="s">
        <v>4887</v>
      </c>
      <c r="D7" s="5" t="s">
        <v>344</v>
      </c>
      <c r="E7" s="4" t="s">
        <v>4888</v>
      </c>
      <c r="F7" s="4" t="s">
        <v>4889</v>
      </c>
      <c r="G7" s="4" t="s">
        <v>4890</v>
      </c>
      <c r="H7" s="5" t="s">
        <v>221</v>
      </c>
    </row>
    <row r="8">
      <c r="A8" s="8" t="s">
        <v>4891</v>
      </c>
      <c r="B8" s="8" t="s">
        <v>4892</v>
      </c>
      <c r="C8" s="7" t="s">
        <v>4893</v>
      </c>
      <c r="D8" s="8" t="s">
        <v>580</v>
      </c>
      <c r="E8" s="7" t="s">
        <v>4894</v>
      </c>
      <c r="F8" s="7" t="s">
        <v>4895</v>
      </c>
      <c r="G8" s="7" t="s">
        <v>4896</v>
      </c>
      <c r="H8" s="8" t="s">
        <v>221</v>
      </c>
    </row>
    <row r="9">
      <c r="A9" s="5" t="s">
        <v>4897</v>
      </c>
      <c r="B9" s="5" t="s">
        <v>4898</v>
      </c>
      <c r="C9" s="4" t="s">
        <v>4899</v>
      </c>
      <c r="D9" s="5" t="s">
        <v>206</v>
      </c>
      <c r="E9" s="4" t="s">
        <v>4900</v>
      </c>
      <c r="F9" s="4" t="s">
        <v>4901</v>
      </c>
      <c r="G9" s="4" t="s">
        <v>4902</v>
      </c>
      <c r="H9" s="5" t="s">
        <v>221</v>
      </c>
    </row>
    <row r="10">
      <c r="A10" s="8" t="s">
        <v>951</v>
      </c>
      <c r="B10" s="8" t="s">
        <v>4903</v>
      </c>
      <c r="C10" s="7" t="s">
        <v>4904</v>
      </c>
      <c r="D10" s="8" t="s">
        <v>206</v>
      </c>
      <c r="E10" s="7" t="s">
        <v>4905</v>
      </c>
      <c r="F10" s="7" t="s">
        <v>4906</v>
      </c>
      <c r="G10" s="7" t="s">
        <v>4907</v>
      </c>
      <c r="H10" s="8" t="s">
        <v>315</v>
      </c>
    </row>
    <row r="11">
      <c r="A11" s="5" t="s">
        <v>4908</v>
      </c>
      <c r="B11" s="5" t="s">
        <v>4909</v>
      </c>
      <c r="C11" s="4" t="s">
        <v>4910</v>
      </c>
      <c r="D11" s="5" t="s">
        <v>4911</v>
      </c>
      <c r="E11" s="4" t="s">
        <v>4912</v>
      </c>
      <c r="F11" s="4" t="s">
        <v>4913</v>
      </c>
      <c r="G11" s="4" t="s">
        <v>4914</v>
      </c>
      <c r="H11" s="5" t="s">
        <v>221</v>
      </c>
    </row>
    <row r="12">
      <c r="A12" s="8" t="s">
        <v>4915</v>
      </c>
      <c r="B12" s="8" t="s">
        <v>4916</v>
      </c>
      <c r="C12" s="7" t="s">
        <v>4917</v>
      </c>
      <c r="D12" s="8" t="s">
        <v>423</v>
      </c>
      <c r="E12" s="7" t="s">
        <v>4918</v>
      </c>
      <c r="F12" s="7" t="s">
        <v>4919</v>
      </c>
      <c r="G12" s="7" t="s">
        <v>4920</v>
      </c>
      <c r="H12" s="8" t="s">
        <v>375</v>
      </c>
    </row>
    <row r="13">
      <c r="A13" s="5" t="s">
        <v>4921</v>
      </c>
      <c r="B13" s="5" t="s">
        <v>4916</v>
      </c>
      <c r="C13" s="4" t="s">
        <v>4917</v>
      </c>
      <c r="D13" s="5" t="s">
        <v>4922</v>
      </c>
      <c r="E13" s="4" t="s">
        <v>4923</v>
      </c>
      <c r="F13" s="4" t="s">
        <v>4924</v>
      </c>
      <c r="G13" s="4" t="s">
        <v>4925</v>
      </c>
      <c r="H13" s="5" t="s">
        <v>315</v>
      </c>
    </row>
    <row r="14">
      <c r="A14" s="8" t="s">
        <v>4926</v>
      </c>
      <c r="B14" s="8" t="s">
        <v>4903</v>
      </c>
      <c r="C14" s="7" t="s">
        <v>4927</v>
      </c>
      <c r="D14" s="8" t="s">
        <v>206</v>
      </c>
      <c r="E14" s="7" t="s">
        <v>4928</v>
      </c>
      <c r="F14" s="7" t="s">
        <v>4929</v>
      </c>
      <c r="G14" s="7" t="s">
        <v>4930</v>
      </c>
      <c r="H14" s="8" t="s">
        <v>172</v>
      </c>
    </row>
    <row r="15">
      <c r="A15" s="5" t="s">
        <v>4931</v>
      </c>
      <c r="B15" s="5" t="s">
        <v>4886</v>
      </c>
      <c r="C15" s="4" t="s">
        <v>4887</v>
      </c>
      <c r="D15" s="5" t="s">
        <v>372</v>
      </c>
      <c r="E15" s="4" t="s">
        <v>4932</v>
      </c>
      <c r="F15" s="4" t="s">
        <v>4933</v>
      </c>
      <c r="G15" s="4" t="s">
        <v>4934</v>
      </c>
      <c r="H15" s="5" t="s">
        <v>375</v>
      </c>
    </row>
    <row r="16">
      <c r="A16" s="8" t="s">
        <v>4935</v>
      </c>
      <c r="B16" s="8" t="s">
        <v>4936</v>
      </c>
      <c r="C16" s="7" t="s">
        <v>4937</v>
      </c>
      <c r="D16" s="8" t="s">
        <v>4656</v>
      </c>
      <c r="E16" s="7" t="s">
        <v>4938</v>
      </c>
      <c r="F16" s="7" t="s">
        <v>4939</v>
      </c>
      <c r="G16" s="7" t="s">
        <v>4940</v>
      </c>
      <c r="H16" s="8" t="s">
        <v>375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H$16"/>
  <mergeCells count="2">
    <mergeCell ref="A1:H1"/>
    <mergeCell ref="A2:H2"/>
  </mergeCells>
  <printOptions/>
  <pageMargins bottom="1.0" footer="0.0" header="0.0" left="0.75" right="0.75" top="1.0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A93B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34.0"/>
    <col customWidth="1" min="3" max="3" width="62.0"/>
    <col customWidth="1" min="4" max="4" width="76.0"/>
    <col customWidth="1" min="5" max="5" width="10.0"/>
    <col customWidth="1" min="6" max="6" width="16.0"/>
    <col customWidth="1" min="7" max="7" width="62.0"/>
    <col customWidth="1" min="8" max="26" width="8.71"/>
  </cols>
  <sheetData>
    <row r="1" ht="19.5" customHeight="1">
      <c r="A1" s="1" t="s">
        <v>4941</v>
      </c>
    </row>
    <row r="2" ht="25.5" customHeight="1">
      <c r="A2" s="2" t="s">
        <v>4942</v>
      </c>
    </row>
    <row r="4" ht="30.0" customHeight="1">
      <c r="A4" s="3" t="s">
        <v>4943</v>
      </c>
      <c r="B4" s="3" t="s">
        <v>4944</v>
      </c>
      <c r="C4" s="3" t="s">
        <v>4945</v>
      </c>
      <c r="D4" s="3" t="s">
        <v>2641</v>
      </c>
      <c r="E4" s="3" t="s">
        <v>4946</v>
      </c>
      <c r="F4" s="3" t="s">
        <v>3481</v>
      </c>
      <c r="G4" s="3" t="s">
        <v>4947</v>
      </c>
    </row>
    <row r="5">
      <c r="A5" s="5" t="s">
        <v>259</v>
      </c>
      <c r="B5" s="5" t="s">
        <v>4948</v>
      </c>
      <c r="C5" s="4" t="s">
        <v>4949</v>
      </c>
      <c r="D5" s="4" t="s">
        <v>4950</v>
      </c>
      <c r="E5" s="5" t="s">
        <v>172</v>
      </c>
      <c r="F5" s="5" t="s">
        <v>169</v>
      </c>
      <c r="G5" s="4" t="s">
        <v>4951</v>
      </c>
    </row>
    <row r="6">
      <c r="A6" s="8" t="s">
        <v>513</v>
      </c>
      <c r="B6" s="8" t="s">
        <v>4952</v>
      </c>
      <c r="C6" s="7" t="s">
        <v>4953</v>
      </c>
      <c r="D6" s="7" t="s">
        <v>4954</v>
      </c>
      <c r="E6" s="8" t="s">
        <v>221</v>
      </c>
      <c r="F6" s="8" t="s">
        <v>4955</v>
      </c>
      <c r="G6" s="7" t="s">
        <v>4956</v>
      </c>
    </row>
    <row r="7">
      <c r="A7" s="5" t="s">
        <v>608</v>
      </c>
      <c r="B7" s="5" t="s">
        <v>4957</v>
      </c>
      <c r="C7" s="4" t="s">
        <v>4958</v>
      </c>
      <c r="D7" s="4" t="s">
        <v>4959</v>
      </c>
      <c r="E7" s="5" t="s">
        <v>221</v>
      </c>
      <c r="F7" s="5" t="s">
        <v>236</v>
      </c>
      <c r="G7" s="4" t="s">
        <v>4960</v>
      </c>
    </row>
    <row r="8">
      <c r="A8" s="8" t="s">
        <v>3546</v>
      </c>
      <c r="B8" s="8" t="s">
        <v>4961</v>
      </c>
      <c r="C8" s="7" t="s">
        <v>4962</v>
      </c>
      <c r="D8" s="7" t="s">
        <v>4963</v>
      </c>
      <c r="E8" s="8" t="s">
        <v>315</v>
      </c>
      <c r="F8" s="8" t="s">
        <v>310</v>
      </c>
      <c r="G8" s="7" t="s">
        <v>4964</v>
      </c>
    </row>
    <row r="9">
      <c r="A9" s="5" t="s">
        <v>445</v>
      </c>
      <c r="B9" s="5" t="s">
        <v>4965</v>
      </c>
      <c r="C9" s="4" t="s">
        <v>4966</v>
      </c>
      <c r="D9" s="4" t="s">
        <v>4967</v>
      </c>
      <c r="E9" s="5" t="s">
        <v>221</v>
      </c>
      <c r="F9" s="5" t="s">
        <v>2540</v>
      </c>
      <c r="G9" s="4" t="s">
        <v>4968</v>
      </c>
    </row>
    <row r="10">
      <c r="A10" s="8" t="s">
        <v>597</v>
      </c>
      <c r="B10" s="8" t="s">
        <v>4969</v>
      </c>
      <c r="C10" s="7" t="s">
        <v>4970</v>
      </c>
      <c r="D10" s="7" t="s">
        <v>4971</v>
      </c>
      <c r="E10" s="8" t="s">
        <v>221</v>
      </c>
      <c r="F10" s="8" t="s">
        <v>236</v>
      </c>
      <c r="G10" s="7" t="s">
        <v>4972</v>
      </c>
    </row>
    <row r="11">
      <c r="A11" s="5" t="s">
        <v>291</v>
      </c>
      <c r="B11" s="5" t="s">
        <v>4973</v>
      </c>
      <c r="C11" s="4" t="s">
        <v>4974</v>
      </c>
      <c r="D11" s="4" t="s">
        <v>4975</v>
      </c>
      <c r="E11" s="5" t="s">
        <v>172</v>
      </c>
      <c r="F11" s="5" t="s">
        <v>169</v>
      </c>
      <c r="G11" s="4" t="s">
        <v>4976</v>
      </c>
    </row>
    <row r="12">
      <c r="A12" s="8" t="s">
        <v>304</v>
      </c>
      <c r="B12" s="8" t="s">
        <v>4977</v>
      </c>
      <c r="C12" s="7" t="s">
        <v>4978</v>
      </c>
      <c r="D12" s="7" t="s">
        <v>4979</v>
      </c>
      <c r="E12" s="8" t="s">
        <v>172</v>
      </c>
      <c r="F12" s="8" t="s">
        <v>169</v>
      </c>
      <c r="G12" s="7" t="s">
        <v>4980</v>
      </c>
    </row>
    <row r="13">
      <c r="A13" s="5" t="s">
        <v>217</v>
      </c>
      <c r="B13" s="5" t="s">
        <v>4981</v>
      </c>
      <c r="C13" s="4" t="s">
        <v>4982</v>
      </c>
      <c r="D13" s="4" t="s">
        <v>4983</v>
      </c>
      <c r="E13" s="5" t="s">
        <v>172</v>
      </c>
      <c r="F13" s="5" t="s">
        <v>169</v>
      </c>
      <c r="G13" s="4" t="s">
        <v>4984</v>
      </c>
    </row>
    <row r="14">
      <c r="A14" s="8" t="s">
        <v>175</v>
      </c>
      <c r="B14" s="8" t="s">
        <v>4985</v>
      </c>
      <c r="C14" s="7" t="s">
        <v>4986</v>
      </c>
      <c r="D14" s="7" t="s">
        <v>4987</v>
      </c>
      <c r="E14" s="8" t="s">
        <v>221</v>
      </c>
      <c r="F14" s="8" t="s">
        <v>245</v>
      </c>
      <c r="G14" s="7" t="s">
        <v>4988</v>
      </c>
    </row>
    <row r="15">
      <c r="A15" s="5" t="s">
        <v>316</v>
      </c>
      <c r="B15" s="5" t="s">
        <v>4989</v>
      </c>
      <c r="C15" s="4" t="s">
        <v>4990</v>
      </c>
      <c r="D15" s="4" t="s">
        <v>4991</v>
      </c>
      <c r="E15" s="5" t="s">
        <v>172</v>
      </c>
      <c r="F15" s="5" t="s">
        <v>169</v>
      </c>
      <c r="G15" s="4" t="s">
        <v>4992</v>
      </c>
    </row>
    <row r="16">
      <c r="A16" s="8" t="s">
        <v>424</v>
      </c>
      <c r="B16" s="8" t="s">
        <v>4993</v>
      </c>
      <c r="C16" s="7" t="s">
        <v>4994</v>
      </c>
      <c r="D16" s="7" t="s">
        <v>4995</v>
      </c>
      <c r="E16" s="8" t="s">
        <v>315</v>
      </c>
      <c r="F16" s="8" t="s">
        <v>4996</v>
      </c>
      <c r="G16" s="7" t="s">
        <v>4997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16"/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62.0"/>
    <col customWidth="1" min="3" max="3" width="12.0"/>
    <col customWidth="1" min="4" max="5" width="26.0"/>
    <col customWidth="1" min="6" max="6" width="34.0"/>
    <col customWidth="1" min="7" max="7" width="30.0"/>
    <col customWidth="1" min="8" max="8" width="34.0"/>
    <col customWidth="1" min="9" max="9" width="24.0"/>
    <col customWidth="1" min="10" max="26" width="8.71"/>
  </cols>
  <sheetData>
    <row r="1" ht="19.5" customHeight="1">
      <c r="A1" s="1" t="s">
        <v>4999</v>
      </c>
    </row>
    <row r="2" ht="25.5" customHeight="1">
      <c r="A2" s="2" t="s">
        <v>5001</v>
      </c>
    </row>
    <row r="4" ht="30.0" customHeight="1">
      <c r="A4" s="3" t="s">
        <v>5007</v>
      </c>
      <c r="B4" s="3" t="s">
        <v>5008</v>
      </c>
      <c r="C4" s="3" t="s">
        <v>5009</v>
      </c>
      <c r="D4" s="3" t="s">
        <v>5011</v>
      </c>
      <c r="E4" s="3" t="s">
        <v>5012</v>
      </c>
      <c r="F4" s="3" t="s">
        <v>5013</v>
      </c>
      <c r="G4" s="3" t="s">
        <v>5014</v>
      </c>
      <c r="H4" s="3" t="s">
        <v>5015</v>
      </c>
      <c r="I4" s="3" t="s">
        <v>95</v>
      </c>
    </row>
    <row r="5">
      <c r="A5" s="5">
        <v>1.0</v>
      </c>
      <c r="B5" s="4" t="s">
        <v>5020</v>
      </c>
      <c r="C5" s="5" t="s">
        <v>5022</v>
      </c>
      <c r="D5" s="4" t="s">
        <v>5023</v>
      </c>
      <c r="E5" s="4" t="s">
        <v>5025</v>
      </c>
      <c r="F5" s="4" t="s">
        <v>5026</v>
      </c>
      <c r="G5" s="4" t="s">
        <v>5027</v>
      </c>
      <c r="H5" s="4" t="s">
        <v>5028</v>
      </c>
      <c r="I5" s="5" t="s">
        <v>221</v>
      </c>
    </row>
    <row r="6">
      <c r="A6" s="8">
        <v>2.0</v>
      </c>
      <c r="B6" s="7" t="s">
        <v>5032</v>
      </c>
      <c r="C6" s="8" t="s">
        <v>5022</v>
      </c>
      <c r="D6" s="7" t="s">
        <v>5034</v>
      </c>
      <c r="E6" s="7" t="s">
        <v>5035</v>
      </c>
      <c r="F6" s="7" t="s">
        <v>5037</v>
      </c>
      <c r="G6" s="7" t="s">
        <v>5038</v>
      </c>
      <c r="H6" s="7" t="s">
        <v>5040</v>
      </c>
      <c r="I6" s="8" t="s">
        <v>221</v>
      </c>
    </row>
    <row r="7">
      <c r="A7" s="5">
        <v>3.0</v>
      </c>
      <c r="B7" s="4" t="s">
        <v>5041</v>
      </c>
      <c r="C7" s="5" t="s">
        <v>5022</v>
      </c>
      <c r="D7" s="4" t="s">
        <v>5043</v>
      </c>
      <c r="E7" s="4" t="s">
        <v>5044</v>
      </c>
      <c r="F7" s="4" t="s">
        <v>5046</v>
      </c>
      <c r="G7" s="4" t="s">
        <v>5047</v>
      </c>
      <c r="H7" s="4" t="s">
        <v>5048</v>
      </c>
      <c r="I7" s="5" t="s">
        <v>5049</v>
      </c>
    </row>
    <row r="8">
      <c r="A8" s="8">
        <v>4.0</v>
      </c>
      <c r="B8" s="7" t="s">
        <v>5051</v>
      </c>
      <c r="C8" s="8" t="s">
        <v>5022</v>
      </c>
      <c r="D8" s="7" t="s">
        <v>5053</v>
      </c>
      <c r="E8" s="7" t="s">
        <v>1842</v>
      </c>
      <c r="F8" s="7" t="s">
        <v>5054</v>
      </c>
      <c r="G8" s="7" t="s">
        <v>5056</v>
      </c>
      <c r="H8" s="7" t="s">
        <v>5057</v>
      </c>
      <c r="I8" s="8" t="s">
        <v>221</v>
      </c>
    </row>
    <row r="9">
      <c r="A9" s="5">
        <v>5.0</v>
      </c>
      <c r="B9" s="4" t="s">
        <v>5061</v>
      </c>
      <c r="C9" s="5" t="s">
        <v>5062</v>
      </c>
      <c r="D9" s="4" t="s">
        <v>5063</v>
      </c>
      <c r="E9" s="4" t="s">
        <v>5065</v>
      </c>
      <c r="F9" s="4" t="s">
        <v>5066</v>
      </c>
      <c r="G9" s="4" t="s">
        <v>5068</v>
      </c>
      <c r="H9" s="4" t="s">
        <v>5070</v>
      </c>
      <c r="I9" s="5" t="s">
        <v>221</v>
      </c>
    </row>
    <row r="10">
      <c r="A10" s="8">
        <v>6.0</v>
      </c>
      <c r="B10" s="7" t="s">
        <v>5072</v>
      </c>
      <c r="C10" s="8" t="s">
        <v>5022</v>
      </c>
      <c r="D10" s="7" t="s">
        <v>5073</v>
      </c>
      <c r="E10" s="7" t="s">
        <v>2159</v>
      </c>
      <c r="F10" s="7" t="s">
        <v>5076</v>
      </c>
      <c r="G10" s="7" t="s">
        <v>1603</v>
      </c>
      <c r="H10" s="7" t="s">
        <v>5078</v>
      </c>
      <c r="I10" s="8" t="s">
        <v>221</v>
      </c>
    </row>
    <row r="11">
      <c r="A11" s="5">
        <v>7.0</v>
      </c>
      <c r="B11" s="4" t="s">
        <v>5080</v>
      </c>
      <c r="C11" s="5" t="s">
        <v>5022</v>
      </c>
      <c r="D11" s="4" t="s">
        <v>5083</v>
      </c>
      <c r="E11" s="4" t="s">
        <v>5085</v>
      </c>
      <c r="F11" s="4" t="s">
        <v>5086</v>
      </c>
      <c r="G11" s="4" t="s">
        <v>5087</v>
      </c>
      <c r="H11" s="4" t="s">
        <v>5089</v>
      </c>
      <c r="I11" s="5" t="s">
        <v>221</v>
      </c>
    </row>
    <row r="12">
      <c r="A12" s="8">
        <v>8.0</v>
      </c>
      <c r="B12" s="7" t="s">
        <v>5092</v>
      </c>
      <c r="C12" s="8" t="s">
        <v>5062</v>
      </c>
      <c r="D12" s="7" t="s">
        <v>5094</v>
      </c>
      <c r="E12" s="7" t="s">
        <v>5095</v>
      </c>
      <c r="F12" s="7" t="s">
        <v>5096</v>
      </c>
      <c r="G12" s="7" t="s">
        <v>5097</v>
      </c>
      <c r="H12" s="7" t="s">
        <v>5099</v>
      </c>
      <c r="I12" s="8" t="s">
        <v>172</v>
      </c>
    </row>
    <row r="13">
      <c r="A13" s="5">
        <v>9.0</v>
      </c>
      <c r="B13" s="4" t="s">
        <v>5102</v>
      </c>
      <c r="C13" s="5" t="s">
        <v>5062</v>
      </c>
      <c r="D13" s="4" t="s">
        <v>5104</v>
      </c>
      <c r="E13" s="4" t="s">
        <v>2501</v>
      </c>
      <c r="F13" s="4" t="s">
        <v>5106</v>
      </c>
      <c r="G13" s="4" t="s">
        <v>5108</v>
      </c>
      <c r="H13" s="4" t="s">
        <v>5110</v>
      </c>
      <c r="I13" s="5" t="s">
        <v>5111</v>
      </c>
    </row>
    <row r="14">
      <c r="A14" s="8">
        <v>10.0</v>
      </c>
      <c r="B14" s="7" t="s">
        <v>5113</v>
      </c>
      <c r="C14" s="8" t="s">
        <v>5062</v>
      </c>
      <c r="D14" s="7" t="s">
        <v>5115</v>
      </c>
      <c r="E14" s="7" t="s">
        <v>5117</v>
      </c>
      <c r="F14" s="7" t="s">
        <v>5119</v>
      </c>
      <c r="G14" s="7" t="s">
        <v>5120</v>
      </c>
      <c r="H14" s="7" t="s">
        <v>5121</v>
      </c>
      <c r="I14" s="8" t="s">
        <v>221</v>
      </c>
    </row>
    <row r="15">
      <c r="A15" s="5">
        <v>11.0</v>
      </c>
      <c r="B15" s="4" t="s">
        <v>5124</v>
      </c>
      <c r="C15" s="5" t="s">
        <v>5062</v>
      </c>
      <c r="D15" s="4" t="s">
        <v>5125</v>
      </c>
      <c r="E15" s="4" t="s">
        <v>5126</v>
      </c>
      <c r="F15" s="4" t="s">
        <v>5128</v>
      </c>
      <c r="G15" s="4" t="s">
        <v>5130</v>
      </c>
      <c r="H15" s="4" t="s">
        <v>5131</v>
      </c>
      <c r="I15" s="5" t="s">
        <v>221</v>
      </c>
    </row>
    <row r="16">
      <c r="A16" s="8">
        <v>12.0</v>
      </c>
      <c r="B16" s="7" t="s">
        <v>5133</v>
      </c>
      <c r="C16" s="8" t="s">
        <v>5062</v>
      </c>
      <c r="D16" s="7" t="s">
        <v>453</v>
      </c>
      <c r="E16" s="7" t="s">
        <v>5137</v>
      </c>
      <c r="F16" s="7" t="s">
        <v>5138</v>
      </c>
      <c r="G16" s="7" t="s">
        <v>5139</v>
      </c>
      <c r="H16" s="7" t="s">
        <v>5141</v>
      </c>
      <c r="I16" s="8" t="s">
        <v>221</v>
      </c>
    </row>
    <row r="17">
      <c r="A17" s="5">
        <v>13.0</v>
      </c>
      <c r="B17" s="4" t="s">
        <v>5144</v>
      </c>
      <c r="C17" s="5" t="s">
        <v>5062</v>
      </c>
      <c r="D17" s="4" t="s">
        <v>441</v>
      </c>
      <c r="E17" s="4" t="s">
        <v>1576</v>
      </c>
      <c r="F17" s="4" t="s">
        <v>5146</v>
      </c>
      <c r="G17" s="4" t="s">
        <v>5148</v>
      </c>
      <c r="H17" s="4" t="s">
        <v>5149</v>
      </c>
      <c r="I17" s="5" t="s">
        <v>221</v>
      </c>
    </row>
    <row r="18">
      <c r="A18" s="8">
        <v>14.0</v>
      </c>
      <c r="B18" s="7" t="s">
        <v>5150</v>
      </c>
      <c r="C18" s="8" t="s">
        <v>5062</v>
      </c>
      <c r="D18" s="7" t="s">
        <v>5152</v>
      </c>
      <c r="E18" s="7" t="s">
        <v>5154</v>
      </c>
      <c r="F18" s="7" t="s">
        <v>5156</v>
      </c>
      <c r="G18" s="7" t="s">
        <v>1880</v>
      </c>
      <c r="H18" s="7" t="s">
        <v>5158</v>
      </c>
      <c r="I18" s="8" t="s">
        <v>5159</v>
      </c>
    </row>
    <row r="19">
      <c r="A19" s="5">
        <v>15.0</v>
      </c>
      <c r="B19" s="4" t="s">
        <v>5160</v>
      </c>
      <c r="C19" s="5" t="s">
        <v>5062</v>
      </c>
      <c r="D19" s="4" t="s">
        <v>5162</v>
      </c>
      <c r="E19" s="4" t="s">
        <v>5164</v>
      </c>
      <c r="F19" s="4" t="s">
        <v>5166</v>
      </c>
      <c r="G19" s="4" t="s">
        <v>5167</v>
      </c>
      <c r="H19" s="4" t="s">
        <v>5168</v>
      </c>
      <c r="I19" s="5" t="s">
        <v>221</v>
      </c>
    </row>
    <row r="20">
      <c r="A20" s="8">
        <v>16.0</v>
      </c>
      <c r="B20" s="7" t="s">
        <v>5170</v>
      </c>
      <c r="C20" s="8" t="s">
        <v>5022</v>
      </c>
      <c r="D20" s="7" t="s">
        <v>5173</v>
      </c>
      <c r="E20" s="7" t="s">
        <v>5174</v>
      </c>
      <c r="F20" s="7" t="s">
        <v>5175</v>
      </c>
      <c r="G20" s="7" t="s">
        <v>1764</v>
      </c>
      <c r="H20" s="7" t="s">
        <v>5177</v>
      </c>
      <c r="I20" s="8" t="s">
        <v>221</v>
      </c>
    </row>
    <row r="21" ht="15.75" customHeight="1">
      <c r="A21" s="5">
        <v>17.0</v>
      </c>
      <c r="B21" s="4" t="s">
        <v>5181</v>
      </c>
      <c r="C21" s="5" t="s">
        <v>5062</v>
      </c>
      <c r="D21" s="4" t="s">
        <v>5182</v>
      </c>
      <c r="E21" s="4" t="s">
        <v>5184</v>
      </c>
      <c r="F21" s="4" t="s">
        <v>5185</v>
      </c>
      <c r="G21" s="4" t="s">
        <v>5187</v>
      </c>
      <c r="H21" s="4" t="s">
        <v>5189</v>
      </c>
      <c r="I21" s="5" t="s">
        <v>221</v>
      </c>
    </row>
    <row r="22" ht="15.75" customHeight="1">
      <c r="A22" s="8">
        <v>18.0</v>
      </c>
      <c r="B22" s="7" t="s">
        <v>5191</v>
      </c>
      <c r="C22" s="8" t="s">
        <v>5062</v>
      </c>
      <c r="D22" s="7" t="s">
        <v>1310</v>
      </c>
      <c r="E22" s="7" t="s">
        <v>5194</v>
      </c>
      <c r="F22" s="7" t="s">
        <v>5196</v>
      </c>
      <c r="G22" s="7" t="s">
        <v>1668</v>
      </c>
      <c r="H22" s="7" t="s">
        <v>5199</v>
      </c>
      <c r="I22" s="8" t="s">
        <v>315</v>
      </c>
    </row>
    <row r="23" ht="15.75" customHeight="1">
      <c r="A23" s="5">
        <v>19.0</v>
      </c>
      <c r="B23" s="4" t="s">
        <v>5200</v>
      </c>
      <c r="C23" s="5" t="s">
        <v>5062</v>
      </c>
      <c r="D23" s="4" t="s">
        <v>5203</v>
      </c>
      <c r="E23" s="4" t="s">
        <v>2527</v>
      </c>
      <c r="F23" s="4" t="s">
        <v>5205</v>
      </c>
      <c r="G23" s="4" t="s">
        <v>1668</v>
      </c>
      <c r="H23" s="4" t="s">
        <v>5206</v>
      </c>
      <c r="I23" s="5" t="s">
        <v>315</v>
      </c>
    </row>
    <row r="24" ht="15.75" customHeight="1">
      <c r="A24" s="8">
        <v>20.0</v>
      </c>
      <c r="B24" s="7" t="s">
        <v>5210</v>
      </c>
      <c r="C24" s="8" t="s">
        <v>5062</v>
      </c>
      <c r="D24" s="7" t="s">
        <v>5212</v>
      </c>
      <c r="E24" s="7" t="s">
        <v>2415</v>
      </c>
      <c r="F24" s="7" t="s">
        <v>5213</v>
      </c>
      <c r="G24" s="7" t="s">
        <v>1799</v>
      </c>
      <c r="H24" s="7" t="s">
        <v>5214</v>
      </c>
      <c r="I24" s="8" t="s">
        <v>315</v>
      </c>
    </row>
    <row r="25" ht="15.75" customHeight="1">
      <c r="A25" s="5">
        <v>21.0</v>
      </c>
      <c r="B25" s="4" t="s">
        <v>5218</v>
      </c>
      <c r="C25" s="5" t="s">
        <v>5062</v>
      </c>
      <c r="D25" s="4" t="s">
        <v>5219</v>
      </c>
      <c r="E25" s="4" t="s">
        <v>2427</v>
      </c>
      <c r="F25" s="4" t="s">
        <v>5221</v>
      </c>
      <c r="G25" s="4" t="s">
        <v>1803</v>
      </c>
      <c r="H25" s="4" t="s">
        <v>5222</v>
      </c>
      <c r="I25" s="5" t="s">
        <v>315</v>
      </c>
    </row>
    <row r="26" ht="15.75" customHeight="1">
      <c r="A26" s="8">
        <v>22.0</v>
      </c>
      <c r="B26" s="7" t="s">
        <v>5223</v>
      </c>
      <c r="C26" s="8" t="s">
        <v>5062</v>
      </c>
      <c r="D26" s="7" t="s">
        <v>381</v>
      </c>
      <c r="E26" s="7" t="s">
        <v>5226</v>
      </c>
      <c r="F26" s="7" t="s">
        <v>5228</v>
      </c>
      <c r="G26" s="7" t="s">
        <v>5229</v>
      </c>
      <c r="H26" s="7" t="s">
        <v>5230</v>
      </c>
      <c r="I26" s="8" t="s">
        <v>221</v>
      </c>
    </row>
    <row r="27" ht="15.75" customHeight="1">
      <c r="A27" s="5">
        <v>23.0</v>
      </c>
      <c r="B27" s="4" t="s">
        <v>5233</v>
      </c>
      <c r="C27" s="5" t="s">
        <v>5062</v>
      </c>
      <c r="D27" s="4" t="s">
        <v>5236</v>
      </c>
      <c r="E27" s="4" t="s">
        <v>5237</v>
      </c>
      <c r="F27" s="4" t="s">
        <v>5238</v>
      </c>
      <c r="G27" s="4" t="s">
        <v>5240</v>
      </c>
      <c r="H27" s="4" t="s">
        <v>5241</v>
      </c>
      <c r="I27" s="5" t="s">
        <v>5243</v>
      </c>
    </row>
    <row r="28" ht="15.75" customHeight="1">
      <c r="A28" s="8">
        <v>24.0</v>
      </c>
      <c r="B28" s="7" t="s">
        <v>5246</v>
      </c>
      <c r="C28" s="8" t="s">
        <v>5062</v>
      </c>
      <c r="D28" s="7" t="s">
        <v>2012</v>
      </c>
      <c r="E28" s="7" t="s">
        <v>5248</v>
      </c>
      <c r="F28" s="7" t="s">
        <v>5249</v>
      </c>
      <c r="G28" s="7" t="s">
        <v>5251</v>
      </c>
      <c r="H28" s="7" t="s">
        <v>5253</v>
      </c>
      <c r="I28" s="8" t="s">
        <v>375</v>
      </c>
    </row>
    <row r="29" ht="15.75" customHeight="1">
      <c r="A29" s="5">
        <v>25.0</v>
      </c>
      <c r="B29" s="4" t="s">
        <v>5255</v>
      </c>
      <c r="C29" s="5" t="s">
        <v>5062</v>
      </c>
      <c r="D29" s="4" t="s">
        <v>2012</v>
      </c>
      <c r="E29" s="4" t="s">
        <v>5258</v>
      </c>
      <c r="F29" s="4" t="s">
        <v>5260</v>
      </c>
      <c r="G29" s="4" t="s">
        <v>1253</v>
      </c>
      <c r="H29" s="4" t="s">
        <v>5262</v>
      </c>
      <c r="I29" s="5" t="s">
        <v>375</v>
      </c>
    </row>
    <row r="30" ht="15.75" customHeight="1">
      <c r="A30" s="8">
        <v>26.0</v>
      </c>
      <c r="B30" s="7" t="s">
        <v>5264</v>
      </c>
      <c r="C30" s="8" t="s">
        <v>5022</v>
      </c>
      <c r="D30" s="7" t="s">
        <v>5267</v>
      </c>
      <c r="E30" s="7" t="s">
        <v>5269</v>
      </c>
      <c r="F30" s="7" t="s">
        <v>5270</v>
      </c>
      <c r="G30" s="7" t="s">
        <v>5271</v>
      </c>
      <c r="H30" s="7" t="s">
        <v>5272</v>
      </c>
      <c r="I30" s="8" t="s">
        <v>5274</v>
      </c>
    </row>
    <row r="31" ht="15.75" customHeight="1"/>
    <row r="32" ht="15.75" customHeight="1">
      <c r="A32" s="9" t="s">
        <v>5279</v>
      </c>
    </row>
    <row r="33" ht="15.75" customHeight="1">
      <c r="A33" s="10" t="s">
        <v>5283</v>
      </c>
      <c r="B33" s="11">
        <f>COUNTA($B$5:$B$30)</f>
        <v>26</v>
      </c>
    </row>
    <row r="34" ht="15.75" customHeight="1">
      <c r="A34" s="10" t="s">
        <v>5316</v>
      </c>
      <c r="B34" s="11">
        <f>COUNTIF($I$5:$I$30,"*P0*")+COUNTIF($I$5:$I$30,"*P1*")</f>
        <v>21</v>
      </c>
    </row>
    <row r="35" ht="15.75" customHeight="1">
      <c r="A35" s="10" t="s">
        <v>5332</v>
      </c>
      <c r="B35" s="11">
        <f>COUNTIF($C$5:$C$30,"WIP")</f>
        <v>8</v>
      </c>
    </row>
    <row r="36" ht="15.75" customHeight="1">
      <c r="A36" s="10" t="s">
        <v>5341</v>
      </c>
      <c r="B36" s="11">
        <f>COUNTIF($C$5:$C$30,"Done")</f>
        <v>18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30"/>
  <mergeCells count="2">
    <mergeCell ref="A1:I1"/>
    <mergeCell ref="A2:I2"/>
  </mergeCells>
  <printOptions/>
  <pageMargins bottom="1.0" footer="0.0" header="0.0" left="0.75" right="0.75" top="1.0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14.0"/>
    <col customWidth="1" min="3" max="3" width="56.0"/>
    <col customWidth="1" min="4" max="4" width="46.0"/>
    <col customWidth="1" min="5" max="5" width="66.0"/>
    <col customWidth="1" min="6" max="6" width="22.0"/>
    <col customWidth="1" min="7" max="7" width="12.0"/>
    <col customWidth="1" min="8" max="26" width="8.71"/>
  </cols>
  <sheetData>
    <row r="1" ht="19.5" customHeight="1">
      <c r="A1" s="1" t="s">
        <v>4998</v>
      </c>
    </row>
    <row r="2" ht="25.5" customHeight="1">
      <c r="A2" s="2" t="s">
        <v>5000</v>
      </c>
    </row>
    <row r="4" ht="30.0" customHeight="1">
      <c r="A4" s="3" t="s">
        <v>5002</v>
      </c>
      <c r="B4" s="3" t="s">
        <v>5003</v>
      </c>
      <c r="C4" s="3" t="s">
        <v>5004</v>
      </c>
      <c r="D4" s="3" t="s">
        <v>5005</v>
      </c>
      <c r="E4" s="3" t="s">
        <v>5006</v>
      </c>
      <c r="F4" s="3" t="s">
        <v>2632</v>
      </c>
      <c r="G4" s="3" t="s">
        <v>501</v>
      </c>
    </row>
    <row r="5">
      <c r="A5" s="6" t="s">
        <v>5010</v>
      </c>
      <c r="B5" s="6"/>
      <c r="C5" s="6"/>
      <c r="D5" s="6"/>
      <c r="E5" s="6"/>
      <c r="F5" s="6"/>
      <c r="G5" s="6"/>
    </row>
    <row r="6">
      <c r="A6" s="8" t="s">
        <v>5016</v>
      </c>
      <c r="B6" s="8" t="s">
        <v>5017</v>
      </c>
      <c r="C6" s="7" t="s">
        <v>5018</v>
      </c>
      <c r="D6" s="7" t="s">
        <v>5019</v>
      </c>
      <c r="E6" s="7" t="s">
        <v>5021</v>
      </c>
      <c r="F6" s="8" t="s">
        <v>1412</v>
      </c>
      <c r="G6" s="8" t="s">
        <v>5024</v>
      </c>
    </row>
    <row r="7">
      <c r="A7" s="5" t="s">
        <v>3055</v>
      </c>
      <c r="B7" s="5" t="s">
        <v>5017</v>
      </c>
      <c r="C7" s="4" t="s">
        <v>5029</v>
      </c>
      <c r="D7" s="4" t="s">
        <v>5030</v>
      </c>
      <c r="E7" s="4" t="s">
        <v>5031</v>
      </c>
      <c r="F7" s="5" t="s">
        <v>1447</v>
      </c>
      <c r="G7" s="5" t="s">
        <v>5024</v>
      </c>
    </row>
    <row r="8">
      <c r="A8" s="8" t="s">
        <v>5033</v>
      </c>
      <c r="B8" s="8" t="s">
        <v>5017</v>
      </c>
      <c r="C8" s="7" t="s">
        <v>5036</v>
      </c>
      <c r="D8" s="7" t="s">
        <v>5030</v>
      </c>
      <c r="E8" s="7" t="s">
        <v>5039</v>
      </c>
      <c r="F8" s="8" t="s">
        <v>1468</v>
      </c>
      <c r="G8" s="8" t="s">
        <v>5024</v>
      </c>
    </row>
    <row r="9">
      <c r="A9" s="5" t="s">
        <v>3067</v>
      </c>
      <c r="B9" s="5" t="s">
        <v>5017</v>
      </c>
      <c r="C9" s="4" t="s">
        <v>5042</v>
      </c>
      <c r="D9" s="4" t="s">
        <v>5030</v>
      </c>
      <c r="E9" s="4" t="s">
        <v>5045</v>
      </c>
      <c r="F9" s="5" t="s">
        <v>1483</v>
      </c>
      <c r="G9" s="5" t="s">
        <v>5024</v>
      </c>
    </row>
    <row r="10">
      <c r="A10" s="8" t="s">
        <v>3086</v>
      </c>
      <c r="B10" s="8" t="s">
        <v>5017</v>
      </c>
      <c r="C10" s="7" t="s">
        <v>5050</v>
      </c>
      <c r="D10" s="7" t="s">
        <v>5030</v>
      </c>
      <c r="E10" s="7" t="s">
        <v>5052</v>
      </c>
      <c r="F10" s="8" t="s">
        <v>1527</v>
      </c>
      <c r="G10" s="8" t="s">
        <v>5024</v>
      </c>
    </row>
    <row r="11">
      <c r="A11" s="5" t="s">
        <v>5055</v>
      </c>
      <c r="B11" s="5" t="s">
        <v>5017</v>
      </c>
      <c r="C11" s="4" t="s">
        <v>5058</v>
      </c>
      <c r="D11" s="4" t="s">
        <v>5059</v>
      </c>
      <c r="E11" s="4" t="s">
        <v>5060</v>
      </c>
      <c r="F11" s="5" t="s">
        <v>1574</v>
      </c>
      <c r="G11" s="5" t="s">
        <v>5024</v>
      </c>
    </row>
    <row r="12">
      <c r="A12" s="8" t="s">
        <v>5064</v>
      </c>
      <c r="B12" s="8" t="s">
        <v>5017</v>
      </c>
      <c r="C12" s="7" t="s">
        <v>5067</v>
      </c>
      <c r="D12" s="7" t="s">
        <v>5069</v>
      </c>
      <c r="E12" s="7" t="s">
        <v>5071</v>
      </c>
      <c r="F12" s="8" t="s">
        <v>1619</v>
      </c>
      <c r="G12" s="8" t="s">
        <v>5024</v>
      </c>
    </row>
    <row r="13">
      <c r="A13" s="5" t="s">
        <v>5048</v>
      </c>
      <c r="B13" s="5" t="s">
        <v>5017</v>
      </c>
      <c r="C13" s="4" t="s">
        <v>5074</v>
      </c>
      <c r="D13" s="4" t="s">
        <v>5075</v>
      </c>
      <c r="E13" s="4" t="s">
        <v>5077</v>
      </c>
      <c r="F13" s="5" t="s">
        <v>1632</v>
      </c>
      <c r="G13" s="5" t="s">
        <v>5024</v>
      </c>
    </row>
    <row r="14">
      <c r="A14" s="8" t="s">
        <v>5079</v>
      </c>
      <c r="B14" s="8" t="s">
        <v>5017</v>
      </c>
      <c r="C14" s="7" t="s">
        <v>5081</v>
      </c>
      <c r="D14" s="7" t="s">
        <v>5082</v>
      </c>
      <c r="E14" s="7" t="s">
        <v>5084</v>
      </c>
      <c r="F14" s="8" t="s">
        <v>1673</v>
      </c>
      <c r="G14" s="8" t="s">
        <v>5024</v>
      </c>
    </row>
    <row r="15">
      <c r="A15" s="5" t="s">
        <v>5088</v>
      </c>
      <c r="B15" s="5" t="s">
        <v>5017</v>
      </c>
      <c r="C15" s="4" t="s">
        <v>5090</v>
      </c>
      <c r="D15" s="4" t="s">
        <v>5091</v>
      </c>
      <c r="E15" s="4" t="s">
        <v>5093</v>
      </c>
      <c r="F15" s="5" t="s">
        <v>1681</v>
      </c>
      <c r="G15" s="5" t="s">
        <v>5024</v>
      </c>
    </row>
    <row r="16">
      <c r="A16" s="8" t="s">
        <v>3180</v>
      </c>
      <c r="B16" s="8" t="s">
        <v>5017</v>
      </c>
      <c r="C16" s="7" t="s">
        <v>5098</v>
      </c>
      <c r="D16" s="7" t="s">
        <v>5100</v>
      </c>
      <c r="E16" s="7" t="s">
        <v>5101</v>
      </c>
      <c r="F16" s="8" t="s">
        <v>1697</v>
      </c>
      <c r="G16" s="8" t="s">
        <v>5024</v>
      </c>
    </row>
    <row r="17">
      <c r="A17" s="5" t="s">
        <v>5103</v>
      </c>
      <c r="B17" s="5" t="s">
        <v>5017</v>
      </c>
      <c r="C17" s="4" t="s">
        <v>5105</v>
      </c>
      <c r="D17" s="4" t="s">
        <v>5107</v>
      </c>
      <c r="E17" s="4" t="s">
        <v>5109</v>
      </c>
      <c r="F17" s="5" t="s">
        <v>1720</v>
      </c>
      <c r="G17" s="5" t="s">
        <v>5024</v>
      </c>
    </row>
    <row r="18">
      <c r="A18" s="8" t="s">
        <v>5112</v>
      </c>
      <c r="B18" s="8" t="s">
        <v>5017</v>
      </c>
      <c r="C18" s="7" t="s">
        <v>5114</v>
      </c>
      <c r="D18" s="7" t="s">
        <v>5116</v>
      </c>
      <c r="E18" s="7" t="s">
        <v>5118</v>
      </c>
      <c r="F18" s="8" t="s">
        <v>1729</v>
      </c>
      <c r="G18" s="8" t="s">
        <v>5024</v>
      </c>
    </row>
    <row r="19">
      <c r="A19" s="5" t="s">
        <v>5122</v>
      </c>
      <c r="B19" s="5" t="s">
        <v>5017</v>
      </c>
      <c r="C19" s="4" t="s">
        <v>5123</v>
      </c>
      <c r="D19" s="4" t="s">
        <v>5127</v>
      </c>
      <c r="E19" s="4" t="s">
        <v>5129</v>
      </c>
      <c r="F19" s="5" t="s">
        <v>1767</v>
      </c>
      <c r="G19" s="5" t="s">
        <v>5024</v>
      </c>
    </row>
    <row r="20">
      <c r="A20" s="8" t="s">
        <v>5132</v>
      </c>
      <c r="B20" s="8" t="s">
        <v>5017</v>
      </c>
      <c r="C20" s="7" t="s">
        <v>5134</v>
      </c>
      <c r="D20" s="7" t="s">
        <v>5135</v>
      </c>
      <c r="E20" s="7" t="s">
        <v>5136</v>
      </c>
      <c r="F20" s="8" t="s">
        <v>1514</v>
      </c>
      <c r="G20" s="8" t="s">
        <v>5024</v>
      </c>
    </row>
    <row r="21" ht="15.75" customHeight="1">
      <c r="A21" s="5" t="s">
        <v>5140</v>
      </c>
      <c r="B21" s="5" t="s">
        <v>5017</v>
      </c>
      <c r="C21" s="4" t="s">
        <v>5142</v>
      </c>
      <c r="D21" s="4" t="s">
        <v>5143</v>
      </c>
      <c r="E21" s="4" t="s">
        <v>5145</v>
      </c>
      <c r="F21" s="5" t="s">
        <v>1830</v>
      </c>
      <c r="G21" s="5" t="s">
        <v>5024</v>
      </c>
    </row>
    <row r="22" ht="15.75" customHeight="1">
      <c r="A22" s="6" t="s">
        <v>5147</v>
      </c>
      <c r="B22" s="6"/>
      <c r="C22" s="6"/>
      <c r="D22" s="6"/>
      <c r="E22" s="6"/>
      <c r="F22" s="6"/>
      <c r="G22" s="6"/>
    </row>
    <row r="23" ht="15.75" customHeight="1">
      <c r="A23" s="5" t="s">
        <v>5151</v>
      </c>
      <c r="B23" s="5" t="s">
        <v>226</v>
      </c>
      <c r="C23" s="4" t="s">
        <v>5153</v>
      </c>
      <c r="D23" s="4" t="s">
        <v>5155</v>
      </c>
      <c r="E23" s="4" t="s">
        <v>5157</v>
      </c>
      <c r="F23" s="5" t="s">
        <v>2016</v>
      </c>
      <c r="G23" s="5" t="s">
        <v>5024</v>
      </c>
    </row>
    <row r="24" ht="15.75" customHeight="1">
      <c r="A24" s="8" t="s">
        <v>3414</v>
      </c>
      <c r="B24" s="8" t="s">
        <v>226</v>
      </c>
      <c r="C24" s="7" t="s">
        <v>5161</v>
      </c>
      <c r="D24" s="7" t="s">
        <v>5163</v>
      </c>
      <c r="E24" s="7" t="s">
        <v>5165</v>
      </c>
      <c r="F24" s="8" t="s">
        <v>2058</v>
      </c>
      <c r="G24" s="8" t="s">
        <v>5024</v>
      </c>
    </row>
    <row r="25" ht="15.75" customHeight="1">
      <c r="A25" s="5" t="s">
        <v>5169</v>
      </c>
      <c r="B25" s="5" t="s">
        <v>226</v>
      </c>
      <c r="C25" s="4" t="s">
        <v>497</v>
      </c>
      <c r="D25" s="4" t="s">
        <v>5171</v>
      </c>
      <c r="E25" s="4" t="s">
        <v>5172</v>
      </c>
      <c r="F25" s="5" t="s">
        <v>2089</v>
      </c>
      <c r="G25" s="5" t="s">
        <v>5024</v>
      </c>
    </row>
    <row r="26" ht="15.75" customHeight="1">
      <c r="A26" s="8" t="s">
        <v>5176</v>
      </c>
      <c r="B26" s="8" t="s">
        <v>226</v>
      </c>
      <c r="C26" s="7" t="s">
        <v>5178</v>
      </c>
      <c r="D26" s="7" t="s">
        <v>5179</v>
      </c>
      <c r="E26" s="7" t="s">
        <v>5180</v>
      </c>
      <c r="F26" s="8" t="s">
        <v>2191</v>
      </c>
      <c r="G26" s="8" t="s">
        <v>5024</v>
      </c>
    </row>
    <row r="27" ht="15.75" customHeight="1">
      <c r="A27" s="5" t="s">
        <v>5183</v>
      </c>
      <c r="B27" s="5" t="s">
        <v>226</v>
      </c>
      <c r="C27" s="4" t="s">
        <v>5186</v>
      </c>
      <c r="D27" s="4" t="s">
        <v>5188</v>
      </c>
      <c r="E27" s="4" t="s">
        <v>5190</v>
      </c>
      <c r="F27" s="5" t="s">
        <v>2210</v>
      </c>
      <c r="G27" s="5" t="s">
        <v>5024</v>
      </c>
    </row>
    <row r="28" ht="15.75" customHeight="1">
      <c r="A28" s="8" t="s">
        <v>5192</v>
      </c>
      <c r="B28" s="8" t="s">
        <v>226</v>
      </c>
      <c r="C28" s="7" t="s">
        <v>5193</v>
      </c>
      <c r="D28" s="7" t="s">
        <v>5195</v>
      </c>
      <c r="E28" s="7" t="s">
        <v>5197</v>
      </c>
      <c r="F28" s="8" t="s">
        <v>5198</v>
      </c>
      <c r="G28" s="8" t="s">
        <v>5024</v>
      </c>
    </row>
    <row r="29" ht="15.75" customHeight="1">
      <c r="A29" s="5" t="s">
        <v>2777</v>
      </c>
      <c r="B29" s="5" t="s">
        <v>226</v>
      </c>
      <c r="C29" s="4" t="s">
        <v>5201</v>
      </c>
      <c r="D29" s="4" t="s">
        <v>5202</v>
      </c>
      <c r="E29" s="4" t="s">
        <v>5204</v>
      </c>
      <c r="F29" s="5" t="s">
        <v>708</v>
      </c>
      <c r="G29" s="5" t="s">
        <v>5024</v>
      </c>
    </row>
    <row r="30" ht="15.75" customHeight="1">
      <c r="A30" s="8" t="s">
        <v>5207</v>
      </c>
      <c r="B30" s="8" t="s">
        <v>226</v>
      </c>
      <c r="C30" s="7" t="s">
        <v>5208</v>
      </c>
      <c r="D30" s="7" t="s">
        <v>5209</v>
      </c>
      <c r="E30" s="7" t="s">
        <v>5211</v>
      </c>
      <c r="F30" s="8" t="s">
        <v>2436</v>
      </c>
      <c r="G30" s="8" t="s">
        <v>5024</v>
      </c>
    </row>
    <row r="31" ht="15.75" customHeight="1">
      <c r="A31" s="5" t="s">
        <v>3508</v>
      </c>
      <c r="B31" s="5" t="s">
        <v>226</v>
      </c>
      <c r="C31" s="4" t="s">
        <v>5215</v>
      </c>
      <c r="D31" s="4" t="s">
        <v>5216</v>
      </c>
      <c r="E31" s="4" t="s">
        <v>5217</v>
      </c>
      <c r="F31" s="5" t="s">
        <v>2471</v>
      </c>
      <c r="G31" s="5" t="s">
        <v>5024</v>
      </c>
    </row>
    <row r="32" ht="15.75" customHeight="1">
      <c r="A32" s="6" t="s">
        <v>5220</v>
      </c>
      <c r="B32" s="6"/>
      <c r="C32" s="6"/>
      <c r="D32" s="6"/>
      <c r="E32" s="6"/>
      <c r="F32" s="6"/>
      <c r="G32" s="6"/>
    </row>
    <row r="33" ht="15.75" customHeight="1">
      <c r="A33" s="5" t="s">
        <v>3661</v>
      </c>
      <c r="B33" s="5" t="s">
        <v>236</v>
      </c>
      <c r="C33" s="4" t="s">
        <v>5224</v>
      </c>
      <c r="D33" s="4" t="s">
        <v>5225</v>
      </c>
      <c r="E33" s="4" t="s">
        <v>5227</v>
      </c>
      <c r="F33" s="5" t="s">
        <v>2892</v>
      </c>
      <c r="G33" s="5" t="s">
        <v>5024</v>
      </c>
    </row>
    <row r="34" ht="15.75" customHeight="1">
      <c r="A34" s="8" t="s">
        <v>5231</v>
      </c>
      <c r="B34" s="8" t="s">
        <v>236</v>
      </c>
      <c r="C34" s="7" t="s">
        <v>5232</v>
      </c>
      <c r="D34" s="7" t="s">
        <v>5234</v>
      </c>
      <c r="E34" s="7" t="s">
        <v>5235</v>
      </c>
      <c r="F34" s="8" t="s">
        <v>2947</v>
      </c>
      <c r="G34" s="8" t="s">
        <v>5024</v>
      </c>
    </row>
    <row r="35" ht="15.75" customHeight="1">
      <c r="A35" s="5" t="s">
        <v>5239</v>
      </c>
      <c r="B35" s="5" t="s">
        <v>236</v>
      </c>
      <c r="C35" s="4" t="s">
        <v>5242</v>
      </c>
      <c r="D35" s="4" t="s">
        <v>5244</v>
      </c>
      <c r="E35" s="4" t="s">
        <v>5245</v>
      </c>
      <c r="F35" s="5" t="s">
        <v>3042</v>
      </c>
      <c r="G35" s="5" t="s">
        <v>5024</v>
      </c>
    </row>
    <row r="36" ht="15.75" customHeight="1">
      <c r="A36" s="8" t="s">
        <v>5247</v>
      </c>
      <c r="B36" s="8" t="s">
        <v>236</v>
      </c>
      <c r="C36" s="7" t="s">
        <v>5250</v>
      </c>
      <c r="D36" s="7" t="s">
        <v>5252</v>
      </c>
      <c r="E36" s="7" t="s">
        <v>5254</v>
      </c>
      <c r="F36" s="8" t="s">
        <v>3221</v>
      </c>
      <c r="G36" s="8" t="s">
        <v>5024</v>
      </c>
    </row>
    <row r="37" ht="15.75" customHeight="1">
      <c r="A37" s="5" t="s">
        <v>5256</v>
      </c>
      <c r="B37" s="5" t="s">
        <v>1276</v>
      </c>
      <c r="C37" s="4" t="s">
        <v>5257</v>
      </c>
      <c r="D37" s="4" t="s">
        <v>5259</v>
      </c>
      <c r="E37" s="4" t="s">
        <v>5261</v>
      </c>
      <c r="F37" s="5" t="s">
        <v>4504</v>
      </c>
      <c r="G37" s="5" t="s">
        <v>5263</v>
      </c>
    </row>
    <row r="38" ht="15.75" customHeight="1">
      <c r="A38" s="8" t="s">
        <v>4532</v>
      </c>
      <c r="B38" s="8" t="s">
        <v>1276</v>
      </c>
      <c r="C38" s="7" t="s">
        <v>5265</v>
      </c>
      <c r="D38" s="7" t="s">
        <v>5266</v>
      </c>
      <c r="E38" s="7" t="s">
        <v>5268</v>
      </c>
      <c r="F38" s="8" t="s">
        <v>4528</v>
      </c>
      <c r="G38" s="8" t="s">
        <v>5024</v>
      </c>
    </row>
    <row r="39" ht="15.75" customHeight="1">
      <c r="A39" s="5" t="s">
        <v>5273</v>
      </c>
      <c r="B39" s="5" t="s">
        <v>5275</v>
      </c>
      <c r="C39" s="4" t="s">
        <v>5276</v>
      </c>
      <c r="D39" s="4" t="s">
        <v>5277</v>
      </c>
      <c r="E39" s="4" t="s">
        <v>5278</v>
      </c>
      <c r="F39" s="5" t="s">
        <v>5280</v>
      </c>
      <c r="G39" s="5" t="s">
        <v>5024</v>
      </c>
    </row>
    <row r="40" ht="15.75" customHeight="1">
      <c r="A40" s="6" t="s">
        <v>5281</v>
      </c>
      <c r="B40" s="6"/>
      <c r="C40" s="6"/>
      <c r="D40" s="6"/>
      <c r="E40" s="6"/>
      <c r="F40" s="6"/>
      <c r="G40" s="6"/>
    </row>
    <row r="41" ht="15.75" customHeight="1">
      <c r="A41" s="5" t="s">
        <v>5282</v>
      </c>
      <c r="B41" s="5" t="s">
        <v>5284</v>
      </c>
      <c r="C41" s="4" t="s">
        <v>5285</v>
      </c>
      <c r="D41" s="4" t="s">
        <v>5286</v>
      </c>
      <c r="E41" s="4" t="s">
        <v>5287</v>
      </c>
      <c r="F41" s="5" t="s">
        <v>594</v>
      </c>
      <c r="G41" s="5" t="s">
        <v>5288</v>
      </c>
    </row>
    <row r="42" ht="15.75" customHeight="1">
      <c r="A42" s="8" t="s">
        <v>5290</v>
      </c>
      <c r="B42" s="8" t="s">
        <v>5291</v>
      </c>
      <c r="C42" s="7" t="s">
        <v>5292</v>
      </c>
      <c r="D42" s="7" t="s">
        <v>5293</v>
      </c>
      <c r="E42" s="7" t="s">
        <v>5294</v>
      </c>
      <c r="F42" s="8" t="s">
        <v>4034</v>
      </c>
      <c r="G42" s="8" t="s">
        <v>5024</v>
      </c>
    </row>
    <row r="43" ht="15.75" customHeight="1">
      <c r="A43" s="5" t="s">
        <v>4295</v>
      </c>
      <c r="B43" s="5" t="s">
        <v>5291</v>
      </c>
      <c r="C43" s="4" t="s">
        <v>5296</v>
      </c>
      <c r="D43" s="4" t="s">
        <v>5297</v>
      </c>
      <c r="E43" s="4" t="s">
        <v>5298</v>
      </c>
      <c r="F43" s="5" t="s">
        <v>4077</v>
      </c>
      <c r="G43" s="5" t="s">
        <v>5263</v>
      </c>
    </row>
    <row r="44" ht="15.75" customHeight="1">
      <c r="A44" s="8" t="s">
        <v>4302</v>
      </c>
      <c r="B44" s="8" t="s">
        <v>5291</v>
      </c>
      <c r="C44" s="7" t="s">
        <v>5300</v>
      </c>
      <c r="D44" s="7" t="s">
        <v>5302</v>
      </c>
      <c r="E44" s="7" t="s">
        <v>5303</v>
      </c>
      <c r="F44" s="8" t="s">
        <v>4102</v>
      </c>
      <c r="G44" s="8" t="s">
        <v>5024</v>
      </c>
    </row>
    <row r="45" ht="15.75" customHeight="1">
      <c r="A45" s="5" t="s">
        <v>4323</v>
      </c>
      <c r="B45" s="5" t="s">
        <v>5291</v>
      </c>
      <c r="C45" s="4" t="s">
        <v>5305</v>
      </c>
      <c r="D45" s="4" t="s">
        <v>5306</v>
      </c>
      <c r="E45" s="4" t="s">
        <v>5308</v>
      </c>
      <c r="F45" s="5" t="s">
        <v>4260</v>
      </c>
      <c r="G45" s="5" t="s">
        <v>5024</v>
      </c>
    </row>
    <row r="46" ht="15.75" customHeight="1">
      <c r="A46" s="8" t="s">
        <v>4342</v>
      </c>
      <c r="B46" s="8" t="s">
        <v>5291</v>
      </c>
      <c r="C46" s="7" t="s">
        <v>5311</v>
      </c>
      <c r="D46" s="7" t="s">
        <v>5312</v>
      </c>
      <c r="E46" s="7" t="s">
        <v>5314</v>
      </c>
      <c r="F46" s="8" t="s">
        <v>4309</v>
      </c>
      <c r="G46" s="8" t="s">
        <v>5024</v>
      </c>
    </row>
    <row r="47" ht="15.75" customHeight="1">
      <c r="A47" s="5" t="s">
        <v>4235</v>
      </c>
      <c r="B47" s="5" t="s">
        <v>1246</v>
      </c>
      <c r="C47" s="4" t="s">
        <v>5315</v>
      </c>
      <c r="D47" s="4" t="s">
        <v>5317</v>
      </c>
      <c r="E47" s="4" t="s">
        <v>5318</v>
      </c>
      <c r="F47" s="5" t="s">
        <v>3792</v>
      </c>
      <c r="G47" s="5" t="s">
        <v>5024</v>
      </c>
    </row>
    <row r="48" ht="15.75" customHeight="1">
      <c r="A48" s="8" t="s">
        <v>5320</v>
      </c>
      <c r="B48" s="8" t="s">
        <v>1246</v>
      </c>
      <c r="C48" s="7" t="s">
        <v>5321</v>
      </c>
      <c r="D48" s="7" t="s">
        <v>5322</v>
      </c>
      <c r="E48" s="7" t="s">
        <v>5323</v>
      </c>
      <c r="F48" s="8" t="s">
        <v>3291</v>
      </c>
      <c r="G48" s="8" t="s">
        <v>5024</v>
      </c>
    </row>
    <row r="49" ht="15.75" customHeight="1">
      <c r="A49" s="5" t="s">
        <v>5253</v>
      </c>
      <c r="B49" s="5" t="s">
        <v>292</v>
      </c>
      <c r="C49" s="4" t="s">
        <v>5325</v>
      </c>
      <c r="D49" s="4" t="s">
        <v>5326</v>
      </c>
      <c r="E49" s="4" t="s">
        <v>5327</v>
      </c>
      <c r="F49" s="5" t="s">
        <v>4335</v>
      </c>
      <c r="G49" s="5" t="s">
        <v>5024</v>
      </c>
    </row>
    <row r="50" ht="15.75" customHeight="1">
      <c r="A50" s="8" t="s">
        <v>5262</v>
      </c>
      <c r="B50" s="8" t="s">
        <v>292</v>
      </c>
      <c r="C50" s="7" t="s">
        <v>5330</v>
      </c>
      <c r="D50" s="7" t="s">
        <v>5331</v>
      </c>
      <c r="E50" s="7" t="s">
        <v>5333</v>
      </c>
      <c r="F50" s="8" t="s">
        <v>4346</v>
      </c>
      <c r="G50" s="8" t="s">
        <v>5263</v>
      </c>
    </row>
    <row r="51" ht="15.75" customHeight="1">
      <c r="A51" s="5" t="s">
        <v>5272</v>
      </c>
      <c r="B51" s="5" t="s">
        <v>245</v>
      </c>
      <c r="C51" s="4" t="s">
        <v>5335</v>
      </c>
      <c r="D51" s="4" t="s">
        <v>5336</v>
      </c>
      <c r="E51" s="4" t="s">
        <v>5337</v>
      </c>
      <c r="F51" s="5" t="s">
        <v>3553</v>
      </c>
      <c r="G51" s="5" t="s">
        <v>5024</v>
      </c>
    </row>
    <row r="52" ht="15.75" customHeight="1">
      <c r="A52" s="8" t="s">
        <v>5340</v>
      </c>
      <c r="B52" s="8" t="s">
        <v>310</v>
      </c>
      <c r="C52" s="7" t="s">
        <v>5343</v>
      </c>
      <c r="D52" s="7" t="s">
        <v>5344</v>
      </c>
      <c r="E52" s="7" t="s">
        <v>5345</v>
      </c>
      <c r="F52" s="8" t="s">
        <v>4439</v>
      </c>
      <c r="G52" s="8" t="s">
        <v>5024</v>
      </c>
    </row>
    <row r="53" ht="15.75" customHeight="1">
      <c r="A53" s="6" t="s">
        <v>5347</v>
      </c>
      <c r="B53" s="6"/>
      <c r="C53" s="6"/>
      <c r="D53" s="6"/>
      <c r="E53" s="6"/>
      <c r="F53" s="6"/>
      <c r="G53" s="6"/>
    </row>
    <row r="54" ht="15.75" customHeight="1">
      <c r="A54" s="8" t="s">
        <v>5350</v>
      </c>
      <c r="B54" s="8" t="s">
        <v>236</v>
      </c>
      <c r="C54" s="7" t="s">
        <v>5351</v>
      </c>
      <c r="D54" s="7" t="s">
        <v>5353</v>
      </c>
      <c r="E54" s="7" t="s">
        <v>5354</v>
      </c>
      <c r="F54" s="8" t="s">
        <v>582</v>
      </c>
      <c r="G54" s="8" t="s">
        <v>3635</v>
      </c>
    </row>
    <row r="55" ht="15.75" customHeight="1">
      <c r="A55" s="5" t="s">
        <v>5357</v>
      </c>
      <c r="B55" s="5" t="s">
        <v>236</v>
      </c>
      <c r="C55" s="4" t="s">
        <v>5358</v>
      </c>
      <c r="D55" s="4" t="s">
        <v>5353</v>
      </c>
      <c r="E55" s="4" t="s">
        <v>5354</v>
      </c>
      <c r="F55" s="5" t="s">
        <v>3091</v>
      </c>
      <c r="G55" s="5" t="s">
        <v>3635</v>
      </c>
    </row>
    <row r="56" ht="15.75" customHeight="1">
      <c r="A56" s="8" t="s">
        <v>5361</v>
      </c>
      <c r="B56" s="8" t="s">
        <v>236</v>
      </c>
      <c r="C56" s="7" t="s">
        <v>5363</v>
      </c>
      <c r="D56" s="7" t="s">
        <v>5364</v>
      </c>
      <c r="E56" s="7" t="s">
        <v>5365</v>
      </c>
      <c r="F56" s="8" t="s">
        <v>2693</v>
      </c>
      <c r="G56" s="8" t="s">
        <v>3635</v>
      </c>
    </row>
    <row r="57" ht="15.75" customHeight="1">
      <c r="A57" s="5" t="s">
        <v>5367</v>
      </c>
      <c r="B57" s="5" t="s">
        <v>236</v>
      </c>
      <c r="C57" s="4" t="s">
        <v>5369</v>
      </c>
      <c r="D57" s="4" t="s">
        <v>5370</v>
      </c>
      <c r="E57" s="4" t="s">
        <v>5354</v>
      </c>
      <c r="F57" s="5" t="s">
        <v>2828</v>
      </c>
      <c r="G57" s="5" t="s">
        <v>3635</v>
      </c>
    </row>
    <row r="58" ht="15.75" customHeight="1">
      <c r="A58" s="8" t="s">
        <v>5372</v>
      </c>
      <c r="B58" s="8" t="s">
        <v>5017</v>
      </c>
      <c r="C58" s="7" t="s">
        <v>5373</v>
      </c>
      <c r="D58" s="7" t="s">
        <v>5375</v>
      </c>
      <c r="E58" s="7" t="s">
        <v>5354</v>
      </c>
      <c r="F58" s="8" t="s">
        <v>582</v>
      </c>
      <c r="G58" s="8" t="s">
        <v>3635</v>
      </c>
    </row>
    <row r="59" ht="15.75" customHeight="1">
      <c r="A59" s="5" t="s">
        <v>5378</v>
      </c>
      <c r="B59" s="5" t="s">
        <v>5017</v>
      </c>
      <c r="C59" s="4" t="s">
        <v>5379</v>
      </c>
      <c r="D59" s="4" t="s">
        <v>5375</v>
      </c>
      <c r="E59" s="4" t="s">
        <v>5380</v>
      </c>
      <c r="F59" s="5" t="s">
        <v>1543</v>
      </c>
      <c r="G59" s="5" t="s">
        <v>3635</v>
      </c>
    </row>
    <row r="60" ht="15.75" customHeight="1">
      <c r="A60" s="8" t="s">
        <v>5383</v>
      </c>
      <c r="B60" s="8" t="s">
        <v>5017</v>
      </c>
      <c r="C60" s="7" t="s">
        <v>5385</v>
      </c>
      <c r="D60" s="7" t="s">
        <v>5375</v>
      </c>
      <c r="E60" s="7" t="s">
        <v>5354</v>
      </c>
      <c r="F60" s="8" t="s">
        <v>1483</v>
      </c>
      <c r="G60" s="8" t="s">
        <v>3635</v>
      </c>
    </row>
    <row r="61" ht="15.75" customHeight="1">
      <c r="A61" s="5" t="s">
        <v>5387</v>
      </c>
      <c r="B61" s="5" t="s">
        <v>226</v>
      </c>
      <c r="C61" s="4" t="s">
        <v>5389</v>
      </c>
      <c r="D61" s="4" t="s">
        <v>5391</v>
      </c>
      <c r="E61" s="4" t="s">
        <v>5392</v>
      </c>
      <c r="F61" s="5" t="s">
        <v>2035</v>
      </c>
      <c r="G61" s="5" t="s">
        <v>3635</v>
      </c>
    </row>
    <row r="62" ht="15.75" customHeight="1">
      <c r="A62" s="8" t="s">
        <v>5393</v>
      </c>
      <c r="B62" s="8" t="s">
        <v>169</v>
      </c>
      <c r="C62" s="7" t="s">
        <v>5394</v>
      </c>
      <c r="D62" s="7" t="s">
        <v>5395</v>
      </c>
      <c r="E62" s="7" t="s">
        <v>5396</v>
      </c>
      <c r="F62" s="8" t="s">
        <v>578</v>
      </c>
      <c r="G62" s="8" t="s">
        <v>3635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62"/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16.0"/>
    <col customWidth="1" min="3" max="3" width="70.0"/>
    <col customWidth="1" min="4" max="4" width="9.0"/>
    <col customWidth="1" min="5" max="5" width="8.0"/>
    <col customWidth="1" min="6" max="6" width="13.0"/>
    <col customWidth="1" min="7" max="7" width="18.0"/>
    <col customWidth="1" min="8" max="8" width="12.0"/>
    <col customWidth="1" min="9" max="9" width="64.0"/>
    <col customWidth="1" min="10" max="26" width="8.71"/>
  </cols>
  <sheetData>
    <row r="1" ht="19.5" customHeight="1">
      <c r="A1" s="1" t="s">
        <v>5289</v>
      </c>
    </row>
    <row r="2" ht="25.5" customHeight="1">
      <c r="A2" s="2" t="s">
        <v>5295</v>
      </c>
    </row>
    <row r="4" ht="30.0" customHeight="1">
      <c r="A4" s="3" t="s">
        <v>5299</v>
      </c>
      <c r="B4" s="3" t="s">
        <v>5301</v>
      </c>
      <c r="C4" s="3" t="s">
        <v>5304</v>
      </c>
      <c r="D4" s="3" t="s">
        <v>69</v>
      </c>
      <c r="E4" s="3" t="s">
        <v>95</v>
      </c>
      <c r="F4" s="3" t="s">
        <v>4943</v>
      </c>
      <c r="G4" s="3" t="s">
        <v>5307</v>
      </c>
      <c r="H4" s="3" t="s">
        <v>5309</v>
      </c>
      <c r="I4" s="3" t="s">
        <v>5310</v>
      </c>
    </row>
    <row r="5">
      <c r="A5" s="6" t="s">
        <v>5313</v>
      </c>
      <c r="B5" s="6"/>
      <c r="C5" s="6"/>
      <c r="D5" s="6"/>
      <c r="E5" s="6"/>
      <c r="F5" s="6"/>
      <c r="G5" s="6"/>
      <c r="H5" s="6"/>
      <c r="I5" s="6"/>
    </row>
    <row r="6">
      <c r="A6" s="8" t="s">
        <v>5319</v>
      </c>
      <c r="B6" s="8" t="s">
        <v>169</v>
      </c>
      <c r="C6" s="7" t="s">
        <v>5324</v>
      </c>
      <c r="D6" s="8" t="s">
        <v>154</v>
      </c>
      <c r="E6" s="8" t="s">
        <v>172</v>
      </c>
      <c r="F6" s="8" t="s">
        <v>582</v>
      </c>
      <c r="G6" s="7" t="s">
        <v>582</v>
      </c>
      <c r="H6" s="8">
        <v>8.0</v>
      </c>
      <c r="I6" s="7" t="s">
        <v>5328</v>
      </c>
    </row>
    <row r="7">
      <c r="A7" s="5" t="s">
        <v>5329</v>
      </c>
      <c r="B7" s="5" t="s">
        <v>169</v>
      </c>
      <c r="C7" s="4" t="s">
        <v>5334</v>
      </c>
      <c r="D7" s="5" t="s">
        <v>154</v>
      </c>
      <c r="E7" s="5" t="s">
        <v>172</v>
      </c>
      <c r="F7" s="5" t="s">
        <v>217</v>
      </c>
      <c r="G7" s="4" t="s">
        <v>5319</v>
      </c>
      <c r="H7" s="5">
        <v>6.0</v>
      </c>
      <c r="I7" s="4" t="s">
        <v>5338</v>
      </c>
    </row>
    <row r="8">
      <c r="A8" s="8" t="s">
        <v>5339</v>
      </c>
      <c r="B8" s="8" t="s">
        <v>169</v>
      </c>
      <c r="C8" s="7" t="s">
        <v>5342</v>
      </c>
      <c r="D8" s="8" t="s">
        <v>154</v>
      </c>
      <c r="E8" s="8" t="s">
        <v>172</v>
      </c>
      <c r="F8" s="8" t="s">
        <v>217</v>
      </c>
      <c r="G8" s="7" t="s">
        <v>5329</v>
      </c>
      <c r="H8" s="8">
        <v>6.0</v>
      </c>
      <c r="I8" s="7" t="s">
        <v>5346</v>
      </c>
    </row>
    <row r="9">
      <c r="A9" s="5" t="s">
        <v>5348</v>
      </c>
      <c r="B9" s="5" t="s">
        <v>169</v>
      </c>
      <c r="C9" s="4" t="s">
        <v>5349</v>
      </c>
      <c r="D9" s="5" t="s">
        <v>154</v>
      </c>
      <c r="E9" s="5" t="s">
        <v>172</v>
      </c>
      <c r="F9" s="5" t="s">
        <v>217</v>
      </c>
      <c r="G9" s="4" t="s">
        <v>5339</v>
      </c>
      <c r="H9" s="5">
        <v>8.0</v>
      </c>
      <c r="I9" s="4" t="s">
        <v>5352</v>
      </c>
    </row>
    <row r="10">
      <c r="A10" s="8" t="s">
        <v>5355</v>
      </c>
      <c r="B10" s="8" t="s">
        <v>169</v>
      </c>
      <c r="C10" s="7" t="s">
        <v>5356</v>
      </c>
      <c r="D10" s="8" t="s">
        <v>154</v>
      </c>
      <c r="E10" s="8" t="s">
        <v>172</v>
      </c>
      <c r="F10" s="8" t="s">
        <v>316</v>
      </c>
      <c r="G10" s="7" t="s">
        <v>5329</v>
      </c>
      <c r="H10" s="8">
        <v>8.0</v>
      </c>
      <c r="I10" s="7" t="s">
        <v>5359</v>
      </c>
    </row>
    <row r="11">
      <c r="A11" s="5" t="s">
        <v>5360</v>
      </c>
      <c r="B11" s="5" t="s">
        <v>169</v>
      </c>
      <c r="C11" s="4" t="s">
        <v>5362</v>
      </c>
      <c r="D11" s="5" t="s">
        <v>154</v>
      </c>
      <c r="E11" s="5" t="s">
        <v>172</v>
      </c>
      <c r="F11" s="5" t="s">
        <v>259</v>
      </c>
      <c r="G11" s="4" t="s">
        <v>5355</v>
      </c>
      <c r="H11" s="5">
        <v>12.0</v>
      </c>
      <c r="I11" s="4" t="s">
        <v>5366</v>
      </c>
    </row>
    <row r="12">
      <c r="A12" s="8" t="s">
        <v>5368</v>
      </c>
      <c r="B12" s="8" t="s">
        <v>169</v>
      </c>
      <c r="C12" s="7" t="s">
        <v>5371</v>
      </c>
      <c r="D12" s="8" t="s">
        <v>154</v>
      </c>
      <c r="E12" s="8" t="s">
        <v>172</v>
      </c>
      <c r="F12" s="8" t="s">
        <v>316</v>
      </c>
      <c r="G12" s="7" t="s">
        <v>5355</v>
      </c>
      <c r="H12" s="8">
        <v>8.0</v>
      </c>
      <c r="I12" s="7" t="s">
        <v>5374</v>
      </c>
    </row>
    <row r="13">
      <c r="A13" s="5" t="s">
        <v>5376</v>
      </c>
      <c r="B13" s="5" t="s">
        <v>169</v>
      </c>
      <c r="C13" s="4" t="s">
        <v>5377</v>
      </c>
      <c r="D13" s="5" t="s">
        <v>154</v>
      </c>
      <c r="E13" s="5" t="s">
        <v>172</v>
      </c>
      <c r="F13" s="5" t="s">
        <v>291</v>
      </c>
      <c r="G13" s="4" t="s">
        <v>5355</v>
      </c>
      <c r="H13" s="5">
        <v>6.0</v>
      </c>
      <c r="I13" s="4" t="s">
        <v>5381</v>
      </c>
    </row>
    <row r="14">
      <c r="A14" s="8" t="s">
        <v>5382</v>
      </c>
      <c r="B14" s="8" t="s">
        <v>169</v>
      </c>
      <c r="C14" s="7" t="s">
        <v>5384</v>
      </c>
      <c r="D14" s="8" t="s">
        <v>154</v>
      </c>
      <c r="E14" s="8" t="s">
        <v>172</v>
      </c>
      <c r="F14" s="8" t="s">
        <v>304</v>
      </c>
      <c r="G14" s="7" t="s">
        <v>5329</v>
      </c>
      <c r="H14" s="8">
        <v>5.0</v>
      </c>
      <c r="I14" s="7" t="s">
        <v>5386</v>
      </c>
    </row>
    <row r="15">
      <c r="A15" s="5" t="s">
        <v>5388</v>
      </c>
      <c r="B15" s="5" t="s">
        <v>169</v>
      </c>
      <c r="C15" s="4" t="s">
        <v>5390</v>
      </c>
      <c r="D15" s="5" t="s">
        <v>154</v>
      </c>
      <c r="E15" s="5" t="s">
        <v>172</v>
      </c>
      <c r="F15" s="5" t="s">
        <v>582</v>
      </c>
      <c r="G15" s="4" t="s">
        <v>5319</v>
      </c>
      <c r="H15" s="5">
        <v>8.0</v>
      </c>
      <c r="I15" s="4" t="s">
        <v>5397</v>
      </c>
    </row>
    <row r="16">
      <c r="A16" s="8" t="s">
        <v>5398</v>
      </c>
      <c r="B16" s="8" t="s">
        <v>169</v>
      </c>
      <c r="C16" s="7" t="s">
        <v>5399</v>
      </c>
      <c r="D16" s="8" t="s">
        <v>154</v>
      </c>
      <c r="E16" s="8" t="s">
        <v>172</v>
      </c>
      <c r="F16" s="8" t="s">
        <v>582</v>
      </c>
      <c r="G16" s="7" t="s">
        <v>582</v>
      </c>
      <c r="H16" s="8">
        <v>2.0</v>
      </c>
      <c r="I16" s="7" t="s">
        <v>5400</v>
      </c>
    </row>
    <row r="17">
      <c r="A17" s="6" t="s">
        <v>5401</v>
      </c>
      <c r="B17" s="6"/>
      <c r="C17" s="6"/>
      <c r="D17" s="6"/>
      <c r="E17" s="6"/>
      <c r="F17" s="6"/>
      <c r="G17" s="6"/>
      <c r="H17" s="6"/>
      <c r="I17" s="6"/>
    </row>
    <row r="18">
      <c r="A18" s="8" t="s">
        <v>5402</v>
      </c>
      <c r="B18" s="8" t="s">
        <v>195</v>
      </c>
      <c r="C18" s="7" t="s">
        <v>5403</v>
      </c>
      <c r="D18" s="8" t="s">
        <v>190</v>
      </c>
      <c r="E18" s="8" t="s">
        <v>221</v>
      </c>
      <c r="F18" s="8" t="s">
        <v>316</v>
      </c>
      <c r="G18" s="7" t="s">
        <v>5355</v>
      </c>
      <c r="H18" s="8">
        <v>12.0</v>
      </c>
      <c r="I18" s="7" t="s">
        <v>5404</v>
      </c>
    </row>
    <row r="19">
      <c r="A19" s="5" t="s">
        <v>5405</v>
      </c>
      <c r="B19" s="5" t="s">
        <v>195</v>
      </c>
      <c r="C19" s="4" t="s">
        <v>5406</v>
      </c>
      <c r="D19" s="5" t="s">
        <v>190</v>
      </c>
      <c r="E19" s="5" t="s">
        <v>221</v>
      </c>
      <c r="F19" s="5" t="s">
        <v>316</v>
      </c>
      <c r="G19" s="4" t="s">
        <v>5402</v>
      </c>
      <c r="H19" s="5">
        <v>6.0</v>
      </c>
      <c r="I19" s="4" t="s">
        <v>5407</v>
      </c>
    </row>
    <row r="20">
      <c r="A20" s="8" t="s">
        <v>5408</v>
      </c>
      <c r="B20" s="8" t="s">
        <v>195</v>
      </c>
      <c r="C20" s="7" t="s">
        <v>5409</v>
      </c>
      <c r="D20" s="8" t="s">
        <v>190</v>
      </c>
      <c r="E20" s="8" t="s">
        <v>221</v>
      </c>
      <c r="F20" s="8" t="s">
        <v>316</v>
      </c>
      <c r="G20" s="7" t="s">
        <v>5402</v>
      </c>
      <c r="H20" s="8">
        <v>3.0</v>
      </c>
      <c r="I20" s="7" t="s">
        <v>5410</v>
      </c>
    </row>
    <row r="21" ht="15.75" customHeight="1">
      <c r="A21" s="5" t="s">
        <v>5411</v>
      </c>
      <c r="B21" s="5" t="s">
        <v>195</v>
      </c>
      <c r="C21" s="4" t="s">
        <v>5412</v>
      </c>
      <c r="D21" s="5" t="s">
        <v>190</v>
      </c>
      <c r="E21" s="5" t="s">
        <v>221</v>
      </c>
      <c r="F21" s="5" t="s">
        <v>217</v>
      </c>
      <c r="G21" s="4" t="s">
        <v>5402</v>
      </c>
      <c r="H21" s="5">
        <v>5.0</v>
      </c>
      <c r="I21" s="4" t="s">
        <v>5413</v>
      </c>
    </row>
    <row r="22" ht="15.75" customHeight="1">
      <c r="A22" s="8" t="s">
        <v>5414</v>
      </c>
      <c r="B22" s="8" t="s">
        <v>2540</v>
      </c>
      <c r="C22" s="7" t="s">
        <v>5415</v>
      </c>
      <c r="D22" s="8" t="s">
        <v>210</v>
      </c>
      <c r="E22" s="8" t="s">
        <v>221</v>
      </c>
      <c r="F22" s="8" t="s">
        <v>304</v>
      </c>
      <c r="G22" s="7" t="s">
        <v>5402</v>
      </c>
      <c r="H22" s="8">
        <v>10.0</v>
      </c>
      <c r="I22" s="7" t="s">
        <v>5417</v>
      </c>
    </row>
    <row r="23" ht="15.75" customHeight="1">
      <c r="A23" s="5" t="s">
        <v>5419</v>
      </c>
      <c r="B23" s="5" t="s">
        <v>2540</v>
      </c>
      <c r="C23" s="4" t="s">
        <v>5420</v>
      </c>
      <c r="D23" s="5" t="s">
        <v>210</v>
      </c>
      <c r="E23" s="5" t="s">
        <v>221</v>
      </c>
      <c r="F23" s="5" t="s">
        <v>445</v>
      </c>
      <c r="G23" s="4" t="s">
        <v>5414</v>
      </c>
      <c r="H23" s="5">
        <v>12.0</v>
      </c>
      <c r="I23" s="4" t="s">
        <v>5421</v>
      </c>
    </row>
    <row r="24" ht="15.75" customHeight="1">
      <c r="A24" s="8" t="s">
        <v>5423</v>
      </c>
      <c r="B24" s="8" t="s">
        <v>2540</v>
      </c>
      <c r="C24" s="7" t="s">
        <v>5425</v>
      </c>
      <c r="D24" s="8" t="s">
        <v>210</v>
      </c>
      <c r="E24" s="8" t="s">
        <v>221</v>
      </c>
      <c r="F24" s="8" t="s">
        <v>445</v>
      </c>
      <c r="G24" s="7" t="s">
        <v>5419</v>
      </c>
      <c r="H24" s="8">
        <v>4.0</v>
      </c>
      <c r="I24" s="7" t="s">
        <v>5427</v>
      </c>
    </row>
    <row r="25" ht="15.75" customHeight="1">
      <c r="A25" s="5" t="s">
        <v>5429</v>
      </c>
      <c r="B25" s="5" t="s">
        <v>2540</v>
      </c>
      <c r="C25" s="4" t="s">
        <v>5431</v>
      </c>
      <c r="D25" s="5" t="s">
        <v>210</v>
      </c>
      <c r="E25" s="5" t="s">
        <v>221</v>
      </c>
      <c r="F25" s="5" t="s">
        <v>316</v>
      </c>
      <c r="G25" s="4" t="s">
        <v>5405</v>
      </c>
      <c r="H25" s="5">
        <v>4.0</v>
      </c>
      <c r="I25" s="4" t="s">
        <v>5433</v>
      </c>
    </row>
    <row r="26" ht="15.75" customHeight="1">
      <c r="A26" s="8" t="s">
        <v>5435</v>
      </c>
      <c r="B26" s="8" t="s">
        <v>2540</v>
      </c>
      <c r="C26" s="7" t="s">
        <v>5436</v>
      </c>
      <c r="D26" s="8" t="s">
        <v>210</v>
      </c>
      <c r="E26" s="8" t="s">
        <v>221</v>
      </c>
      <c r="F26" s="8" t="s">
        <v>445</v>
      </c>
      <c r="G26" s="7" t="s">
        <v>5419</v>
      </c>
      <c r="H26" s="8">
        <v>10.0</v>
      </c>
      <c r="I26" s="7" t="s">
        <v>5439</v>
      </c>
    </row>
    <row r="27" ht="15.75" customHeight="1">
      <c r="A27" s="5" t="s">
        <v>5441</v>
      </c>
      <c r="B27" s="5" t="s">
        <v>2540</v>
      </c>
      <c r="C27" s="4" t="s">
        <v>5444</v>
      </c>
      <c r="D27" s="5" t="s">
        <v>210</v>
      </c>
      <c r="E27" s="5" t="s">
        <v>221</v>
      </c>
      <c r="F27" s="5" t="s">
        <v>259</v>
      </c>
      <c r="G27" s="4" t="s">
        <v>5419</v>
      </c>
      <c r="H27" s="5">
        <v>5.0</v>
      </c>
      <c r="I27" s="4" t="s">
        <v>5449</v>
      </c>
    </row>
    <row r="28" ht="15.75" customHeight="1">
      <c r="A28" s="8" t="s">
        <v>5450</v>
      </c>
      <c r="B28" s="8" t="s">
        <v>2540</v>
      </c>
      <c r="C28" s="7" t="s">
        <v>5453</v>
      </c>
      <c r="D28" s="8" t="s">
        <v>210</v>
      </c>
      <c r="E28" s="8" t="s">
        <v>221</v>
      </c>
      <c r="F28" s="8" t="s">
        <v>259</v>
      </c>
      <c r="G28" s="7" t="s">
        <v>5435</v>
      </c>
      <c r="H28" s="8">
        <v>6.0</v>
      </c>
      <c r="I28" s="7" t="s">
        <v>5457</v>
      </c>
    </row>
    <row r="29" ht="15.75" customHeight="1">
      <c r="A29" s="5" t="s">
        <v>5459</v>
      </c>
      <c r="B29" s="5" t="s">
        <v>2540</v>
      </c>
      <c r="C29" s="4" t="s">
        <v>473</v>
      </c>
      <c r="D29" s="5" t="s">
        <v>210</v>
      </c>
      <c r="E29" s="5" t="s">
        <v>221</v>
      </c>
      <c r="F29" s="5" t="s">
        <v>259</v>
      </c>
      <c r="G29" s="4" t="s">
        <v>5419</v>
      </c>
      <c r="H29" s="5">
        <v>6.0</v>
      </c>
      <c r="I29" s="4" t="s">
        <v>5466</v>
      </c>
    </row>
    <row r="30" ht="15.75" customHeight="1">
      <c r="A30" s="8" t="s">
        <v>5467</v>
      </c>
      <c r="B30" s="8" t="s">
        <v>2540</v>
      </c>
      <c r="C30" s="7" t="s">
        <v>5470</v>
      </c>
      <c r="D30" s="8" t="s">
        <v>210</v>
      </c>
      <c r="E30" s="8" t="s">
        <v>221</v>
      </c>
      <c r="F30" s="8" t="s">
        <v>445</v>
      </c>
      <c r="G30" s="7" t="s">
        <v>5419</v>
      </c>
      <c r="H30" s="8">
        <v>10.0</v>
      </c>
      <c r="I30" s="7" t="s">
        <v>5471</v>
      </c>
    </row>
    <row r="31" ht="15.75" customHeight="1">
      <c r="A31" s="5" t="s">
        <v>5472</v>
      </c>
      <c r="B31" s="5" t="s">
        <v>2540</v>
      </c>
      <c r="C31" s="4" t="s">
        <v>5473</v>
      </c>
      <c r="D31" s="5" t="s">
        <v>210</v>
      </c>
      <c r="E31" s="5" t="s">
        <v>221</v>
      </c>
      <c r="F31" s="5" t="s">
        <v>217</v>
      </c>
      <c r="G31" s="4" t="s">
        <v>5435</v>
      </c>
      <c r="H31" s="5">
        <v>5.0</v>
      </c>
      <c r="I31" s="4" t="s">
        <v>5474</v>
      </c>
    </row>
    <row r="32" ht="15.75" customHeight="1">
      <c r="A32" s="8" t="s">
        <v>5477</v>
      </c>
      <c r="B32" s="8" t="s">
        <v>226</v>
      </c>
      <c r="C32" s="7" t="s">
        <v>5480</v>
      </c>
      <c r="D32" s="8" t="s">
        <v>224</v>
      </c>
      <c r="E32" s="8" t="s">
        <v>221</v>
      </c>
      <c r="F32" s="8" t="s">
        <v>513</v>
      </c>
      <c r="G32" s="7" t="s">
        <v>5405</v>
      </c>
      <c r="H32" s="8">
        <v>10.0</v>
      </c>
      <c r="I32" s="7" t="s">
        <v>5484</v>
      </c>
    </row>
    <row r="33" ht="15.75" customHeight="1">
      <c r="A33" s="5" t="s">
        <v>5485</v>
      </c>
      <c r="B33" s="5" t="s">
        <v>226</v>
      </c>
      <c r="C33" s="4" t="s">
        <v>5488</v>
      </c>
      <c r="D33" s="5" t="s">
        <v>224</v>
      </c>
      <c r="E33" s="5" t="s">
        <v>221</v>
      </c>
      <c r="F33" s="5" t="s">
        <v>513</v>
      </c>
      <c r="G33" s="4" t="s">
        <v>5477</v>
      </c>
      <c r="H33" s="5">
        <v>5.0</v>
      </c>
      <c r="I33" s="4" t="s">
        <v>5492</v>
      </c>
    </row>
    <row r="34" ht="15.75" customHeight="1">
      <c r="A34" s="8" t="s">
        <v>5494</v>
      </c>
      <c r="B34" s="8" t="s">
        <v>226</v>
      </c>
      <c r="C34" s="7" t="s">
        <v>5496</v>
      </c>
      <c r="D34" s="8" t="s">
        <v>224</v>
      </c>
      <c r="E34" s="8" t="s">
        <v>221</v>
      </c>
      <c r="F34" s="8" t="s">
        <v>259</v>
      </c>
      <c r="G34" s="7" t="s">
        <v>5360</v>
      </c>
      <c r="H34" s="8">
        <v>4.0</v>
      </c>
      <c r="I34" s="7" t="s">
        <v>5500</v>
      </c>
    </row>
    <row r="35" ht="15.75" customHeight="1">
      <c r="A35" s="5" t="s">
        <v>5502</v>
      </c>
      <c r="B35" s="5" t="s">
        <v>226</v>
      </c>
      <c r="C35" s="4" t="s">
        <v>5505</v>
      </c>
      <c r="D35" s="5" t="s">
        <v>224</v>
      </c>
      <c r="E35" s="5" t="s">
        <v>221</v>
      </c>
      <c r="F35" s="5" t="s">
        <v>513</v>
      </c>
      <c r="G35" s="4" t="s">
        <v>5467</v>
      </c>
      <c r="H35" s="5">
        <v>5.0</v>
      </c>
      <c r="I35" s="4" t="s">
        <v>5509</v>
      </c>
    </row>
    <row r="36" ht="15.75" customHeight="1">
      <c r="A36" s="8" t="s">
        <v>5511</v>
      </c>
      <c r="B36" s="8" t="s">
        <v>226</v>
      </c>
      <c r="C36" s="7" t="s">
        <v>5514</v>
      </c>
      <c r="D36" s="8" t="s">
        <v>224</v>
      </c>
      <c r="E36" s="8" t="s">
        <v>221</v>
      </c>
      <c r="F36" s="8" t="s">
        <v>513</v>
      </c>
      <c r="G36" s="7" t="s">
        <v>5477</v>
      </c>
      <c r="H36" s="8">
        <v>4.0</v>
      </c>
      <c r="I36" s="7" t="s">
        <v>5518</v>
      </c>
    </row>
    <row r="37" ht="15.75" customHeight="1">
      <c r="A37" s="5" t="s">
        <v>5520</v>
      </c>
      <c r="B37" s="5" t="s">
        <v>226</v>
      </c>
      <c r="C37" s="4" t="s">
        <v>5521</v>
      </c>
      <c r="D37" s="5" t="s">
        <v>224</v>
      </c>
      <c r="E37" s="5" t="s">
        <v>221</v>
      </c>
      <c r="F37" s="5" t="s">
        <v>513</v>
      </c>
      <c r="G37" s="4" t="s">
        <v>5477</v>
      </c>
      <c r="H37" s="5">
        <v>4.0</v>
      </c>
      <c r="I37" s="4" t="s">
        <v>5525</v>
      </c>
    </row>
    <row r="38" ht="15.75" customHeight="1">
      <c r="A38" s="8" t="s">
        <v>5526</v>
      </c>
      <c r="B38" s="8" t="s">
        <v>236</v>
      </c>
      <c r="C38" s="7" t="s">
        <v>5527</v>
      </c>
      <c r="D38" s="8" t="s">
        <v>85</v>
      </c>
      <c r="E38" s="8" t="s">
        <v>221</v>
      </c>
      <c r="F38" s="8" t="s">
        <v>597</v>
      </c>
      <c r="G38" s="7" t="s">
        <v>5355</v>
      </c>
      <c r="H38" s="8">
        <v>8.0</v>
      </c>
      <c r="I38" s="7" t="s">
        <v>5528</v>
      </c>
    </row>
    <row r="39" ht="15.75" customHeight="1">
      <c r="A39" s="5" t="s">
        <v>5529</v>
      </c>
      <c r="B39" s="5" t="s">
        <v>236</v>
      </c>
      <c r="C39" s="4" t="s">
        <v>5530</v>
      </c>
      <c r="D39" s="5" t="s">
        <v>85</v>
      </c>
      <c r="E39" s="5" t="s">
        <v>221</v>
      </c>
      <c r="F39" s="5" t="s">
        <v>608</v>
      </c>
      <c r="G39" s="4" t="s">
        <v>5526</v>
      </c>
      <c r="H39" s="5">
        <v>14.0</v>
      </c>
      <c r="I39" s="4" t="s">
        <v>5531</v>
      </c>
    </row>
    <row r="40" ht="15.75" customHeight="1">
      <c r="A40" s="8" t="s">
        <v>5532</v>
      </c>
      <c r="B40" s="8" t="s">
        <v>236</v>
      </c>
      <c r="C40" s="7" t="s">
        <v>5533</v>
      </c>
      <c r="D40" s="8" t="s">
        <v>85</v>
      </c>
      <c r="E40" s="8" t="s">
        <v>221</v>
      </c>
      <c r="F40" s="8" t="s">
        <v>608</v>
      </c>
      <c r="G40" s="7" t="s">
        <v>5529</v>
      </c>
      <c r="H40" s="8">
        <v>6.0</v>
      </c>
      <c r="I40" s="7" t="s">
        <v>5534</v>
      </c>
    </row>
    <row r="41" ht="15.75" customHeight="1">
      <c r="A41" s="5" t="s">
        <v>5535</v>
      </c>
      <c r="B41" s="5" t="s">
        <v>236</v>
      </c>
      <c r="C41" s="4" t="s">
        <v>5536</v>
      </c>
      <c r="D41" s="5" t="s">
        <v>85</v>
      </c>
      <c r="E41" s="5" t="s">
        <v>221</v>
      </c>
      <c r="F41" s="5" t="s">
        <v>608</v>
      </c>
      <c r="G41" s="4" t="s">
        <v>5529</v>
      </c>
      <c r="H41" s="5">
        <v>4.0</v>
      </c>
      <c r="I41" s="4" t="s">
        <v>5537</v>
      </c>
    </row>
    <row r="42" ht="15.75" customHeight="1">
      <c r="A42" s="8" t="s">
        <v>5538</v>
      </c>
      <c r="B42" s="8" t="s">
        <v>236</v>
      </c>
      <c r="C42" s="7" t="s">
        <v>5539</v>
      </c>
      <c r="D42" s="8" t="s">
        <v>85</v>
      </c>
      <c r="E42" s="8" t="s">
        <v>221</v>
      </c>
      <c r="F42" s="8" t="s">
        <v>175</v>
      </c>
      <c r="G42" s="7" t="s">
        <v>5529</v>
      </c>
      <c r="H42" s="8">
        <v>14.0</v>
      </c>
      <c r="I42" s="7" t="s">
        <v>5540</v>
      </c>
    </row>
    <row r="43" ht="15.75" customHeight="1">
      <c r="A43" s="5" t="s">
        <v>5541</v>
      </c>
      <c r="B43" s="5" t="s">
        <v>236</v>
      </c>
      <c r="C43" s="4" t="s">
        <v>5542</v>
      </c>
      <c r="D43" s="5" t="s">
        <v>85</v>
      </c>
      <c r="E43" s="5" t="s">
        <v>221</v>
      </c>
      <c r="F43" s="5" t="s">
        <v>597</v>
      </c>
      <c r="G43" s="4" t="s">
        <v>5529</v>
      </c>
      <c r="H43" s="5">
        <v>8.0</v>
      </c>
      <c r="I43" s="4" t="s">
        <v>5543</v>
      </c>
    </row>
    <row r="44" ht="15.75" customHeight="1">
      <c r="A44" s="8" t="s">
        <v>5544</v>
      </c>
      <c r="B44" s="8" t="s">
        <v>236</v>
      </c>
      <c r="C44" s="7" t="s">
        <v>5545</v>
      </c>
      <c r="D44" s="8" t="s">
        <v>85</v>
      </c>
      <c r="E44" s="8" t="s">
        <v>221</v>
      </c>
      <c r="F44" s="8" t="s">
        <v>608</v>
      </c>
      <c r="G44" s="7" t="s">
        <v>5546</v>
      </c>
      <c r="H44" s="8">
        <v>4.0</v>
      </c>
      <c r="I44" s="7" t="s">
        <v>5547</v>
      </c>
    </row>
    <row r="45" ht="15.75" customHeight="1">
      <c r="A45" s="5" t="s">
        <v>5548</v>
      </c>
      <c r="B45" s="5" t="s">
        <v>236</v>
      </c>
      <c r="C45" s="4" t="s">
        <v>5549</v>
      </c>
      <c r="D45" s="5" t="s">
        <v>85</v>
      </c>
      <c r="E45" s="5" t="s">
        <v>221</v>
      </c>
      <c r="F45" s="5" t="s">
        <v>608</v>
      </c>
      <c r="G45" s="4" t="s">
        <v>5550</v>
      </c>
      <c r="H45" s="5">
        <v>6.0</v>
      </c>
      <c r="I45" s="4" t="s">
        <v>5551</v>
      </c>
    </row>
    <row r="46" ht="15.75" customHeight="1">
      <c r="A46" s="8" t="s">
        <v>5552</v>
      </c>
      <c r="B46" s="8" t="s">
        <v>236</v>
      </c>
      <c r="C46" s="7" t="s">
        <v>5553</v>
      </c>
      <c r="D46" s="8" t="s">
        <v>85</v>
      </c>
      <c r="E46" s="8" t="s">
        <v>221</v>
      </c>
      <c r="F46" s="8" t="s">
        <v>597</v>
      </c>
      <c r="G46" s="7" t="s">
        <v>5529</v>
      </c>
      <c r="H46" s="8">
        <v>8.0</v>
      </c>
      <c r="I46" s="7" t="s">
        <v>5554</v>
      </c>
    </row>
    <row r="47" ht="15.75" customHeight="1">
      <c r="A47" s="5" t="s">
        <v>5555</v>
      </c>
      <c r="B47" s="5" t="s">
        <v>260</v>
      </c>
      <c r="C47" s="4" t="s">
        <v>5556</v>
      </c>
      <c r="D47" s="5" t="s">
        <v>257</v>
      </c>
      <c r="E47" s="5" t="s">
        <v>221</v>
      </c>
      <c r="F47" s="5" t="s">
        <v>259</v>
      </c>
      <c r="G47" s="4" t="s">
        <v>5557</v>
      </c>
      <c r="H47" s="5">
        <v>8.0</v>
      </c>
      <c r="I47" s="4" t="s">
        <v>5558</v>
      </c>
    </row>
    <row r="48" ht="15.75" customHeight="1">
      <c r="A48" s="8" t="s">
        <v>5559</v>
      </c>
      <c r="B48" s="8" t="s">
        <v>260</v>
      </c>
      <c r="C48" s="7" t="s">
        <v>5560</v>
      </c>
      <c r="D48" s="8" t="s">
        <v>257</v>
      </c>
      <c r="E48" s="8" t="s">
        <v>221</v>
      </c>
      <c r="F48" s="8" t="s">
        <v>597</v>
      </c>
      <c r="G48" s="7" t="s">
        <v>5360</v>
      </c>
      <c r="H48" s="8">
        <v>6.0</v>
      </c>
      <c r="I48" s="7" t="s">
        <v>5561</v>
      </c>
    </row>
    <row r="49" ht="15.75" customHeight="1">
      <c r="A49" s="5" t="s">
        <v>5562</v>
      </c>
      <c r="B49" s="5" t="s">
        <v>260</v>
      </c>
      <c r="C49" s="4" t="s">
        <v>5563</v>
      </c>
      <c r="D49" s="5" t="s">
        <v>257</v>
      </c>
      <c r="E49" s="5" t="s">
        <v>221</v>
      </c>
      <c r="F49" s="5" t="s">
        <v>608</v>
      </c>
      <c r="G49" s="4" t="s">
        <v>5564</v>
      </c>
      <c r="H49" s="5">
        <v>6.0</v>
      </c>
      <c r="I49" s="4" t="s">
        <v>5565</v>
      </c>
    </row>
    <row r="50" ht="15.75" customHeight="1">
      <c r="A50" s="8" t="s">
        <v>5566</v>
      </c>
      <c r="B50" s="8" t="s">
        <v>260</v>
      </c>
      <c r="C50" s="7" t="s">
        <v>5567</v>
      </c>
      <c r="D50" s="8" t="s">
        <v>257</v>
      </c>
      <c r="E50" s="8" t="s">
        <v>221</v>
      </c>
      <c r="F50" s="8" t="s">
        <v>259</v>
      </c>
      <c r="G50" s="7" t="s">
        <v>5402</v>
      </c>
      <c r="H50" s="8">
        <v>4.0</v>
      </c>
      <c r="I50" s="7" t="s">
        <v>5568</v>
      </c>
    </row>
    <row r="51" ht="15.75" customHeight="1">
      <c r="A51" s="5" t="s">
        <v>5569</v>
      </c>
      <c r="B51" s="5" t="s">
        <v>5291</v>
      </c>
      <c r="C51" s="4" t="s">
        <v>5570</v>
      </c>
      <c r="D51" s="5" t="s">
        <v>279</v>
      </c>
      <c r="E51" s="5" t="s">
        <v>221</v>
      </c>
      <c r="F51" s="5" t="s">
        <v>513</v>
      </c>
      <c r="G51" s="4" t="s">
        <v>5402</v>
      </c>
      <c r="H51" s="5">
        <v>5.0</v>
      </c>
      <c r="I51" s="4" t="s">
        <v>5571</v>
      </c>
    </row>
    <row r="52" ht="15.75" customHeight="1">
      <c r="A52" s="8" t="s">
        <v>5572</v>
      </c>
      <c r="B52" s="8" t="s">
        <v>5573</v>
      </c>
      <c r="C52" s="7" t="s">
        <v>5574</v>
      </c>
      <c r="D52" s="8" t="s">
        <v>272</v>
      </c>
      <c r="E52" s="8" t="s">
        <v>221</v>
      </c>
      <c r="F52" s="8" t="s">
        <v>217</v>
      </c>
      <c r="G52" s="7" t="s">
        <v>5575</v>
      </c>
      <c r="H52" s="8">
        <v>12.0</v>
      </c>
      <c r="I52" s="7" t="s">
        <v>5576</v>
      </c>
    </row>
    <row r="53" ht="15.75" customHeight="1">
      <c r="A53" s="5" t="s">
        <v>5577</v>
      </c>
      <c r="B53" s="5" t="s">
        <v>5573</v>
      </c>
      <c r="C53" s="4" t="s">
        <v>5578</v>
      </c>
      <c r="D53" s="5" t="s">
        <v>272</v>
      </c>
      <c r="E53" s="5" t="s">
        <v>221</v>
      </c>
      <c r="F53" s="5" t="s">
        <v>259</v>
      </c>
      <c r="G53" s="4" t="s">
        <v>5360</v>
      </c>
      <c r="H53" s="5">
        <v>8.0</v>
      </c>
      <c r="I53" s="4" t="s">
        <v>5579</v>
      </c>
    </row>
    <row r="54" ht="15.75" customHeight="1">
      <c r="A54" s="8" t="s">
        <v>5580</v>
      </c>
      <c r="B54" s="8" t="s">
        <v>245</v>
      </c>
      <c r="C54" s="7" t="s">
        <v>5581</v>
      </c>
      <c r="D54" s="8" t="s">
        <v>112</v>
      </c>
      <c r="E54" s="8" t="s">
        <v>221</v>
      </c>
      <c r="F54" s="8" t="s">
        <v>175</v>
      </c>
      <c r="G54" s="7" t="s">
        <v>5368</v>
      </c>
      <c r="H54" s="8">
        <v>10.0</v>
      </c>
      <c r="I54" s="7" t="s">
        <v>5582</v>
      </c>
    </row>
    <row r="55" ht="15.75" customHeight="1">
      <c r="A55" s="5" t="s">
        <v>5583</v>
      </c>
      <c r="B55" s="5" t="s">
        <v>245</v>
      </c>
      <c r="C55" s="4" t="s">
        <v>5584</v>
      </c>
      <c r="D55" s="5" t="s">
        <v>112</v>
      </c>
      <c r="E55" s="5" t="s">
        <v>221</v>
      </c>
      <c r="F55" s="5" t="s">
        <v>3546</v>
      </c>
      <c r="G55" s="4" t="s">
        <v>5580</v>
      </c>
      <c r="H55" s="5">
        <v>8.0</v>
      </c>
      <c r="I55" s="4" t="s">
        <v>5585</v>
      </c>
    </row>
    <row r="56" ht="15.75" customHeight="1">
      <c r="A56" s="8" t="s">
        <v>5586</v>
      </c>
      <c r="B56" s="8" t="s">
        <v>245</v>
      </c>
      <c r="C56" s="7" t="s">
        <v>2472</v>
      </c>
      <c r="D56" s="8" t="s">
        <v>112</v>
      </c>
      <c r="E56" s="8" t="s">
        <v>221</v>
      </c>
      <c r="F56" s="8" t="s">
        <v>259</v>
      </c>
      <c r="G56" s="7" t="s">
        <v>5580</v>
      </c>
      <c r="H56" s="8">
        <v>5.0</v>
      </c>
      <c r="I56" s="7" t="s">
        <v>5587</v>
      </c>
    </row>
    <row r="57" ht="15.75" customHeight="1">
      <c r="A57" s="5" t="s">
        <v>5588</v>
      </c>
      <c r="B57" s="5" t="s">
        <v>1276</v>
      </c>
      <c r="C57" s="4" t="s">
        <v>5589</v>
      </c>
      <c r="D57" s="5" t="s">
        <v>317</v>
      </c>
      <c r="E57" s="5" t="s">
        <v>221</v>
      </c>
      <c r="F57" s="5" t="s">
        <v>316</v>
      </c>
      <c r="G57" s="4" t="s">
        <v>5529</v>
      </c>
      <c r="H57" s="5">
        <v>5.0</v>
      </c>
      <c r="I57" s="4" t="s">
        <v>5590</v>
      </c>
    </row>
    <row r="58" ht="15.75" customHeight="1">
      <c r="A58" s="8" t="s">
        <v>5591</v>
      </c>
      <c r="B58" s="8" t="s">
        <v>1276</v>
      </c>
      <c r="C58" s="7" t="s">
        <v>5592</v>
      </c>
      <c r="D58" s="8" t="s">
        <v>317</v>
      </c>
      <c r="E58" s="8" t="s">
        <v>221</v>
      </c>
      <c r="F58" s="8" t="s">
        <v>608</v>
      </c>
      <c r="G58" s="7" t="s">
        <v>5588</v>
      </c>
      <c r="H58" s="8">
        <v>8.0</v>
      </c>
      <c r="I58" s="7" t="s">
        <v>5593</v>
      </c>
    </row>
    <row r="59" ht="15.75" customHeight="1">
      <c r="A59" s="5" t="s">
        <v>5594</v>
      </c>
      <c r="B59" s="5" t="s">
        <v>1276</v>
      </c>
      <c r="C59" s="4" t="s">
        <v>5595</v>
      </c>
      <c r="D59" s="5" t="s">
        <v>317</v>
      </c>
      <c r="E59" s="5" t="s">
        <v>221</v>
      </c>
      <c r="F59" s="5" t="s">
        <v>304</v>
      </c>
      <c r="G59" s="4" t="s">
        <v>5402</v>
      </c>
      <c r="H59" s="5">
        <v>10.0</v>
      </c>
      <c r="I59" s="4" t="s">
        <v>5596</v>
      </c>
    </row>
    <row r="60" ht="15.75" customHeight="1">
      <c r="A60" s="8" t="s">
        <v>5597</v>
      </c>
      <c r="B60" s="8" t="s">
        <v>1276</v>
      </c>
      <c r="C60" s="7" t="s">
        <v>5598</v>
      </c>
      <c r="D60" s="8" t="s">
        <v>317</v>
      </c>
      <c r="E60" s="8" t="s">
        <v>221</v>
      </c>
      <c r="F60" s="8" t="s">
        <v>217</v>
      </c>
      <c r="G60" s="7" t="s">
        <v>5591</v>
      </c>
      <c r="H60" s="8">
        <v>5.0</v>
      </c>
      <c r="I60" s="7" t="s">
        <v>5599</v>
      </c>
    </row>
    <row r="61" ht="15.75" customHeight="1">
      <c r="A61" s="5" t="s">
        <v>5600</v>
      </c>
      <c r="B61" s="5" t="s">
        <v>62</v>
      </c>
      <c r="C61" s="4" t="s">
        <v>5601</v>
      </c>
      <c r="D61" s="5" t="s">
        <v>5602</v>
      </c>
      <c r="E61" s="5" t="s">
        <v>221</v>
      </c>
      <c r="F61" s="5" t="s">
        <v>582</v>
      </c>
      <c r="G61" s="4" t="s">
        <v>5575</v>
      </c>
      <c r="H61" s="5">
        <v>12.0</v>
      </c>
      <c r="I61" s="4" t="s">
        <v>5603</v>
      </c>
    </row>
    <row r="62" ht="15.75" customHeight="1">
      <c r="A62" s="8" t="s">
        <v>5604</v>
      </c>
      <c r="B62" s="8" t="s">
        <v>62</v>
      </c>
      <c r="C62" s="7" t="s">
        <v>5605</v>
      </c>
      <c r="D62" s="8" t="s">
        <v>5602</v>
      </c>
      <c r="E62" s="8" t="s">
        <v>221</v>
      </c>
      <c r="F62" s="8" t="s">
        <v>582</v>
      </c>
      <c r="G62" s="7" t="s">
        <v>5600</v>
      </c>
      <c r="H62" s="8">
        <v>6.0</v>
      </c>
      <c r="I62" s="7" t="s">
        <v>5606</v>
      </c>
    </row>
    <row r="63" ht="15.75" customHeight="1">
      <c r="A63" s="6" t="s">
        <v>5607</v>
      </c>
      <c r="B63" s="6"/>
      <c r="C63" s="6"/>
      <c r="D63" s="6"/>
      <c r="E63" s="6"/>
      <c r="F63" s="6"/>
      <c r="G63" s="6"/>
      <c r="H63" s="6"/>
      <c r="I63" s="6"/>
    </row>
    <row r="64" ht="15.75" customHeight="1">
      <c r="A64" s="8" t="s">
        <v>5608</v>
      </c>
      <c r="B64" s="8" t="s">
        <v>245</v>
      </c>
      <c r="C64" s="7" t="s">
        <v>5609</v>
      </c>
      <c r="D64" s="8" t="s">
        <v>112</v>
      </c>
      <c r="E64" s="8" t="s">
        <v>315</v>
      </c>
      <c r="F64" s="8" t="s">
        <v>175</v>
      </c>
      <c r="G64" s="7" t="s">
        <v>5580</v>
      </c>
      <c r="H64" s="8">
        <v>10.0</v>
      </c>
      <c r="I64" s="7" t="s">
        <v>5610</v>
      </c>
    </row>
    <row r="65" ht="15.75" customHeight="1">
      <c r="A65" s="5" t="s">
        <v>5611</v>
      </c>
      <c r="B65" s="5" t="s">
        <v>245</v>
      </c>
      <c r="C65" s="4" t="s">
        <v>5612</v>
      </c>
      <c r="D65" s="5" t="s">
        <v>112</v>
      </c>
      <c r="E65" s="5" t="s">
        <v>315</v>
      </c>
      <c r="F65" s="5" t="s">
        <v>608</v>
      </c>
      <c r="G65" s="4" t="s">
        <v>5532</v>
      </c>
      <c r="H65" s="5">
        <v>8.0</v>
      </c>
      <c r="I65" s="4" t="s">
        <v>5613</v>
      </c>
    </row>
    <row r="66" ht="15.75" customHeight="1">
      <c r="A66" s="8" t="s">
        <v>5614</v>
      </c>
      <c r="B66" s="8" t="s">
        <v>4996</v>
      </c>
      <c r="C66" s="7" t="s">
        <v>5615</v>
      </c>
      <c r="D66" s="8" t="s">
        <v>324</v>
      </c>
      <c r="E66" s="8" t="s">
        <v>315</v>
      </c>
      <c r="F66" s="8" t="s">
        <v>424</v>
      </c>
      <c r="G66" s="7" t="s">
        <v>5319</v>
      </c>
      <c r="H66" s="8">
        <v>8.0</v>
      </c>
      <c r="I66" s="7" t="s">
        <v>5616</v>
      </c>
    </row>
    <row r="67" ht="15.75" customHeight="1">
      <c r="A67" s="5" t="s">
        <v>5617</v>
      </c>
      <c r="B67" s="5" t="s">
        <v>4996</v>
      </c>
      <c r="C67" s="4" t="s">
        <v>5618</v>
      </c>
      <c r="D67" s="5" t="s">
        <v>324</v>
      </c>
      <c r="E67" s="5" t="s">
        <v>315</v>
      </c>
      <c r="F67" s="5" t="s">
        <v>424</v>
      </c>
      <c r="G67" s="4" t="s">
        <v>5619</v>
      </c>
      <c r="H67" s="5">
        <v>10.0</v>
      </c>
      <c r="I67" s="4" t="s">
        <v>5620</v>
      </c>
    </row>
    <row r="68" ht="15.75" customHeight="1">
      <c r="A68" s="8" t="s">
        <v>5621</v>
      </c>
      <c r="B68" s="8" t="s">
        <v>4996</v>
      </c>
      <c r="C68" s="7" t="s">
        <v>5622</v>
      </c>
      <c r="D68" s="8" t="s">
        <v>272</v>
      </c>
      <c r="E68" s="8" t="s">
        <v>315</v>
      </c>
      <c r="F68" s="8" t="s">
        <v>424</v>
      </c>
      <c r="G68" s="7" t="s">
        <v>5617</v>
      </c>
      <c r="H68" s="8">
        <v>10.0</v>
      </c>
      <c r="I68" s="7" t="s">
        <v>5623</v>
      </c>
    </row>
    <row r="69" ht="15.75" customHeight="1">
      <c r="A69" s="5" t="s">
        <v>5624</v>
      </c>
      <c r="B69" s="5" t="s">
        <v>4996</v>
      </c>
      <c r="C69" s="4" t="s">
        <v>1884</v>
      </c>
      <c r="D69" s="5" t="s">
        <v>210</v>
      </c>
      <c r="E69" s="5" t="s">
        <v>315</v>
      </c>
      <c r="F69" s="5" t="s">
        <v>424</v>
      </c>
      <c r="G69" s="4" t="s">
        <v>5625</v>
      </c>
      <c r="H69" s="5">
        <v>8.0</v>
      </c>
      <c r="I69" s="4" t="s">
        <v>5626</v>
      </c>
    </row>
    <row r="70" ht="15.75" customHeight="1">
      <c r="A70" s="8" t="s">
        <v>5627</v>
      </c>
      <c r="B70" s="8" t="s">
        <v>310</v>
      </c>
      <c r="C70" s="7" t="s">
        <v>5628</v>
      </c>
      <c r="D70" s="8" t="s">
        <v>308</v>
      </c>
      <c r="E70" s="8" t="s">
        <v>315</v>
      </c>
      <c r="F70" s="8" t="s">
        <v>3546</v>
      </c>
      <c r="G70" s="7" t="s">
        <v>5360</v>
      </c>
      <c r="H70" s="8">
        <v>10.0</v>
      </c>
      <c r="I70" s="7" t="s">
        <v>5629</v>
      </c>
    </row>
    <row r="71" ht="15.75" customHeight="1">
      <c r="A71" s="5" t="s">
        <v>5630</v>
      </c>
      <c r="B71" s="5" t="s">
        <v>5291</v>
      </c>
      <c r="C71" s="4" t="s">
        <v>5631</v>
      </c>
      <c r="D71" s="5" t="s">
        <v>279</v>
      </c>
      <c r="E71" s="5" t="s">
        <v>315</v>
      </c>
      <c r="F71" s="5" t="s">
        <v>259</v>
      </c>
      <c r="G71" s="4" t="s">
        <v>5569</v>
      </c>
      <c r="H71" s="5">
        <v>10.0</v>
      </c>
      <c r="I71" s="4" t="s">
        <v>5632</v>
      </c>
    </row>
    <row r="72" ht="15.75" customHeight="1">
      <c r="A72" s="8" t="s">
        <v>5633</v>
      </c>
      <c r="B72" s="8" t="s">
        <v>292</v>
      </c>
      <c r="C72" s="7" t="s">
        <v>5634</v>
      </c>
      <c r="D72" s="8" t="s">
        <v>290</v>
      </c>
      <c r="E72" s="8" t="s">
        <v>315</v>
      </c>
      <c r="F72" s="8" t="s">
        <v>513</v>
      </c>
      <c r="G72" s="7" t="s">
        <v>5627</v>
      </c>
      <c r="H72" s="8">
        <v>6.0</v>
      </c>
      <c r="I72" s="7" t="s">
        <v>5635</v>
      </c>
    </row>
    <row r="73" ht="15.75" customHeight="1">
      <c r="A73" s="5" t="s">
        <v>5636</v>
      </c>
      <c r="B73" s="5" t="s">
        <v>5637</v>
      </c>
      <c r="C73" s="4" t="s">
        <v>5638</v>
      </c>
      <c r="D73" s="5" t="s">
        <v>324</v>
      </c>
      <c r="E73" s="5" t="s">
        <v>315</v>
      </c>
      <c r="F73" s="5" t="s">
        <v>217</v>
      </c>
      <c r="G73" s="4" t="s">
        <v>5419</v>
      </c>
      <c r="H73" s="5">
        <v>8.0</v>
      </c>
      <c r="I73" s="4" t="s">
        <v>5639</v>
      </c>
    </row>
    <row r="74" ht="15.75" customHeight="1">
      <c r="A74" s="8" t="s">
        <v>5640</v>
      </c>
      <c r="B74" s="8" t="s">
        <v>1276</v>
      </c>
      <c r="C74" s="7" t="s">
        <v>5641</v>
      </c>
      <c r="D74" s="8" t="s">
        <v>317</v>
      </c>
      <c r="E74" s="8" t="s">
        <v>315</v>
      </c>
      <c r="F74" s="8" t="s">
        <v>582</v>
      </c>
      <c r="G74" s="7" t="s">
        <v>5591</v>
      </c>
      <c r="H74" s="8">
        <v>8.0</v>
      </c>
      <c r="I74" s="7" t="s">
        <v>5642</v>
      </c>
    </row>
    <row r="75" ht="15.75" customHeight="1">
      <c r="A75" s="5" t="s">
        <v>5643</v>
      </c>
      <c r="B75" s="5" t="s">
        <v>5573</v>
      </c>
      <c r="C75" s="4" t="s">
        <v>5644</v>
      </c>
      <c r="D75" s="5" t="s">
        <v>272</v>
      </c>
      <c r="E75" s="5" t="s">
        <v>315</v>
      </c>
      <c r="F75" s="5" t="s">
        <v>217</v>
      </c>
      <c r="G75" s="4" t="s">
        <v>5572</v>
      </c>
      <c r="H75" s="5">
        <v>10.0</v>
      </c>
      <c r="I75" s="4" t="s">
        <v>5645</v>
      </c>
    </row>
    <row r="76" ht="15.75" customHeight="1">
      <c r="A76" s="8" t="s">
        <v>5646</v>
      </c>
      <c r="B76" s="8" t="s">
        <v>5648</v>
      </c>
      <c r="C76" s="7" t="s">
        <v>5649</v>
      </c>
      <c r="D76" s="8" t="s">
        <v>290</v>
      </c>
      <c r="E76" s="8" t="s">
        <v>315</v>
      </c>
      <c r="F76" s="8" t="s">
        <v>259</v>
      </c>
      <c r="G76" s="7" t="s">
        <v>5360</v>
      </c>
      <c r="H76" s="8">
        <v>14.0</v>
      </c>
      <c r="I76" s="7" t="s">
        <v>5651</v>
      </c>
    </row>
    <row r="77" ht="15.75" customHeight="1">
      <c r="A77" s="6" t="s">
        <v>5652</v>
      </c>
      <c r="B77" s="6"/>
      <c r="C77" s="6"/>
      <c r="D77" s="6"/>
      <c r="E77" s="6"/>
      <c r="F77" s="6"/>
      <c r="G77" s="6"/>
      <c r="H77" s="6"/>
      <c r="I77" s="6"/>
    </row>
    <row r="78" ht="15.75" customHeight="1">
      <c r="A78" s="8" t="s">
        <v>5654</v>
      </c>
      <c r="B78" s="8" t="s">
        <v>292</v>
      </c>
      <c r="C78" s="7" t="s">
        <v>5657</v>
      </c>
      <c r="D78" s="8" t="s">
        <v>290</v>
      </c>
      <c r="E78" s="8" t="s">
        <v>375</v>
      </c>
      <c r="F78" s="8" t="s">
        <v>316</v>
      </c>
      <c r="G78" s="7" t="s">
        <v>5402</v>
      </c>
      <c r="H78" s="8">
        <v>16.0</v>
      </c>
      <c r="I78" s="7" t="s">
        <v>5659</v>
      </c>
    </row>
    <row r="79" ht="15.75" customHeight="1">
      <c r="A79" s="5" t="s">
        <v>5660</v>
      </c>
      <c r="B79" s="5" t="s">
        <v>292</v>
      </c>
      <c r="C79" s="4" t="s">
        <v>5662</v>
      </c>
      <c r="D79" s="5" t="s">
        <v>290</v>
      </c>
      <c r="E79" s="5" t="s">
        <v>375</v>
      </c>
      <c r="F79" s="5" t="s">
        <v>304</v>
      </c>
      <c r="G79" s="4" t="s">
        <v>5402</v>
      </c>
      <c r="H79" s="5">
        <v>20.0</v>
      </c>
      <c r="I79" s="4" t="s">
        <v>5672</v>
      </c>
    </row>
    <row r="80" ht="15.75" customHeight="1">
      <c r="A80" s="8" t="s">
        <v>5675</v>
      </c>
      <c r="B80" s="8" t="s">
        <v>4996</v>
      </c>
      <c r="C80" s="7" t="s">
        <v>5678</v>
      </c>
      <c r="D80" s="8" t="s">
        <v>324</v>
      </c>
      <c r="E80" s="8" t="s">
        <v>375</v>
      </c>
      <c r="F80" s="8" t="s">
        <v>424</v>
      </c>
      <c r="G80" s="7" t="s">
        <v>5617</v>
      </c>
      <c r="H80" s="8">
        <v>12.0</v>
      </c>
      <c r="I80" s="7" t="s">
        <v>5684</v>
      </c>
    </row>
    <row r="81" ht="15.75" customHeight="1">
      <c r="A81" s="5" t="s">
        <v>5686</v>
      </c>
      <c r="B81" s="5" t="s">
        <v>5688</v>
      </c>
      <c r="C81" s="4" t="s">
        <v>5690</v>
      </c>
      <c r="D81" s="5" t="s">
        <v>279</v>
      </c>
      <c r="E81" s="5" t="s">
        <v>375</v>
      </c>
      <c r="F81" s="5" t="s">
        <v>259</v>
      </c>
      <c r="G81" s="4" t="s">
        <v>5611</v>
      </c>
      <c r="H81" s="5">
        <v>14.0</v>
      </c>
      <c r="I81" s="4" t="s">
        <v>5695</v>
      </c>
    </row>
    <row r="82" ht="15.75" customHeight="1">
      <c r="A82" s="8" t="s">
        <v>5697</v>
      </c>
      <c r="B82" s="8" t="s">
        <v>5698</v>
      </c>
      <c r="C82" s="7" t="s">
        <v>5701</v>
      </c>
      <c r="D82" s="8" t="s">
        <v>300</v>
      </c>
      <c r="E82" s="8" t="s">
        <v>375</v>
      </c>
      <c r="F82" s="8" t="s">
        <v>445</v>
      </c>
      <c r="G82" s="7" t="s">
        <v>5405</v>
      </c>
      <c r="H82" s="8">
        <v>14.0</v>
      </c>
      <c r="I82" s="7" t="s">
        <v>5706</v>
      </c>
    </row>
    <row r="83" ht="15.75" customHeight="1">
      <c r="A83" s="5" t="s">
        <v>5708</v>
      </c>
      <c r="B83" s="5" t="s">
        <v>169</v>
      </c>
      <c r="C83" s="4" t="s">
        <v>5712</v>
      </c>
      <c r="D83" s="5" t="s">
        <v>324</v>
      </c>
      <c r="E83" s="5" t="s">
        <v>375</v>
      </c>
      <c r="F83" s="5" t="s">
        <v>424</v>
      </c>
      <c r="G83" s="4" t="s">
        <v>5617</v>
      </c>
      <c r="H83" s="5">
        <v>6.0</v>
      </c>
      <c r="I83" s="4" t="s">
        <v>5718</v>
      </c>
    </row>
    <row r="84" ht="15.75" customHeight="1">
      <c r="A84" s="8" t="s">
        <v>5721</v>
      </c>
      <c r="B84" s="8" t="s">
        <v>5284</v>
      </c>
      <c r="C84" s="7" t="s">
        <v>5724</v>
      </c>
      <c r="D84" s="8" t="s">
        <v>5602</v>
      </c>
      <c r="E84" s="8" t="s">
        <v>375</v>
      </c>
      <c r="F84" s="8" t="s">
        <v>582</v>
      </c>
      <c r="G84" s="7" t="s">
        <v>5376</v>
      </c>
      <c r="H84" s="8">
        <v>10.0</v>
      </c>
      <c r="I84" s="7" t="s">
        <v>5730</v>
      </c>
    </row>
    <row r="85" ht="15.75" customHeight="1">
      <c r="A85" s="6" t="s">
        <v>5733</v>
      </c>
      <c r="B85" s="6"/>
      <c r="C85" s="6"/>
      <c r="D85" s="6"/>
      <c r="E85" s="6"/>
      <c r="F85" s="6"/>
      <c r="G85" s="6"/>
      <c r="H85" s="6"/>
      <c r="I85" s="6"/>
    </row>
    <row r="86" ht="15.75" customHeight="1">
      <c r="A86" s="8" t="s">
        <v>5742</v>
      </c>
      <c r="B86" s="8" t="s">
        <v>5744</v>
      </c>
      <c r="C86" s="7" t="s">
        <v>5748</v>
      </c>
      <c r="D86" s="8" t="s">
        <v>5602</v>
      </c>
      <c r="E86" s="8" t="s">
        <v>5752</v>
      </c>
      <c r="F86" s="8" t="s">
        <v>217</v>
      </c>
      <c r="G86" s="7" t="s">
        <v>5660</v>
      </c>
      <c r="H86" s="8">
        <v>16.0</v>
      </c>
      <c r="I86" s="7" t="s">
        <v>5759</v>
      </c>
    </row>
    <row r="87" ht="15.75" customHeight="1">
      <c r="A87" s="5" t="s">
        <v>5764</v>
      </c>
      <c r="B87" s="5" t="s">
        <v>5768</v>
      </c>
      <c r="C87" s="4" t="s">
        <v>5770</v>
      </c>
      <c r="D87" s="5" t="s">
        <v>112</v>
      </c>
      <c r="E87" s="5" t="s">
        <v>5752</v>
      </c>
      <c r="F87" s="5" t="s">
        <v>175</v>
      </c>
      <c r="G87" s="4" t="s">
        <v>5580</v>
      </c>
      <c r="H87" s="5">
        <v>20.0</v>
      </c>
      <c r="I87" s="4" t="s">
        <v>5778</v>
      </c>
    </row>
    <row r="88" ht="15.75" customHeight="1">
      <c r="A88" s="8" t="s">
        <v>5780</v>
      </c>
      <c r="B88" s="8" t="s">
        <v>5782</v>
      </c>
      <c r="C88" s="7" t="s">
        <v>5784</v>
      </c>
      <c r="D88" s="8" t="s">
        <v>154</v>
      </c>
      <c r="E88" s="8" t="s">
        <v>5752</v>
      </c>
      <c r="F88" s="8" t="s">
        <v>316</v>
      </c>
      <c r="G88" s="7" t="s">
        <v>5368</v>
      </c>
      <c r="H88" s="8">
        <v>20.0</v>
      </c>
      <c r="I88" s="7" t="s">
        <v>5790</v>
      </c>
    </row>
    <row r="89" ht="15.75" customHeight="1"/>
    <row r="90" ht="15.75" customHeight="1">
      <c r="A90" s="9" t="s">
        <v>5794</v>
      </c>
    </row>
    <row r="91" ht="15.75" customHeight="1">
      <c r="A91" s="12" t="s">
        <v>95</v>
      </c>
      <c r="B91" s="12" t="s">
        <v>5809</v>
      </c>
      <c r="C91" s="12" t="s">
        <v>5309</v>
      </c>
    </row>
    <row r="92" ht="15.75" customHeight="1">
      <c r="A92" s="13" t="s">
        <v>172</v>
      </c>
      <c r="B92" s="13">
        <f>COUNTIFS($E$5:$E$88,"P0")</f>
        <v>11</v>
      </c>
      <c r="C92" s="13">
        <f>SUMIFS($H$5:$H$88,$E$5:$E$88,"P0")</f>
        <v>77</v>
      </c>
    </row>
    <row r="93" ht="15.75" customHeight="1">
      <c r="A93" s="13" t="s">
        <v>221</v>
      </c>
      <c r="B93" s="13">
        <f>COUNTIFS($E$5:$E$88,"P1")</f>
        <v>45</v>
      </c>
      <c r="C93" s="13">
        <f>SUMIFS($H$5:$H$88,$E$5:$E$88,"P1")</f>
        <v>320</v>
      </c>
    </row>
    <row r="94" ht="15.75" customHeight="1">
      <c r="A94" s="13" t="s">
        <v>315</v>
      </c>
      <c r="B94" s="13">
        <f>COUNTIFS($E$5:$E$88,"P2")</f>
        <v>13</v>
      </c>
      <c r="C94" s="13">
        <f>SUMIFS($H$5:$H$88,$E$5:$E$88,"P2")</f>
        <v>120</v>
      </c>
    </row>
    <row r="95" ht="15.75" customHeight="1">
      <c r="A95" s="13" t="s">
        <v>375</v>
      </c>
      <c r="B95" s="13">
        <f>COUNTIFS($E$5:$E$88,"P3")</f>
        <v>7</v>
      </c>
      <c r="C95" s="13">
        <f>SUMIFS($H$5:$H$88,$E$5:$E$88,"P3")</f>
        <v>92</v>
      </c>
    </row>
    <row r="96" ht="15.75" customHeight="1">
      <c r="A96" s="13" t="s">
        <v>5752</v>
      </c>
      <c r="B96" s="13">
        <f>COUNTIFS($E$5:$E$88,"P4")</f>
        <v>3</v>
      </c>
      <c r="C96" s="13">
        <f>SUMIFS($H$5:$H$88,$E$5:$E$88,"P4")</f>
        <v>56</v>
      </c>
    </row>
    <row r="97" ht="15.75" customHeight="1">
      <c r="A97" s="14" t="s">
        <v>5841</v>
      </c>
      <c r="B97" s="14">
        <f>SUM($B$92:$B$96)</f>
        <v>79</v>
      </c>
      <c r="C97" s="14">
        <f>SUM($C$92:$C$96)</f>
        <v>665</v>
      </c>
    </row>
    <row r="98" ht="15.75" customHeight="1"/>
    <row r="99" ht="15.0" customHeight="1">
      <c r="A99" s="15" t="s">
        <v>5842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I$88"/>
  <mergeCells count="3">
    <mergeCell ref="A1:I1"/>
    <mergeCell ref="A2:I2"/>
    <mergeCell ref="A99:I100"/>
  </mergeCells>
  <printOptions/>
  <pageMargins bottom="1.0" footer="0.0" header="0.0" left="0.75" right="0.75" top="1.0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8.0"/>
    <col customWidth="1" min="2" max="2" width="68.0"/>
    <col customWidth="1" min="3" max="3" width="52.0"/>
    <col customWidth="1" min="4" max="4" width="26.0"/>
    <col customWidth="1" min="5" max="5" width="20.0"/>
    <col customWidth="1" min="6" max="26" width="8.71"/>
  </cols>
  <sheetData>
    <row r="1" ht="19.5" customHeight="1">
      <c r="A1" s="1" t="s">
        <v>5416</v>
      </c>
    </row>
    <row r="2" ht="25.5" customHeight="1">
      <c r="A2" s="2" t="s">
        <v>5418</v>
      </c>
    </row>
    <row r="4" ht="30.0" customHeight="1">
      <c r="A4" s="3" t="s">
        <v>5008</v>
      </c>
      <c r="B4" s="3" t="s">
        <v>3929</v>
      </c>
      <c r="C4" s="3" t="s">
        <v>5422</v>
      </c>
      <c r="D4" s="3" t="s">
        <v>5424</v>
      </c>
      <c r="E4" s="3" t="s">
        <v>3481</v>
      </c>
    </row>
    <row r="5">
      <c r="A5" s="5" t="s">
        <v>5426</v>
      </c>
      <c r="B5" s="4" t="s">
        <v>5428</v>
      </c>
      <c r="C5" s="4" t="s">
        <v>5430</v>
      </c>
      <c r="D5" s="5" t="s">
        <v>5432</v>
      </c>
      <c r="E5" s="5" t="s">
        <v>2466</v>
      </c>
    </row>
    <row r="6">
      <c r="A6" s="8" t="s">
        <v>5434</v>
      </c>
      <c r="B6" s="7" t="s">
        <v>5437</v>
      </c>
      <c r="C6" s="7" t="s">
        <v>5438</v>
      </c>
      <c r="D6" s="8" t="s">
        <v>5432</v>
      </c>
      <c r="E6" s="8" t="s">
        <v>2466</v>
      </c>
    </row>
    <row r="7">
      <c r="A7" s="5" t="s">
        <v>5440</v>
      </c>
      <c r="B7" s="4" t="s">
        <v>5442</v>
      </c>
      <c r="C7" s="4" t="s">
        <v>5443</v>
      </c>
      <c r="D7" s="5" t="s">
        <v>5445</v>
      </c>
      <c r="E7" s="5" t="s">
        <v>2466</v>
      </c>
    </row>
    <row r="8">
      <c r="A8" s="8" t="s">
        <v>5446</v>
      </c>
      <c r="B8" s="7" t="s">
        <v>5447</v>
      </c>
      <c r="C8" s="7" t="s">
        <v>5448</v>
      </c>
      <c r="D8" s="8" t="s">
        <v>5445</v>
      </c>
      <c r="E8" s="8" t="s">
        <v>2073</v>
      </c>
    </row>
    <row r="9">
      <c r="A9" s="5" t="s">
        <v>5451</v>
      </c>
      <c r="B9" s="4" t="s">
        <v>5452</v>
      </c>
      <c r="C9" s="4" t="s">
        <v>5454</v>
      </c>
      <c r="D9" s="5" t="s">
        <v>5445</v>
      </c>
      <c r="E9" s="5" t="s">
        <v>5455</v>
      </c>
    </row>
    <row r="10">
      <c r="A10" s="8" t="s">
        <v>5456</v>
      </c>
      <c r="B10" s="7" t="s">
        <v>5458</v>
      </c>
      <c r="C10" s="7" t="s">
        <v>5460</v>
      </c>
      <c r="D10" s="8" t="s">
        <v>5461</v>
      </c>
      <c r="E10" s="8" t="s">
        <v>5455</v>
      </c>
    </row>
    <row r="11">
      <c r="A11" s="5" t="s">
        <v>5462</v>
      </c>
      <c r="B11" s="4" t="s">
        <v>5463</v>
      </c>
      <c r="C11" s="4" t="s">
        <v>5464</v>
      </c>
      <c r="D11" s="5" t="s">
        <v>5445</v>
      </c>
      <c r="E11" s="5" t="s">
        <v>5465</v>
      </c>
    </row>
    <row r="12">
      <c r="A12" s="8" t="s">
        <v>478</v>
      </c>
      <c r="B12" s="7" t="s">
        <v>5468</v>
      </c>
      <c r="C12" s="7" t="s">
        <v>5469</v>
      </c>
      <c r="D12" s="8" t="s">
        <v>5445</v>
      </c>
      <c r="E12" s="8" t="s">
        <v>5465</v>
      </c>
    </row>
    <row r="13">
      <c r="A13" s="5" t="s">
        <v>5475</v>
      </c>
      <c r="B13" s="4" t="s">
        <v>5476</v>
      </c>
      <c r="C13" s="4" t="s">
        <v>5478</v>
      </c>
      <c r="D13" s="5" t="s">
        <v>5479</v>
      </c>
      <c r="E13" s="5" t="s">
        <v>62</v>
      </c>
    </row>
    <row r="14">
      <c r="A14" s="8" t="s">
        <v>5481</v>
      </c>
      <c r="B14" s="7" t="s">
        <v>5482</v>
      </c>
      <c r="C14" s="7" t="s">
        <v>5483</v>
      </c>
      <c r="D14" s="8" t="s">
        <v>1214</v>
      </c>
      <c r="E14" s="8" t="s">
        <v>2466</v>
      </c>
    </row>
    <row r="15">
      <c r="A15" s="5" t="s">
        <v>5486</v>
      </c>
      <c r="B15" s="4" t="s">
        <v>5487</v>
      </c>
      <c r="C15" s="4" t="s">
        <v>5489</v>
      </c>
      <c r="D15" s="5" t="s">
        <v>5445</v>
      </c>
      <c r="E15" s="5" t="s">
        <v>169</v>
      </c>
    </row>
    <row r="16">
      <c r="A16" s="8" t="s">
        <v>5490</v>
      </c>
      <c r="B16" s="7" t="s">
        <v>5491</v>
      </c>
      <c r="C16" s="7" t="s">
        <v>5493</v>
      </c>
      <c r="D16" s="8" t="s">
        <v>5495</v>
      </c>
      <c r="E16" s="8" t="s">
        <v>169</v>
      </c>
    </row>
    <row r="17">
      <c r="A17" s="5" t="s">
        <v>4581</v>
      </c>
      <c r="B17" s="4" t="s">
        <v>5497</v>
      </c>
      <c r="C17" s="4" t="s">
        <v>5498</v>
      </c>
      <c r="D17" s="5" t="s">
        <v>162</v>
      </c>
      <c r="E17" s="5" t="s">
        <v>5499</v>
      </c>
    </row>
    <row r="18">
      <c r="A18" s="8" t="s">
        <v>5501</v>
      </c>
      <c r="B18" s="7" t="s">
        <v>5503</v>
      </c>
      <c r="C18" s="7" t="s">
        <v>5504</v>
      </c>
      <c r="D18" s="8" t="s">
        <v>5479</v>
      </c>
      <c r="E18" s="8" t="s">
        <v>62</v>
      </c>
    </row>
    <row r="19">
      <c r="A19" s="5" t="s">
        <v>5506</v>
      </c>
      <c r="B19" s="4" t="s">
        <v>5507</v>
      </c>
      <c r="C19" s="4" t="s">
        <v>5508</v>
      </c>
      <c r="D19" s="5" t="s">
        <v>5495</v>
      </c>
      <c r="E19" s="5" t="s">
        <v>5510</v>
      </c>
    </row>
    <row r="20">
      <c r="A20" s="8" t="s">
        <v>5512</v>
      </c>
      <c r="B20" s="7" t="s">
        <v>5513</v>
      </c>
      <c r="C20" s="7" t="s">
        <v>5515</v>
      </c>
      <c r="D20" s="8" t="s">
        <v>344</v>
      </c>
      <c r="E20" s="8" t="s">
        <v>3378</v>
      </c>
    </row>
    <row r="21" ht="15.75" customHeight="1">
      <c r="A21" s="5" t="s">
        <v>5516</v>
      </c>
      <c r="B21" s="4" t="s">
        <v>5517</v>
      </c>
      <c r="C21" s="4" t="s">
        <v>5519</v>
      </c>
      <c r="D21" s="5" t="s">
        <v>1214</v>
      </c>
      <c r="E21" s="5" t="s">
        <v>3378</v>
      </c>
    </row>
    <row r="22" ht="15.75" customHeight="1">
      <c r="A22" s="8" t="s">
        <v>5284</v>
      </c>
      <c r="B22" s="7" t="s">
        <v>5522</v>
      </c>
      <c r="C22" s="7" t="s">
        <v>5523</v>
      </c>
      <c r="D22" s="8" t="s">
        <v>5524</v>
      </c>
      <c r="E22" s="8" t="s">
        <v>2466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E$22"/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E9A88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4.0"/>
    <col customWidth="1" min="2" max="2" width="34.0"/>
    <col customWidth="1" min="3" max="3" width="26.0"/>
    <col customWidth="1" min="4" max="4" width="62.0"/>
    <col customWidth="1" min="5" max="5" width="52.0"/>
    <col customWidth="1" min="6" max="6" width="34.0"/>
    <col customWidth="1" min="7" max="26" width="8.71"/>
  </cols>
  <sheetData>
    <row r="1" ht="19.5" customHeight="1">
      <c r="A1" s="1" t="s">
        <v>5647</v>
      </c>
    </row>
    <row r="2" ht="25.5" customHeight="1">
      <c r="A2" s="2" t="s">
        <v>5650</v>
      </c>
    </row>
    <row r="4" ht="30.0" customHeight="1">
      <c r="A4" s="3" t="s">
        <v>1934</v>
      </c>
      <c r="B4" s="3" t="s">
        <v>5653</v>
      </c>
      <c r="C4" s="3" t="s">
        <v>15</v>
      </c>
      <c r="D4" s="3" t="s">
        <v>5655</v>
      </c>
      <c r="E4" s="3" t="s">
        <v>5656</v>
      </c>
      <c r="F4" s="3" t="s">
        <v>5658</v>
      </c>
    </row>
    <row r="5">
      <c r="A5" s="5" t="s">
        <v>609</v>
      </c>
      <c r="B5" s="4" t="s">
        <v>5661</v>
      </c>
      <c r="C5" s="5" t="s">
        <v>2045</v>
      </c>
      <c r="D5" s="4" t="s">
        <v>5663</v>
      </c>
      <c r="E5" s="4" t="s">
        <v>5664</v>
      </c>
      <c r="F5" s="5" t="s">
        <v>5665</v>
      </c>
    </row>
    <row r="6">
      <c r="A6" s="8" t="s">
        <v>5666</v>
      </c>
      <c r="B6" s="7" t="s">
        <v>5667</v>
      </c>
      <c r="C6" s="8" t="s">
        <v>5668</v>
      </c>
      <c r="D6" s="7" t="s">
        <v>5669</v>
      </c>
      <c r="E6" s="7" t="s">
        <v>5670</v>
      </c>
      <c r="F6" s="8" t="s">
        <v>5671</v>
      </c>
    </row>
    <row r="7">
      <c r="A7" s="5" t="s">
        <v>5673</v>
      </c>
      <c r="B7" s="4" t="s">
        <v>5674</v>
      </c>
      <c r="C7" s="5" t="s">
        <v>5676</v>
      </c>
      <c r="D7" s="4" t="s">
        <v>5677</v>
      </c>
      <c r="E7" s="4" t="s">
        <v>5679</v>
      </c>
      <c r="F7" s="5" t="s">
        <v>5680</v>
      </c>
    </row>
    <row r="8">
      <c r="A8" s="8" t="s">
        <v>5681</v>
      </c>
      <c r="B8" s="7" t="s">
        <v>5682</v>
      </c>
      <c r="C8" s="8" t="s">
        <v>5683</v>
      </c>
      <c r="D8" s="7" t="s">
        <v>5685</v>
      </c>
      <c r="E8" s="7" t="s">
        <v>5687</v>
      </c>
      <c r="F8" s="8" t="s">
        <v>5689</v>
      </c>
    </row>
    <row r="9">
      <c r="A9" s="5" t="s">
        <v>567</v>
      </c>
      <c r="B9" s="4" t="s">
        <v>5691</v>
      </c>
      <c r="C9" s="5" t="s">
        <v>2200</v>
      </c>
      <c r="D9" s="4" t="s">
        <v>5693</v>
      </c>
      <c r="E9" s="4" t="s">
        <v>5694</v>
      </c>
      <c r="F9" s="5" t="s">
        <v>5696</v>
      </c>
    </row>
    <row r="10">
      <c r="A10" s="8" t="s">
        <v>1276</v>
      </c>
      <c r="B10" s="7" t="s">
        <v>5699</v>
      </c>
      <c r="C10" s="8" t="s">
        <v>5702</v>
      </c>
      <c r="D10" s="7" t="s">
        <v>5703</v>
      </c>
      <c r="E10" s="7" t="s">
        <v>5704</v>
      </c>
      <c r="F10" s="8" t="s">
        <v>5705</v>
      </c>
    </row>
    <row r="11">
      <c r="A11" s="5" t="s">
        <v>1292</v>
      </c>
      <c r="B11" s="4" t="s">
        <v>5707</v>
      </c>
      <c r="C11" s="5" t="s">
        <v>5709</v>
      </c>
      <c r="D11" s="4" t="s">
        <v>5711</v>
      </c>
      <c r="E11" s="4" t="s">
        <v>5714</v>
      </c>
      <c r="F11" s="5" t="s">
        <v>5184</v>
      </c>
    </row>
    <row r="12">
      <c r="A12" s="8" t="s">
        <v>160</v>
      </c>
      <c r="B12" s="7" t="s">
        <v>5717</v>
      </c>
      <c r="C12" s="8" t="s">
        <v>5720</v>
      </c>
      <c r="D12" s="7" t="s">
        <v>5722</v>
      </c>
      <c r="E12" s="7" t="s">
        <v>5723</v>
      </c>
      <c r="F12" s="8" t="s">
        <v>5726</v>
      </c>
    </row>
    <row r="13">
      <c r="A13" s="5" t="s">
        <v>204</v>
      </c>
      <c r="B13" s="4" t="s">
        <v>5727</v>
      </c>
      <c r="C13" s="5" t="s">
        <v>5720</v>
      </c>
      <c r="D13" s="4" t="s">
        <v>5729</v>
      </c>
      <c r="E13" s="4" t="s">
        <v>5732</v>
      </c>
      <c r="F13" s="5" t="s">
        <v>5734</v>
      </c>
    </row>
    <row r="14">
      <c r="A14" s="8" t="s">
        <v>5737</v>
      </c>
      <c r="B14" s="7" t="s">
        <v>5738</v>
      </c>
      <c r="C14" s="8" t="s">
        <v>5702</v>
      </c>
      <c r="D14" s="7" t="s">
        <v>5739</v>
      </c>
      <c r="E14" s="7" t="s">
        <v>5740</v>
      </c>
      <c r="F14" s="8" t="s">
        <v>5743</v>
      </c>
    </row>
    <row r="15">
      <c r="A15" s="5" t="s">
        <v>5745</v>
      </c>
      <c r="B15" s="4" t="s">
        <v>5747</v>
      </c>
      <c r="C15" s="5" t="s">
        <v>5749</v>
      </c>
      <c r="D15" s="4" t="s">
        <v>5751</v>
      </c>
      <c r="E15" s="4" t="s">
        <v>5753</v>
      </c>
      <c r="F15" s="5" t="s">
        <v>5755</v>
      </c>
    </row>
    <row r="16">
      <c r="A16" s="8" t="s">
        <v>5756</v>
      </c>
      <c r="B16" s="7" t="s">
        <v>5758</v>
      </c>
      <c r="C16" s="8" t="s">
        <v>5761</v>
      </c>
      <c r="D16" s="7" t="s">
        <v>5763</v>
      </c>
      <c r="E16" s="7" t="s">
        <v>5766</v>
      </c>
      <c r="F16" s="8" t="s">
        <v>2602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F$16"/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A93B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8.0"/>
    <col customWidth="1" min="2" max="2" width="60.0"/>
    <col customWidth="1" min="3" max="3" width="56.0"/>
    <col customWidth="1" min="4" max="5" width="24.0"/>
    <col customWidth="1" min="6" max="6" width="22.0"/>
    <col customWidth="1" min="7" max="7" width="46.0"/>
    <col customWidth="1" min="8" max="26" width="8.71"/>
  </cols>
  <sheetData>
    <row r="1" ht="19.5" customHeight="1">
      <c r="A1" s="1" t="s">
        <v>5692</v>
      </c>
    </row>
    <row r="2" ht="25.5" customHeight="1">
      <c r="A2" s="2" t="s">
        <v>5700</v>
      </c>
    </row>
    <row r="4" ht="30.0" customHeight="1">
      <c r="A4" s="3" t="s">
        <v>5299</v>
      </c>
      <c r="B4" s="3" t="s">
        <v>5710</v>
      </c>
      <c r="C4" s="3" t="s">
        <v>5713</v>
      </c>
      <c r="D4" s="3" t="s">
        <v>5715</v>
      </c>
      <c r="E4" s="3" t="s">
        <v>5716</v>
      </c>
      <c r="F4" s="3" t="s">
        <v>3481</v>
      </c>
      <c r="G4" s="3" t="s">
        <v>5719</v>
      </c>
    </row>
    <row r="5">
      <c r="A5" s="5" t="s">
        <v>5725</v>
      </c>
      <c r="B5" s="4" t="s">
        <v>5728</v>
      </c>
      <c r="C5" s="4" t="s">
        <v>5731</v>
      </c>
      <c r="D5" s="5" t="s">
        <v>5319</v>
      </c>
      <c r="E5" s="5" t="s">
        <v>5735</v>
      </c>
      <c r="F5" s="5" t="s">
        <v>5736</v>
      </c>
      <c r="G5" s="4" t="s">
        <v>582</v>
      </c>
    </row>
    <row r="6">
      <c r="A6" s="8" t="s">
        <v>5741</v>
      </c>
      <c r="B6" s="7" t="s">
        <v>5746</v>
      </c>
      <c r="C6" s="7" t="s">
        <v>5750</v>
      </c>
      <c r="D6" s="8" t="s">
        <v>5319</v>
      </c>
      <c r="E6" s="8" t="s">
        <v>5754</v>
      </c>
      <c r="F6" s="8" t="s">
        <v>5736</v>
      </c>
      <c r="G6" s="7" t="s">
        <v>5757</v>
      </c>
    </row>
    <row r="7">
      <c r="A7" s="5" t="s">
        <v>5760</v>
      </c>
      <c r="B7" s="4" t="s">
        <v>5762</v>
      </c>
      <c r="C7" s="4" t="s">
        <v>5765</v>
      </c>
      <c r="D7" s="5" t="s">
        <v>5767</v>
      </c>
      <c r="E7" s="5" t="s">
        <v>5769</v>
      </c>
      <c r="F7" s="5" t="s">
        <v>3378</v>
      </c>
      <c r="G7" s="4" t="s">
        <v>5771</v>
      </c>
    </row>
    <row r="8">
      <c r="A8" s="8" t="s">
        <v>5772</v>
      </c>
      <c r="B8" s="7" t="s">
        <v>5773</v>
      </c>
      <c r="C8" s="7" t="s">
        <v>5774</v>
      </c>
      <c r="D8" s="8" t="s">
        <v>5660</v>
      </c>
      <c r="E8" s="8" t="s">
        <v>5775</v>
      </c>
      <c r="F8" s="8" t="s">
        <v>5776</v>
      </c>
      <c r="G8" s="7" t="s">
        <v>5777</v>
      </c>
    </row>
    <row r="9">
      <c r="A9" s="5" t="s">
        <v>5779</v>
      </c>
      <c r="B9" s="4" t="s">
        <v>5781</v>
      </c>
      <c r="C9" s="4" t="s">
        <v>5783</v>
      </c>
      <c r="D9" s="5" t="s">
        <v>5604</v>
      </c>
      <c r="E9" s="5" t="s">
        <v>5785</v>
      </c>
      <c r="F9" s="5" t="s">
        <v>5786</v>
      </c>
      <c r="G9" s="4" t="s">
        <v>5787</v>
      </c>
    </row>
    <row r="10">
      <c r="A10" s="8" t="s">
        <v>5788</v>
      </c>
      <c r="B10" s="7" t="s">
        <v>5789</v>
      </c>
      <c r="C10" s="7" t="s">
        <v>5791</v>
      </c>
      <c r="D10" s="8" t="s">
        <v>5580</v>
      </c>
      <c r="E10" s="8" t="s">
        <v>5792</v>
      </c>
      <c r="F10" s="8" t="s">
        <v>5793</v>
      </c>
      <c r="G10" s="7" t="s">
        <v>5795</v>
      </c>
    </row>
    <row r="11">
      <c r="A11" s="5" t="s">
        <v>5796</v>
      </c>
      <c r="B11" s="4" t="s">
        <v>5797</v>
      </c>
      <c r="C11" s="4" t="s">
        <v>5798</v>
      </c>
      <c r="D11" s="5" t="s">
        <v>5799</v>
      </c>
      <c r="E11" s="5" t="s">
        <v>5800</v>
      </c>
      <c r="F11" s="5" t="s">
        <v>5801</v>
      </c>
      <c r="G11" s="4" t="s">
        <v>5802</v>
      </c>
    </row>
    <row r="12">
      <c r="A12" s="8" t="s">
        <v>5803</v>
      </c>
      <c r="B12" s="7" t="s">
        <v>5804</v>
      </c>
      <c r="C12" s="7" t="s">
        <v>5805</v>
      </c>
      <c r="D12" s="8" t="s">
        <v>5806</v>
      </c>
      <c r="E12" s="8" t="s">
        <v>5807</v>
      </c>
      <c r="F12" s="8" t="s">
        <v>5808</v>
      </c>
      <c r="G12" s="7" t="s">
        <v>5810</v>
      </c>
    </row>
    <row r="13">
      <c r="A13" s="5" t="s">
        <v>5811</v>
      </c>
      <c r="B13" s="4" t="s">
        <v>5812</v>
      </c>
      <c r="C13" s="4" t="s">
        <v>5813</v>
      </c>
      <c r="D13" s="5" t="s">
        <v>5814</v>
      </c>
      <c r="E13" s="5" t="s">
        <v>5769</v>
      </c>
      <c r="F13" s="5" t="s">
        <v>5815</v>
      </c>
      <c r="G13" s="4" t="s">
        <v>5816</v>
      </c>
    </row>
    <row r="14">
      <c r="A14" s="8" t="s">
        <v>5817</v>
      </c>
      <c r="B14" s="7" t="s">
        <v>5818</v>
      </c>
      <c r="C14" s="7" t="s">
        <v>5819</v>
      </c>
      <c r="D14" s="8" t="s">
        <v>5419</v>
      </c>
      <c r="E14" s="8" t="s">
        <v>5807</v>
      </c>
      <c r="F14" s="8" t="s">
        <v>3378</v>
      </c>
      <c r="G14" s="7" t="s">
        <v>5820</v>
      </c>
    </row>
    <row r="15">
      <c r="A15" s="5" t="s">
        <v>5821</v>
      </c>
      <c r="B15" s="4" t="s">
        <v>5822</v>
      </c>
      <c r="C15" s="4" t="s">
        <v>5823</v>
      </c>
      <c r="D15" s="5" t="s">
        <v>5824</v>
      </c>
      <c r="E15" s="5" t="s">
        <v>5825</v>
      </c>
      <c r="F15" s="5" t="s">
        <v>5786</v>
      </c>
      <c r="G15" s="4" t="s">
        <v>582</v>
      </c>
    </row>
    <row r="16">
      <c r="A16" s="8" t="s">
        <v>5826</v>
      </c>
      <c r="B16" s="7" t="s">
        <v>5827</v>
      </c>
      <c r="C16" s="7" t="s">
        <v>5828</v>
      </c>
      <c r="D16" s="8" t="s">
        <v>5604</v>
      </c>
      <c r="E16" s="8" t="s">
        <v>5829</v>
      </c>
      <c r="F16" s="8" t="s">
        <v>3378</v>
      </c>
      <c r="G16" s="7" t="s">
        <v>5830</v>
      </c>
    </row>
    <row r="17">
      <c r="A17" s="5" t="s">
        <v>5831</v>
      </c>
      <c r="B17" s="4" t="s">
        <v>5832</v>
      </c>
      <c r="C17" s="4" t="s">
        <v>5833</v>
      </c>
      <c r="D17" s="5" t="s">
        <v>5624</v>
      </c>
      <c r="E17" s="5" t="s">
        <v>5775</v>
      </c>
      <c r="F17" s="5" t="s">
        <v>3378</v>
      </c>
      <c r="G17" s="4" t="s">
        <v>5834</v>
      </c>
    </row>
    <row r="18">
      <c r="A18" s="8" t="s">
        <v>5835</v>
      </c>
      <c r="B18" s="7" t="s">
        <v>5836</v>
      </c>
      <c r="C18" s="7" t="s">
        <v>5837</v>
      </c>
      <c r="D18" s="8" t="s">
        <v>5838</v>
      </c>
      <c r="E18" s="8" t="s">
        <v>5839</v>
      </c>
      <c r="F18" s="8" t="s">
        <v>5786</v>
      </c>
      <c r="G18" s="7" t="s">
        <v>5840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18"/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